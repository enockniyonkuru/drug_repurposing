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kniyonkuru/Desktop/drug_repurposing/tahoe_cmap_analysis/case_study_special/"/>
    </mc:Choice>
  </mc:AlternateContent>
  <xr:revisionPtr revIDLastSave="0" documentId="13_ncr:1_{3D9C5648-8823-5349-95C0-6534C0C6A1BD}" xr6:coauthVersionLast="47" xr6:coauthVersionMax="47" xr10:uidLastSave="{00000000-0000-0000-0000-000000000000}"/>
  <bookViews>
    <workbookView xWindow="0" yWindow="660" windowWidth="29400" windowHeight="18460" xr2:uid="{407B52FB-9211-9E42-8248-DEB73DE26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K4" i="1"/>
  <c r="L4" i="1"/>
  <c r="L5" i="1"/>
  <c r="L2" i="1"/>
  <c r="K5" i="1"/>
  <c r="K2" i="1"/>
</calcChain>
</file>

<file path=xl/sharedStrings.xml><?xml version="1.0" encoding="utf-8"?>
<sst xmlns="http://schemas.openxmlformats.org/spreadsheetml/2006/main" count="17" uniqueCount="17">
  <si>
    <t>disease_name</t>
  </si>
  <si>
    <t>cerebral palsy</t>
  </si>
  <si>
    <t>Eczema</t>
  </si>
  <si>
    <t>autoimmune thrombocytopenic purpura</t>
  </si>
  <si>
    <t>chronic lymphocytic leukemia</t>
  </si>
  <si>
    <t>Total Tahoe Hits by DRPipe</t>
  </si>
  <si>
    <t>Total CMAP Hits by DRPipe</t>
  </si>
  <si>
    <t>Total Common Hits by DRPipe with TAHOE and CMAP</t>
  </si>
  <si>
    <t>Total Disease-Drug Pairs in Open Target for this disease</t>
  </si>
  <si>
    <t>Total Disease-Drug Pairs in Open Target and also in CMAP  for this disease</t>
  </si>
  <si>
    <t>Total Disease-Drug Pairs in Open Target and also in Tahoe  for this disease</t>
  </si>
  <si>
    <t>Total Disease-Drug Pairs in Open Targets and also in CMAP  that were found by DRPipe</t>
  </si>
  <si>
    <t>Total Disease-Drug Pairs in Open Targets and also in TAHOE  that were found by DRPipe</t>
  </si>
  <si>
    <t>Total Disease-Drug Pairs in Open Target found by DRPipe</t>
  </si>
  <si>
    <t>TAHOE Recall</t>
  </si>
  <si>
    <t>CMAP Recall</t>
  </si>
  <si>
    <t>TAHOE Recall = Total Disease-Drug Pairs in Open Targets and also in TAHOE  that were found by DRPipe/  Total Disease-Drug Pairs in Open Target and also in Tahoe  for this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</si>
</sst>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wrapText="1"/>
    </xf>
    <xf numFmtId="9" fontId="0" fillId="0" borderId="1" xfId="1" applyFont="1" applyBorder="1" applyAlignment="1">
      <alignment wrapText="1"/>
    </xf>
    <xf numFmtId="9" fontId="0" fillId="0" borderId="0" xfId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D74B-6EE4-1748-AAD9-1885B51E85C4}">
  <dimension ref="A1:L11"/>
  <sheetViews>
    <sheetView tabSelected="1" workbookViewId="0">
      <pane xSplit="1" topLeftCell="E1" activePane="topRight" state="frozen"/>
      <selection pane="topRight" activeCell="I3" sqref="I3"/>
    </sheetView>
  </sheetViews>
  <sheetFormatPr baseColWidth="10" defaultRowHeight="16" x14ac:dyDescent="0.2"/>
  <cols>
    <col min="1" max="1" width="30.33203125" style="6" customWidth="1"/>
    <col min="2" max="2" width="15.1640625" style="7" bestFit="1" customWidth="1"/>
    <col min="3" max="3" width="15" style="7" bestFit="1" customWidth="1"/>
    <col min="4" max="4" width="25.33203125" style="7" customWidth="1"/>
    <col min="5" max="5" width="26.1640625" style="6" customWidth="1"/>
    <col min="6" max="6" width="33.83203125" style="6" bestFit="1" customWidth="1"/>
    <col min="7" max="7" width="34" style="6" bestFit="1" customWidth="1"/>
    <col min="8" max="8" width="27.33203125" style="6" customWidth="1"/>
    <col min="9" max="9" width="19.83203125" style="6" bestFit="1" customWidth="1"/>
    <col min="10" max="10" width="19.1640625" style="6" bestFit="1" customWidth="1"/>
    <col min="11" max="11" width="10.83203125" style="10"/>
    <col min="12" max="12" width="11.6640625" style="10" bestFit="1" customWidth="1"/>
    <col min="13" max="16384" width="10.83203125" style="6"/>
  </cols>
  <sheetData>
    <row r="1" spans="1:12" s="3" customFormat="1" ht="50" customHeight="1" x14ac:dyDescent="0.2">
      <c r="A1" s="1" t="s">
        <v>0</v>
      </c>
      <c r="B1" s="2" t="s">
        <v>5</v>
      </c>
      <c r="C1" s="2" t="s">
        <v>6</v>
      </c>
      <c r="D1" s="2" t="s">
        <v>7</v>
      </c>
      <c r="E1" s="8" t="s">
        <v>8</v>
      </c>
      <c r="F1" s="8" t="s">
        <v>9</v>
      </c>
      <c r="G1" s="8" t="s">
        <v>10</v>
      </c>
      <c r="H1" s="6" t="s">
        <v>12</v>
      </c>
      <c r="I1" s="6" t="s">
        <v>11</v>
      </c>
      <c r="J1" s="6" t="s">
        <v>13</v>
      </c>
      <c r="K1" s="9" t="s">
        <v>14</v>
      </c>
      <c r="L1" s="9" t="s">
        <v>15</v>
      </c>
    </row>
    <row r="2" spans="1:12" s="3" customFormat="1" x14ac:dyDescent="0.2">
      <c r="A2" s="1" t="s">
        <v>1</v>
      </c>
      <c r="B2" s="5">
        <v>231</v>
      </c>
      <c r="C2" s="5">
        <v>560</v>
      </c>
      <c r="D2" s="5">
        <v>15</v>
      </c>
      <c r="E2" s="4">
        <v>287</v>
      </c>
      <c r="F2" s="4">
        <v>3</v>
      </c>
      <c r="G2" s="4">
        <v>0</v>
      </c>
      <c r="H2" s="4">
        <v>0</v>
      </c>
      <c r="I2" s="4">
        <v>2</v>
      </c>
      <c r="J2" s="4">
        <v>2</v>
      </c>
      <c r="K2" s="9">
        <f>H2/F2</f>
        <v>0</v>
      </c>
      <c r="L2" s="9">
        <f>J2/F2</f>
        <v>0.66666666666666663</v>
      </c>
    </row>
    <row r="3" spans="1:12" s="3" customFormat="1" x14ac:dyDescent="0.2">
      <c r="A3" s="1" t="s">
        <v>2</v>
      </c>
      <c r="B3" s="5">
        <v>374</v>
      </c>
      <c r="C3" s="5">
        <v>204</v>
      </c>
      <c r="D3" s="5">
        <v>10</v>
      </c>
      <c r="E3" s="4">
        <v>1175</v>
      </c>
      <c r="F3" s="4">
        <v>24</v>
      </c>
      <c r="G3" s="4">
        <v>10</v>
      </c>
      <c r="H3" s="4">
        <v>10</v>
      </c>
      <c r="I3" s="4">
        <v>2</v>
      </c>
      <c r="J3" s="4">
        <v>12</v>
      </c>
      <c r="K3" s="9">
        <f>H3/G3</f>
        <v>1</v>
      </c>
      <c r="L3" s="9">
        <f>J3/F3</f>
        <v>0.5</v>
      </c>
    </row>
    <row r="4" spans="1:12" s="3" customFormat="1" ht="29" x14ac:dyDescent="0.2">
      <c r="A4" s="1" t="s">
        <v>3</v>
      </c>
      <c r="B4" s="5">
        <v>379</v>
      </c>
      <c r="C4" s="5">
        <v>178</v>
      </c>
      <c r="D4" s="5">
        <v>9</v>
      </c>
      <c r="E4" s="4">
        <v>605</v>
      </c>
      <c r="F4" s="4">
        <v>16</v>
      </c>
      <c r="G4" s="4">
        <v>11</v>
      </c>
      <c r="H4" s="4">
        <v>11</v>
      </c>
      <c r="I4" s="4">
        <v>2</v>
      </c>
      <c r="J4" s="4">
        <v>13</v>
      </c>
      <c r="K4" s="9">
        <f>H4/G4</f>
        <v>1</v>
      </c>
      <c r="L4" s="9">
        <f t="shared" ref="L3:L5" si="0">J4/F4</f>
        <v>0.8125</v>
      </c>
    </row>
    <row r="5" spans="1:12" s="3" customFormat="1" x14ac:dyDescent="0.2">
      <c r="A5" s="1" t="s">
        <v>4</v>
      </c>
      <c r="B5" s="5">
        <v>154</v>
      </c>
      <c r="C5" s="5">
        <v>216</v>
      </c>
      <c r="D5" s="5">
        <v>4</v>
      </c>
      <c r="E5" s="4">
        <v>1621</v>
      </c>
      <c r="F5" s="4">
        <v>28</v>
      </c>
      <c r="G5" s="4">
        <v>25</v>
      </c>
      <c r="H5" s="4">
        <v>11</v>
      </c>
      <c r="I5" s="4">
        <v>7</v>
      </c>
      <c r="J5" s="4">
        <v>17</v>
      </c>
      <c r="K5" s="9">
        <f t="shared" ref="K3:K5" si="1">H5/F5</f>
        <v>0.39285714285714285</v>
      </c>
      <c r="L5" s="9">
        <f t="shared" si="0"/>
        <v>0.6071428571428571</v>
      </c>
    </row>
    <row r="11" spans="1:12" ht="136" x14ac:dyDescent="0.2">
      <c r="I11" s="9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Niyonkuru, Enock</dc:creator>
  <cp:lastModifiedBy>Niyonkuru, Enock</cp:lastModifiedBy>
  <dcterms:created xsi:type="dcterms:W3CDTF">2025-12-05T22:40:54Z</dcterms:created>
  <dcterms:modified xsi:type="dcterms:W3CDTF">2025-12-06T01:12:14Z</dcterms:modified>
</cp:coreProperties>
</file>