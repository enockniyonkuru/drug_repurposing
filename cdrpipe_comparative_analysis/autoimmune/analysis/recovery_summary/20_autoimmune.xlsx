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nockniyonkuru/Desktop/"/>
    </mc:Choice>
  </mc:AlternateContent>
  <xr:revisionPtr revIDLastSave="0" documentId="13_ncr:1_{84BF964B-12B5-C049-9C52-FAAE10114E21}" xr6:coauthVersionLast="47" xr6:coauthVersionMax="47" xr10:uidLastSave="{00000000-0000-0000-0000-000000000000}"/>
  <bookViews>
    <workbookView xWindow="0" yWindow="660" windowWidth="29400" windowHeight="18460" xr2:uid="{8D9AF1BE-107C-DB4B-A0B4-D47931CCFC4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21" i="1"/>
  <c r="L21" i="1"/>
  <c r="H21" i="1"/>
  <c r="P20" i="1"/>
  <c r="L20" i="1"/>
  <c r="H20" i="1"/>
  <c r="P19" i="1"/>
  <c r="L19" i="1"/>
  <c r="H19" i="1"/>
  <c r="P18" i="1"/>
  <c r="L18" i="1"/>
  <c r="H18" i="1"/>
  <c r="P17" i="1"/>
  <c r="L17" i="1"/>
  <c r="H17" i="1"/>
  <c r="P16" i="1"/>
  <c r="L16" i="1"/>
  <c r="H16" i="1"/>
  <c r="P15" i="1"/>
  <c r="L15" i="1"/>
  <c r="H15" i="1"/>
  <c r="P14" i="1"/>
  <c r="L14" i="1"/>
  <c r="H14" i="1"/>
  <c r="P13" i="1"/>
  <c r="L13" i="1"/>
  <c r="H13" i="1"/>
  <c r="P12" i="1"/>
  <c r="L12" i="1"/>
  <c r="H12" i="1"/>
  <c r="P11" i="1"/>
  <c r="L11" i="1"/>
  <c r="H11" i="1"/>
  <c r="P10" i="1"/>
  <c r="L10" i="1"/>
  <c r="H10" i="1"/>
  <c r="P9" i="1"/>
  <c r="L9" i="1"/>
  <c r="H9" i="1"/>
  <c r="P8" i="1"/>
  <c r="L8" i="1"/>
  <c r="H8" i="1"/>
  <c r="P7" i="1"/>
  <c r="L7" i="1"/>
  <c r="H7" i="1"/>
  <c r="P6" i="1"/>
  <c r="L6" i="1"/>
  <c r="H6" i="1"/>
  <c r="P5" i="1"/>
  <c r="L5" i="1"/>
  <c r="H5" i="1"/>
  <c r="P4" i="1"/>
  <c r="L4" i="1"/>
  <c r="H4" i="1"/>
  <c r="P3" i="1"/>
  <c r="L3" i="1"/>
  <c r="H3" i="1"/>
  <c r="L2" i="1"/>
  <c r="H2" i="1"/>
</calcChain>
</file>

<file path=xl/sharedStrings.xml><?xml version="1.0" encoding="utf-8"?>
<sst xmlns="http://schemas.openxmlformats.org/spreadsheetml/2006/main" count="56" uniqueCount="56">
  <si>
    <t>disease_name</t>
  </si>
  <si>
    <t>disease_id</t>
  </si>
  <si>
    <t>total_known_drugs_in_database_count</t>
  </si>
  <si>
    <t>total_unique_drugs_cmap_tahoe</t>
  </si>
  <si>
    <t>known_drugs_available_in_cmap_count</t>
  </si>
  <si>
    <t>cmap_hits_count</t>
  </si>
  <si>
    <t>cmap_in_known_count</t>
  </si>
  <si>
    <t>CMAP Recovery Rate</t>
  </si>
  <si>
    <t>known_drugs_available_in_tahoe_count</t>
  </si>
  <si>
    <t>tahoe_hits_count</t>
  </si>
  <si>
    <t>tahoe_in_known_count</t>
  </si>
  <si>
    <t>TAHOE Recovery Rate</t>
  </si>
  <si>
    <t>common_hits_count</t>
  </si>
  <si>
    <t>common_in_known_count</t>
  </si>
  <si>
    <t>total_in_known_count</t>
  </si>
  <si>
    <t>Overall Recovery Rate</t>
  </si>
  <si>
    <t>multiple sclerosis</t>
  </si>
  <si>
    <t>MONDO_0005301</t>
  </si>
  <si>
    <t>systemic lupus erythematosus</t>
  </si>
  <si>
    <t>MONDO_0007915</t>
  </si>
  <si>
    <t>rheumatoid arthritis</t>
  </si>
  <si>
    <t>EFO_0000685</t>
  </si>
  <si>
    <t>type 1 diabetes mellitus</t>
  </si>
  <si>
    <t>MONDO_0005147</t>
  </si>
  <si>
    <t>relapsing-remitting multiple sclerosis</t>
  </si>
  <si>
    <t>EFO_0003929</t>
  </si>
  <si>
    <t>Sjogren's syndrome</t>
  </si>
  <si>
    <t>EFO_0000699</t>
  </si>
  <si>
    <t>ulcerative colitis</t>
  </si>
  <si>
    <t>EFO_0000729</t>
  </si>
  <si>
    <t>autoimmune thrombocytopenic purpura</t>
  </si>
  <si>
    <t>EFO_0007160</t>
  </si>
  <si>
    <t>Crohn's disease</t>
  </si>
  <si>
    <t>EFO_0000384</t>
  </si>
  <si>
    <t>scleroderma</t>
  </si>
  <si>
    <t>EFO_1001993</t>
  </si>
  <si>
    <t>arthritis</t>
  </si>
  <si>
    <t>EFO_0005856</t>
  </si>
  <si>
    <t>inflammatory bowel disease</t>
  </si>
  <si>
    <t>EFO_0003767</t>
  </si>
  <si>
    <t>psoriasis</t>
  </si>
  <si>
    <t>EFO_0000676</t>
  </si>
  <si>
    <t>Psoriasis vulgaris</t>
  </si>
  <si>
    <t>EFO_1001494</t>
  </si>
  <si>
    <t>childhood type dermatomyositis</t>
  </si>
  <si>
    <t>EFO_0000557</t>
  </si>
  <si>
    <t>discoid lupus erythematosus</t>
  </si>
  <si>
    <t>MONDO_0019558</t>
  </si>
  <si>
    <t>inclusion body myositis</t>
  </si>
  <si>
    <t>EFO_0007323</t>
  </si>
  <si>
    <t>colitis</t>
  </si>
  <si>
    <t>EFO_0003872</t>
  </si>
  <si>
    <t>psoriatic arthritis</t>
  </si>
  <si>
    <t>EFO_0003778</t>
  </si>
  <si>
    <t>ankylosing spondylitis</t>
  </si>
  <si>
    <t>EFO_0003898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</si>
</sst>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3" xfId="0" applyFont="1" applyFill="1" applyBorder="1"/>
    <xf numFmtId="0" fontId="2" fillId="5" borderId="0" xfId="0" applyFont="1" applyFill="1"/>
    <xf numFmtId="0" fontId="0" fillId="5" borderId="0" xfId="0" applyFill="1"/>
    <xf numFmtId="0" fontId="0" fillId="0" borderId="0" xfId="0" applyFill="1"/>
    <xf numFmtId="0" fontId="2" fillId="4" borderId="1" xfId="0" applyFont="1" applyFill="1" applyBorder="1"/>
    <xf numFmtId="0" fontId="2" fillId="4" borderId="2" xfId="0" applyFont="1" applyFill="1" applyBorder="1"/>
    <xf numFmtId="0" fontId="0" fillId="4" borderId="5" xfId="0" applyFill="1" applyBorder="1"/>
    <xf numFmtId="0" fontId="0" fillId="4" borderId="0" xfId="0" applyFill="1"/>
    <xf numFmtId="0" fontId="0" fillId="4" borderId="6" xfId="0" applyFill="1" applyBorder="1"/>
    <xf numFmtId="0" fontId="2" fillId="6" borderId="1" xfId="0" applyFont="1" applyFill="1" applyBorder="1"/>
    <xf numFmtId="0" fontId="2" fillId="6" borderId="2" xfId="0" applyFont="1" applyFill="1" applyBorder="1"/>
    <xf numFmtId="0" fontId="2" fillId="6" borderId="3" xfId="0" applyFont="1" applyFill="1" applyBorder="1"/>
    <xf numFmtId="0" fontId="0" fillId="6" borderId="5" xfId="0" applyFill="1" applyBorder="1"/>
    <xf numFmtId="0" fontId="0" fillId="6" borderId="0" xfId="0" applyFill="1"/>
    <xf numFmtId="0" fontId="0" fillId="6" borderId="6" xfId="0" applyFill="1" applyBorder="1"/>
    <xf numFmtId="0" fontId="0" fillId="3" borderId="0" xfId="0" applyFill="1"/>
    <xf numFmtId="10" fontId="2" fillId="7" borderId="0" xfId="1" applyNumberFormat="1" applyFont="1" applyFill="1"/>
    <xf numFmtId="10" fontId="0" fillId="7" borderId="0" xfId="1" applyNumberFormat="1" applyFont="1" applyFill="1"/>
    <xf numFmtId="0" fontId="0" fillId="7" borderId="0" xfId="0" applyFill="1"/>
    <xf numFmtId="164" fontId="2" fillId="7" borderId="4" xfId="1" applyNumberFormat="1" applyFont="1" applyFill="1" applyBorder="1"/>
    <xf numFmtId="164" fontId="0" fillId="7" borderId="7" xfId="1" applyNumberFormat="1" applyFont="1" applyFill="1" applyBorder="1"/>
    <xf numFmtId="164" fontId="2" fillId="7" borderId="2" xfId="1" applyNumberFormat="1" applyFont="1" applyFill="1" applyBorder="1"/>
    <xf numFmtId="164" fontId="0" fillId="7" borderId="0" xfId="1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79135-D08E-5A4E-8A7F-79A91CE1930C}">
  <dimension ref="A1:P21"/>
  <sheetViews>
    <sheetView tabSelected="1" workbookViewId="0">
      <pane xSplit="1" topLeftCell="B1" activePane="topRight" state="frozen"/>
      <selection pane="topRight" activeCell="H22" sqref="H22"/>
    </sheetView>
  </sheetViews>
  <sheetFormatPr baseColWidth="10" defaultRowHeight="16" x14ac:dyDescent="0.2"/>
  <cols>
    <col min="1" max="1" width="33.83203125" bestFit="1" customWidth="1"/>
    <col min="2" max="2" width="15.83203125" bestFit="1" customWidth="1"/>
    <col min="3" max="3" width="33.6640625" bestFit="1" customWidth="1"/>
    <col min="4" max="4" width="28.33203125" style="6" hidden="1" customWidth="1"/>
    <col min="5" max="5" width="34.1640625" style="11" bestFit="1" customWidth="1"/>
    <col min="6" max="6" width="15.33203125" style="11" bestFit="1" customWidth="1"/>
    <col min="7" max="7" width="20" style="11" bestFit="1" customWidth="1"/>
    <col min="8" max="8" width="18.5" style="22" bestFit="1" customWidth="1"/>
    <col min="9" max="9" width="34.1640625" style="17" bestFit="1" customWidth="1"/>
    <col min="10" max="10" width="15.33203125" style="17" bestFit="1" customWidth="1"/>
    <col min="11" max="11" width="20" style="17" bestFit="1" customWidth="1"/>
    <col min="12" max="12" width="19" style="22" bestFit="1" customWidth="1"/>
    <col min="13" max="13" width="18.1640625" style="19" bestFit="1" customWidth="1"/>
    <col min="14" max="14" width="22.83203125" style="19" bestFit="1" customWidth="1"/>
    <col min="15" max="15" width="19.1640625" bestFit="1" customWidth="1"/>
    <col min="16" max="16" width="19.1640625" style="22" bestFit="1" customWidth="1"/>
  </cols>
  <sheetData>
    <row r="1" spans="1:16" s="1" customFormat="1" x14ac:dyDescent="0.2">
      <c r="A1" s="1" t="s">
        <v>0</v>
      </c>
      <c r="B1" s="1" t="s">
        <v>1</v>
      </c>
      <c r="C1" s="2" t="s">
        <v>2</v>
      </c>
      <c r="D1" s="5" t="s">
        <v>3</v>
      </c>
      <c r="E1" s="8" t="s">
        <v>4</v>
      </c>
      <c r="F1" s="9" t="s">
        <v>5</v>
      </c>
      <c r="G1" s="4" t="s">
        <v>6</v>
      </c>
      <c r="H1" s="25" t="s">
        <v>7</v>
      </c>
      <c r="I1" s="13" t="s">
        <v>8</v>
      </c>
      <c r="J1" s="14" t="s">
        <v>9</v>
      </c>
      <c r="K1" s="15" t="s">
        <v>10</v>
      </c>
      <c r="L1" s="23" t="s">
        <v>11</v>
      </c>
      <c r="M1" s="3" t="s">
        <v>12</v>
      </c>
      <c r="N1" s="3" t="s">
        <v>13</v>
      </c>
      <c r="O1" s="1" t="s">
        <v>14</v>
      </c>
      <c r="P1" s="20" t="s">
        <v>15</v>
      </c>
    </row>
    <row r="2" spans="1:16" s="7" customFormat="1" x14ac:dyDescent="0.2">
      <c r="A2" s="7" t="s">
        <v>16</v>
      </c>
      <c r="B2" s="7" t="s">
        <v>17</v>
      </c>
      <c r="C2" s="7">
        <v>1885</v>
      </c>
      <c r="D2" s="7">
        <v>774</v>
      </c>
      <c r="E2" s="10">
        <v>43</v>
      </c>
      <c r="F2" s="11">
        <v>247</v>
      </c>
      <c r="G2" s="12">
        <v>12</v>
      </c>
      <c r="H2" s="26">
        <f>G2/E2</f>
        <v>0.27906976744186046</v>
      </c>
      <c r="I2" s="16">
        <v>16</v>
      </c>
      <c r="J2" s="17">
        <v>141</v>
      </c>
      <c r="K2" s="18">
        <v>7</v>
      </c>
      <c r="L2" s="24">
        <f>K2/I2</f>
        <v>0.4375</v>
      </c>
      <c r="M2" s="19">
        <v>6</v>
      </c>
      <c r="N2" s="19">
        <v>1</v>
      </c>
      <c r="O2" s="7">
        <v>18</v>
      </c>
      <c r="P2" s="21">
        <f>O2/C2</f>
        <v>9.5490716180371346E-3</v>
      </c>
    </row>
    <row r="3" spans="1:16" s="7" customFormat="1" x14ac:dyDescent="0.2">
      <c r="A3" s="7" t="s">
        <v>18</v>
      </c>
      <c r="B3" s="7" t="s">
        <v>19</v>
      </c>
      <c r="C3" s="7">
        <v>1071</v>
      </c>
      <c r="D3" s="7">
        <v>894</v>
      </c>
      <c r="E3" s="10">
        <v>20</v>
      </c>
      <c r="F3" s="11">
        <v>268</v>
      </c>
      <c r="G3" s="12">
        <v>8</v>
      </c>
      <c r="H3" s="26">
        <f>G3/E3</f>
        <v>0.4</v>
      </c>
      <c r="I3" s="16">
        <v>15</v>
      </c>
      <c r="J3" s="17">
        <v>267</v>
      </c>
      <c r="K3" s="18">
        <v>9</v>
      </c>
      <c r="L3" s="24">
        <f>K3/I3</f>
        <v>0.6</v>
      </c>
      <c r="M3" s="19">
        <v>11</v>
      </c>
      <c r="N3" s="19">
        <v>1</v>
      </c>
      <c r="O3" s="7">
        <v>16</v>
      </c>
      <c r="P3" s="21">
        <f>O3/C3</f>
        <v>1.4939309056956116E-2</v>
      </c>
    </row>
    <row r="4" spans="1:16" s="7" customFormat="1" x14ac:dyDescent="0.2">
      <c r="A4" s="7" t="s">
        <v>20</v>
      </c>
      <c r="B4" s="7" t="s">
        <v>21</v>
      </c>
      <c r="C4" s="7">
        <v>2397</v>
      </c>
      <c r="D4" s="7">
        <v>859</v>
      </c>
      <c r="E4" s="10">
        <v>45</v>
      </c>
      <c r="F4" s="11">
        <v>164</v>
      </c>
      <c r="G4" s="12">
        <v>8</v>
      </c>
      <c r="H4" s="26">
        <f>G4/E4</f>
        <v>0.17777777777777778</v>
      </c>
      <c r="I4" s="16">
        <v>25</v>
      </c>
      <c r="J4" s="17">
        <v>272</v>
      </c>
      <c r="K4" s="18">
        <v>16</v>
      </c>
      <c r="L4" s="24">
        <f>K4/I4</f>
        <v>0.64</v>
      </c>
      <c r="M4" s="19">
        <v>4</v>
      </c>
      <c r="N4" s="19">
        <v>2</v>
      </c>
      <c r="O4" s="7">
        <v>22</v>
      </c>
      <c r="P4" s="21">
        <f>O4/C4</f>
        <v>9.1781393408427205E-3</v>
      </c>
    </row>
    <row r="5" spans="1:16" s="7" customFormat="1" x14ac:dyDescent="0.2">
      <c r="A5" s="7" t="s">
        <v>22</v>
      </c>
      <c r="B5" s="7" t="s">
        <v>23</v>
      </c>
      <c r="C5" s="7">
        <v>1788</v>
      </c>
      <c r="D5" s="7">
        <v>807</v>
      </c>
      <c r="E5" s="10">
        <v>31</v>
      </c>
      <c r="F5" s="11">
        <v>201</v>
      </c>
      <c r="G5" s="12">
        <v>8</v>
      </c>
      <c r="H5" s="26">
        <f>G5/E5</f>
        <v>0.25806451612903225</v>
      </c>
      <c r="I5" s="16">
        <v>12</v>
      </c>
      <c r="J5" s="17">
        <v>178</v>
      </c>
      <c r="K5" s="18">
        <v>2</v>
      </c>
      <c r="L5" s="24">
        <f>K5/I5</f>
        <v>0.16666666666666666</v>
      </c>
      <c r="M5" s="19">
        <v>3</v>
      </c>
      <c r="N5" s="19">
        <v>0</v>
      </c>
      <c r="O5" s="7">
        <v>10</v>
      </c>
      <c r="P5" s="21">
        <f>O5/C5</f>
        <v>5.5928411633109623E-3</v>
      </c>
    </row>
    <row r="6" spans="1:16" s="7" customFormat="1" x14ac:dyDescent="0.2">
      <c r="A6" s="7" t="s">
        <v>24</v>
      </c>
      <c r="B6" s="7" t="s">
        <v>25</v>
      </c>
      <c r="C6" s="7">
        <v>816</v>
      </c>
      <c r="D6" s="7">
        <v>1065</v>
      </c>
      <c r="E6" s="10">
        <v>19</v>
      </c>
      <c r="F6" s="11">
        <v>679</v>
      </c>
      <c r="G6" s="12">
        <v>6</v>
      </c>
      <c r="H6" s="26">
        <f>G6/E6</f>
        <v>0.31578947368421051</v>
      </c>
      <c r="I6" s="16">
        <v>9</v>
      </c>
      <c r="J6" s="17">
        <v>248</v>
      </c>
      <c r="K6" s="18">
        <v>6</v>
      </c>
      <c r="L6" s="24">
        <f>K6/I6</f>
        <v>0.66666666666666663</v>
      </c>
      <c r="M6" s="19">
        <v>20</v>
      </c>
      <c r="N6" s="19">
        <v>0</v>
      </c>
      <c r="O6" s="7">
        <v>12</v>
      </c>
      <c r="P6" s="21">
        <f>O6/C6</f>
        <v>1.4705882352941176E-2</v>
      </c>
    </row>
    <row r="7" spans="1:16" s="7" customFormat="1" x14ac:dyDescent="0.2">
      <c r="A7" s="7" t="s">
        <v>26</v>
      </c>
      <c r="B7" s="7" t="s">
        <v>27</v>
      </c>
      <c r="C7" s="7">
        <v>304</v>
      </c>
      <c r="D7" s="7">
        <v>1086</v>
      </c>
      <c r="E7" s="10">
        <v>6</v>
      </c>
      <c r="F7" s="11">
        <v>701</v>
      </c>
      <c r="G7" s="12">
        <v>4</v>
      </c>
      <c r="H7" s="26">
        <f>G7/E7</f>
        <v>0.66666666666666663</v>
      </c>
      <c r="I7" s="16">
        <v>4</v>
      </c>
      <c r="J7" s="17">
        <v>315</v>
      </c>
      <c r="K7" s="18">
        <v>4</v>
      </c>
      <c r="L7" s="24">
        <f>K7/I7</f>
        <v>1</v>
      </c>
      <c r="M7" s="19">
        <v>29</v>
      </c>
      <c r="N7" s="19">
        <v>0</v>
      </c>
      <c r="O7" s="7">
        <v>8</v>
      </c>
      <c r="P7" s="21">
        <f>O7/C7</f>
        <v>2.6315789473684209E-2</v>
      </c>
    </row>
    <row r="8" spans="1:16" s="7" customFormat="1" x14ac:dyDescent="0.2">
      <c r="A8" s="7" t="s">
        <v>28</v>
      </c>
      <c r="B8" s="7" t="s">
        <v>29</v>
      </c>
      <c r="C8" s="7">
        <v>1192</v>
      </c>
      <c r="D8" s="7">
        <v>619</v>
      </c>
      <c r="E8" s="10">
        <v>24</v>
      </c>
      <c r="F8" s="11">
        <v>68</v>
      </c>
      <c r="G8" s="12">
        <v>3</v>
      </c>
      <c r="H8" s="26">
        <f>G8/E8</f>
        <v>0.125</v>
      </c>
      <c r="I8" s="16">
        <v>10</v>
      </c>
      <c r="J8" s="17">
        <v>207</v>
      </c>
      <c r="K8" s="18">
        <v>5</v>
      </c>
      <c r="L8" s="24">
        <f>K8/I8</f>
        <v>0.5</v>
      </c>
      <c r="M8" s="19">
        <v>1</v>
      </c>
      <c r="N8" s="19">
        <v>0</v>
      </c>
      <c r="O8" s="7">
        <v>8</v>
      </c>
      <c r="P8" s="21">
        <f>O8/C8</f>
        <v>6.7114093959731542E-3</v>
      </c>
    </row>
    <row r="9" spans="1:16" s="7" customFormat="1" x14ac:dyDescent="0.2">
      <c r="A9" s="7" t="s">
        <v>30</v>
      </c>
      <c r="B9" s="7" t="s">
        <v>31</v>
      </c>
      <c r="C9" s="7">
        <v>605</v>
      </c>
      <c r="D9" s="7">
        <v>474</v>
      </c>
      <c r="E9" s="10">
        <v>16</v>
      </c>
      <c r="F9" s="11">
        <v>28</v>
      </c>
      <c r="G9" s="12">
        <v>2</v>
      </c>
      <c r="H9" s="26">
        <f>G9/E9</f>
        <v>0.125</v>
      </c>
      <c r="I9" s="16">
        <v>11</v>
      </c>
      <c r="J9" s="17">
        <v>379</v>
      </c>
      <c r="K9" s="18">
        <v>11</v>
      </c>
      <c r="L9" s="24">
        <f>K9/I9</f>
        <v>1</v>
      </c>
      <c r="M9" s="19">
        <v>3</v>
      </c>
      <c r="N9" s="19">
        <v>0</v>
      </c>
      <c r="O9" s="7">
        <v>13</v>
      </c>
      <c r="P9" s="21">
        <f>O9/C9</f>
        <v>2.1487603305785124E-2</v>
      </c>
    </row>
    <row r="10" spans="1:16" s="7" customFormat="1" x14ac:dyDescent="0.2">
      <c r="A10" s="7" t="s">
        <v>32</v>
      </c>
      <c r="B10" s="7" t="s">
        <v>33</v>
      </c>
      <c r="C10" s="7">
        <v>1283</v>
      </c>
      <c r="D10" s="7">
        <v>476</v>
      </c>
      <c r="E10" s="10">
        <v>27</v>
      </c>
      <c r="F10" s="11">
        <v>102</v>
      </c>
      <c r="G10" s="12">
        <v>2</v>
      </c>
      <c r="H10" s="26">
        <f>G10/E10</f>
        <v>7.407407407407407E-2</v>
      </c>
      <c r="I10" s="16">
        <v>12</v>
      </c>
      <c r="J10" s="17">
        <v>332</v>
      </c>
      <c r="K10" s="18">
        <v>9</v>
      </c>
      <c r="L10" s="24">
        <f>K10/I10</f>
        <v>0.75</v>
      </c>
      <c r="M10" s="19">
        <v>4</v>
      </c>
      <c r="N10" s="19">
        <v>0</v>
      </c>
      <c r="O10" s="7">
        <v>11</v>
      </c>
      <c r="P10" s="21">
        <f>O10/C10</f>
        <v>8.5736554949337497E-3</v>
      </c>
    </row>
    <row r="11" spans="1:16" s="7" customFormat="1" x14ac:dyDescent="0.2">
      <c r="A11" s="7" t="s">
        <v>34</v>
      </c>
      <c r="B11" s="7" t="s">
        <v>35</v>
      </c>
      <c r="C11" s="7">
        <v>224</v>
      </c>
      <c r="D11" s="7">
        <v>978</v>
      </c>
      <c r="E11" s="10">
        <v>4</v>
      </c>
      <c r="F11" s="11">
        <v>300</v>
      </c>
      <c r="G11" s="12">
        <v>2</v>
      </c>
      <c r="H11" s="26">
        <f>G11/E11</f>
        <v>0.5</v>
      </c>
      <c r="I11" s="16">
        <v>1</v>
      </c>
      <c r="J11" s="17">
        <v>230</v>
      </c>
      <c r="K11" s="18">
        <v>1</v>
      </c>
      <c r="L11" s="24">
        <f>K11/I11</f>
        <v>1</v>
      </c>
      <c r="M11" s="19">
        <v>13</v>
      </c>
      <c r="N11" s="19">
        <v>0</v>
      </c>
      <c r="O11" s="7">
        <v>3</v>
      </c>
      <c r="P11" s="21">
        <f>O11/C11</f>
        <v>1.3392857142857142E-2</v>
      </c>
    </row>
    <row r="12" spans="1:16" s="7" customFormat="1" x14ac:dyDescent="0.2">
      <c r="A12" s="7" t="s">
        <v>36</v>
      </c>
      <c r="B12" s="7" t="s">
        <v>37</v>
      </c>
      <c r="C12" s="7">
        <v>435</v>
      </c>
      <c r="D12" s="7">
        <v>191</v>
      </c>
      <c r="E12" s="10">
        <v>6</v>
      </c>
      <c r="F12" s="11">
        <v>72</v>
      </c>
      <c r="G12" s="12">
        <v>2</v>
      </c>
      <c r="H12" s="26">
        <f>G12/E12</f>
        <v>0.33333333333333331</v>
      </c>
      <c r="I12" s="16">
        <v>2</v>
      </c>
      <c r="J12" s="17">
        <v>81</v>
      </c>
      <c r="K12" s="18">
        <v>0</v>
      </c>
      <c r="L12" s="24">
        <f>K12/I12</f>
        <v>0</v>
      </c>
      <c r="M12" s="19">
        <v>1</v>
      </c>
      <c r="N12" s="19">
        <v>0</v>
      </c>
      <c r="O12" s="7">
        <v>2</v>
      </c>
      <c r="P12" s="21">
        <f>O12/C12</f>
        <v>4.5977011494252873E-3</v>
      </c>
    </row>
    <row r="13" spans="1:16" s="7" customFormat="1" x14ac:dyDescent="0.2">
      <c r="A13" s="7" t="s">
        <v>38</v>
      </c>
      <c r="B13" s="7" t="s">
        <v>39</v>
      </c>
      <c r="C13" s="7">
        <v>538</v>
      </c>
      <c r="D13" s="7">
        <v>503</v>
      </c>
      <c r="E13" s="10">
        <v>11</v>
      </c>
      <c r="F13" s="11">
        <v>109</v>
      </c>
      <c r="G13" s="12">
        <v>1</v>
      </c>
      <c r="H13" s="26">
        <f>G13/E13</f>
        <v>9.0909090909090912E-2</v>
      </c>
      <c r="I13" s="16">
        <v>7</v>
      </c>
      <c r="J13" s="17">
        <v>345</v>
      </c>
      <c r="K13" s="18">
        <v>6</v>
      </c>
      <c r="L13" s="24">
        <f>K13/I13</f>
        <v>0.8571428571428571</v>
      </c>
      <c r="M13" s="19">
        <v>8</v>
      </c>
      <c r="N13" s="19">
        <v>1</v>
      </c>
      <c r="O13" s="7">
        <v>6</v>
      </c>
      <c r="P13" s="21">
        <f>O13/C13</f>
        <v>1.1152416356877323E-2</v>
      </c>
    </row>
    <row r="14" spans="1:16" s="7" customFormat="1" x14ac:dyDescent="0.2">
      <c r="A14" s="7" t="s">
        <v>40</v>
      </c>
      <c r="B14" s="7" t="s">
        <v>41</v>
      </c>
      <c r="C14" s="7">
        <v>1473</v>
      </c>
      <c r="D14" s="7">
        <v>685</v>
      </c>
      <c r="E14" s="10">
        <v>24</v>
      </c>
      <c r="F14" s="11">
        <v>58</v>
      </c>
      <c r="G14" s="12">
        <v>1</v>
      </c>
      <c r="H14" s="26">
        <f>G14/E14</f>
        <v>4.1666666666666664E-2</v>
      </c>
      <c r="I14" s="16">
        <v>15</v>
      </c>
      <c r="J14" s="17">
        <v>332</v>
      </c>
      <c r="K14" s="18">
        <v>14</v>
      </c>
      <c r="L14" s="24">
        <f>K14/I14</f>
        <v>0.93333333333333335</v>
      </c>
      <c r="M14" s="19">
        <v>1</v>
      </c>
      <c r="N14" s="19">
        <v>0</v>
      </c>
      <c r="O14" s="7">
        <v>15</v>
      </c>
      <c r="P14" s="21">
        <f>O14/C14</f>
        <v>1.0183299389002037E-2</v>
      </c>
    </row>
    <row r="15" spans="1:16" s="7" customFormat="1" x14ac:dyDescent="0.2">
      <c r="A15" s="7" t="s">
        <v>42</v>
      </c>
      <c r="B15" s="7" t="s">
        <v>43</v>
      </c>
      <c r="C15" s="7">
        <v>658</v>
      </c>
      <c r="D15" s="7">
        <v>1005</v>
      </c>
      <c r="E15" s="10">
        <v>6</v>
      </c>
      <c r="F15" s="11">
        <v>237</v>
      </c>
      <c r="G15" s="12">
        <v>1</v>
      </c>
      <c r="H15" s="26">
        <f>G15/E15</f>
        <v>0.16666666666666666</v>
      </c>
      <c r="I15" s="16">
        <v>7</v>
      </c>
      <c r="J15" s="17">
        <v>312</v>
      </c>
      <c r="K15" s="18">
        <v>7</v>
      </c>
      <c r="L15" s="24">
        <f>K15/I15</f>
        <v>1</v>
      </c>
      <c r="M15" s="19">
        <v>11</v>
      </c>
      <c r="N15" s="19">
        <v>1</v>
      </c>
      <c r="O15" s="7">
        <v>7</v>
      </c>
      <c r="P15" s="21">
        <f>O15/C15</f>
        <v>1.0638297872340425E-2</v>
      </c>
    </row>
    <row r="16" spans="1:16" s="7" customFormat="1" x14ac:dyDescent="0.2">
      <c r="A16" s="7" t="s">
        <v>44</v>
      </c>
      <c r="B16" s="7" t="s">
        <v>45</v>
      </c>
      <c r="C16" s="7">
        <v>160</v>
      </c>
      <c r="D16" s="7">
        <v>481</v>
      </c>
      <c r="E16" s="10">
        <v>4</v>
      </c>
      <c r="F16" s="11">
        <v>7</v>
      </c>
      <c r="G16" s="12">
        <v>0</v>
      </c>
      <c r="H16" s="26">
        <f>G16/E16</f>
        <v>0</v>
      </c>
      <c r="I16" s="16">
        <v>2</v>
      </c>
      <c r="J16" s="17">
        <v>370</v>
      </c>
      <c r="K16" s="18">
        <v>2</v>
      </c>
      <c r="L16" s="24">
        <f>K16/I16</f>
        <v>1</v>
      </c>
      <c r="M16" s="19">
        <v>0</v>
      </c>
      <c r="N16" s="19">
        <v>0</v>
      </c>
      <c r="O16" s="7">
        <v>2</v>
      </c>
      <c r="P16" s="21">
        <f>O16/C16</f>
        <v>1.2500000000000001E-2</v>
      </c>
    </row>
    <row r="17" spans="1:16" s="7" customFormat="1" x14ac:dyDescent="0.2">
      <c r="A17" s="7" t="s">
        <v>46</v>
      </c>
      <c r="B17" s="7" t="s">
        <v>47</v>
      </c>
      <c r="C17" s="7">
        <v>84</v>
      </c>
      <c r="D17" s="7">
        <v>433</v>
      </c>
      <c r="E17" s="10">
        <v>1</v>
      </c>
      <c r="F17" s="11">
        <v>6</v>
      </c>
      <c r="G17" s="12">
        <v>0</v>
      </c>
      <c r="H17" s="26">
        <f>G17/E17</f>
        <v>0</v>
      </c>
      <c r="I17" s="16">
        <v>2</v>
      </c>
      <c r="J17" s="17">
        <v>357</v>
      </c>
      <c r="K17" s="18">
        <v>2</v>
      </c>
      <c r="L17" s="24">
        <f>K17/I17</f>
        <v>1</v>
      </c>
      <c r="M17" s="19">
        <v>0</v>
      </c>
      <c r="N17" s="19">
        <v>0</v>
      </c>
      <c r="O17" s="7">
        <v>2</v>
      </c>
      <c r="P17" s="21">
        <f>O17/C17</f>
        <v>2.3809523809523808E-2</v>
      </c>
    </row>
    <row r="18" spans="1:16" s="7" customFormat="1" x14ac:dyDescent="0.2">
      <c r="A18" s="7" t="s">
        <v>48</v>
      </c>
      <c r="B18" s="7" t="s">
        <v>49</v>
      </c>
      <c r="C18" s="7">
        <v>69</v>
      </c>
      <c r="D18" s="7">
        <v>419</v>
      </c>
      <c r="E18" s="10">
        <v>1</v>
      </c>
      <c r="F18" s="11">
        <v>7</v>
      </c>
      <c r="G18" s="12">
        <v>0</v>
      </c>
      <c r="H18" s="26">
        <f>G18/E18</f>
        <v>0</v>
      </c>
      <c r="I18" s="16">
        <v>1</v>
      </c>
      <c r="J18" s="17">
        <v>357</v>
      </c>
      <c r="K18" s="18">
        <v>1</v>
      </c>
      <c r="L18" s="24">
        <f>K18/I18</f>
        <v>1</v>
      </c>
      <c r="M18" s="19">
        <v>0</v>
      </c>
      <c r="N18" s="19">
        <v>0</v>
      </c>
      <c r="O18" s="7">
        <v>1</v>
      </c>
      <c r="P18" s="21">
        <f>O18/C18</f>
        <v>1.4492753623188406E-2</v>
      </c>
    </row>
    <row r="19" spans="1:16" s="7" customFormat="1" x14ac:dyDescent="0.2">
      <c r="A19" s="7" t="s">
        <v>50</v>
      </c>
      <c r="B19" s="7" t="s">
        <v>51</v>
      </c>
      <c r="C19" s="7">
        <v>202</v>
      </c>
      <c r="D19" s="7">
        <v>413</v>
      </c>
      <c r="E19" s="10">
        <v>5</v>
      </c>
      <c r="F19" s="11">
        <v>18</v>
      </c>
      <c r="G19" s="12">
        <v>0</v>
      </c>
      <c r="H19" s="26">
        <f>G19/E19</f>
        <v>0</v>
      </c>
      <c r="I19" s="16">
        <v>1</v>
      </c>
      <c r="J19" s="17">
        <v>305</v>
      </c>
      <c r="K19" s="18">
        <v>1</v>
      </c>
      <c r="L19" s="24">
        <f>K19/I19</f>
        <v>1</v>
      </c>
      <c r="M19" s="19">
        <v>0</v>
      </c>
      <c r="N19" s="19">
        <v>0</v>
      </c>
      <c r="O19" s="7">
        <v>1</v>
      </c>
      <c r="P19" s="21">
        <f>O19/C19</f>
        <v>4.9504950495049506E-3</v>
      </c>
    </row>
    <row r="20" spans="1:16" s="7" customFormat="1" x14ac:dyDescent="0.2">
      <c r="A20" s="7" t="s">
        <v>52</v>
      </c>
      <c r="B20" s="7" t="s">
        <v>53</v>
      </c>
      <c r="C20" s="7">
        <v>630</v>
      </c>
      <c r="D20" s="7">
        <v>709</v>
      </c>
      <c r="E20" s="10">
        <v>9</v>
      </c>
      <c r="F20" s="11">
        <v>5</v>
      </c>
      <c r="G20" s="12">
        <v>0</v>
      </c>
      <c r="H20" s="26">
        <f>G20/E20</f>
        <v>0</v>
      </c>
      <c r="I20" s="16">
        <v>6</v>
      </c>
      <c r="J20" s="17">
        <v>365</v>
      </c>
      <c r="K20" s="18">
        <v>6</v>
      </c>
      <c r="L20" s="24">
        <f>K20/I20</f>
        <v>1</v>
      </c>
      <c r="M20" s="19">
        <v>0</v>
      </c>
      <c r="N20" s="19">
        <v>0</v>
      </c>
      <c r="O20" s="7">
        <v>6</v>
      </c>
      <c r="P20" s="21">
        <f>O20/C20</f>
        <v>9.5238095238095247E-3</v>
      </c>
    </row>
    <row r="21" spans="1:16" s="7" customFormat="1" x14ac:dyDescent="0.2">
      <c r="A21" s="7" t="s">
        <v>54</v>
      </c>
      <c r="B21" s="7" t="s">
        <v>55</v>
      </c>
      <c r="C21" s="7">
        <v>634</v>
      </c>
      <c r="D21" s="7">
        <v>417</v>
      </c>
      <c r="E21" s="10">
        <v>12</v>
      </c>
      <c r="F21" s="11">
        <v>7</v>
      </c>
      <c r="G21" s="12">
        <v>0</v>
      </c>
      <c r="H21" s="26">
        <f>G21/E21</f>
        <v>0</v>
      </c>
      <c r="I21" s="16">
        <v>9</v>
      </c>
      <c r="J21" s="17">
        <v>272</v>
      </c>
      <c r="K21" s="18">
        <v>7</v>
      </c>
      <c r="L21" s="24">
        <f>K21/I21</f>
        <v>0.77777777777777779</v>
      </c>
      <c r="M21" s="19">
        <v>0</v>
      </c>
      <c r="N21" s="19">
        <v>0</v>
      </c>
      <c r="O21" s="7">
        <v>7</v>
      </c>
      <c r="P21" s="21">
        <f>O21/C21</f>
        <v>1.1041009463722398E-2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Niyonkuru, Enock</dc:creator>
  <cp:lastModifiedBy>Niyonkuru, Enock</cp:lastModifiedBy>
  <dcterms:created xsi:type="dcterms:W3CDTF">2025-12-19T08:17:14Z</dcterms:created>
  <dcterms:modified xsi:type="dcterms:W3CDTF">2025-12-19T08:47:55Z</dcterms:modified>
</cp:coreProperties>
</file>