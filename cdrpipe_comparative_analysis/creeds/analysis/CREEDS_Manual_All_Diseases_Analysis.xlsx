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l_diseases_q0.05" sheetId="1" state="visible" r:id="rId1"/>
    <sheet name="all_diseases_q0.05_no_match" sheetId="2" state="visible" r:id="rId2"/>
    <sheet name="name_matches_q0.05_no_match" sheetId="3" state="visible" r:id="rId3"/>
    <sheet name="synonym_matches_q0.05_no_match" sheetId="4" state="visible" r:id="rId4"/>
    <sheet name="all_diseases_q0.5" sheetId="5" state="visible" r:id="rId5"/>
    <sheet name="all_diseases_q0.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9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10" fontId="2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1" fillId="4" borderId="0" pivotButton="0" quotePrefix="0" xfId="0"/>
    <xf numFmtId="0" fontId="1" fillId="5" borderId="0" pivotButton="0" quotePrefix="0" xfId="0"/>
    <xf numFmtId="0" fontId="2" fillId="5" borderId="0" applyAlignment="1" pivotButton="0" quotePrefix="0" xfId="0">
      <alignment vertical="bottom"/>
    </xf>
    <xf numFmtId="1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1" fillId="3" borderId="0" pivotButton="0" quotePrefix="0" xfId="0"/>
    <xf numFmtId="0" fontId="1" fillId="6" borderId="0" pivotButton="0" quotePrefix="0" xfId="0"/>
    <xf numFmtId="10" fontId="1" fillId="6" borderId="0" pivotButton="0" quotePrefix="0" xfId="0"/>
    <xf numFmtId="0" fontId="1" fillId="7" borderId="0" pivotButton="0" quotePrefix="0" xfId="0"/>
    <xf numFmtId="0" fontId="1" fillId="7" borderId="0" pivotButton="0" quotePrefix="0" xfId="0"/>
    <xf numFmtId="0" fontId="1" fillId="2" borderId="0" pivotButton="0" quotePrefix="0" xfId="0"/>
    <xf numFmtId="1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8" borderId="0" pivotButton="0" quotePrefix="0" xfId="0"/>
    <xf numFmtId="0" fontId="1" fillId="8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M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1.75" customWidth="1" style="21" min="1" max="1"/>
    <col width="14.75" customWidth="1" style="21" min="2" max="2"/>
    <col width="9.630000000000001" customWidth="1" style="21" min="3" max="3"/>
    <col width="9.75" customWidth="1" style="21" min="4" max="4"/>
    <col width="30.75" customWidth="1" style="21" min="5" max="5"/>
    <col width="13.75" customWidth="1" style="21" min="6" max="6"/>
    <col width="18.13" customWidth="1" style="21" min="7" max="7"/>
    <col width="12.88" customWidth="1" style="21" min="8" max="9"/>
    <col width="30.63" customWidth="1" style="21" min="10" max="10"/>
    <col width="13.63" customWidth="1" style="21" min="11" max="11"/>
    <col width="18" customWidth="1" style="21" min="12" max="12"/>
    <col width="13.13" customWidth="1" style="21" min="13" max="13"/>
    <col width="10.88" customWidth="1" style="21" min="14" max="14"/>
    <col width="15.88" customWidth="1" style="21" min="15" max="15"/>
    <col width="20.38" customWidth="1" style="21" min="16" max="16"/>
    <col width="15.13" customWidth="1" style="21" min="17" max="17"/>
    <col width="25.88" customWidth="1" style="21" min="18" max="18"/>
    <col width="17.13" customWidth="1" style="21" min="19" max="19"/>
    <col width="8.75" customWidth="1" style="21" min="20" max="24"/>
    <col width="21.5" customWidth="1" style="21" min="25" max="25"/>
    <col width="14.38" customWidth="1" style="21" min="26" max="26"/>
    <col width="22.13" customWidth="1" style="21" min="27" max="27"/>
    <col width="19" customWidth="1" style="21" min="28" max="28"/>
    <col width="13.88" customWidth="1" style="21" min="29" max="29"/>
    <col width="14.75" customWidth="1" style="21" min="30" max="30"/>
    <col width="14.63" customWidth="1" style="21" min="31" max="31"/>
    <col width="13.38" customWidth="1" style="21" min="32" max="32"/>
    <col width="18.25" customWidth="1" style="21" min="33" max="33"/>
    <col width="14.25" customWidth="1" style="21" min="34" max="34"/>
    <col width="14.75" customWidth="1" style="21" min="35" max="35"/>
    <col width="14.63" customWidth="1" style="21" min="36" max="36"/>
    <col width="13.38" customWidth="1" style="21" min="37" max="37"/>
    <col width="18.25" customWidth="1" style="21" min="38" max="38"/>
    <col width="14.25" customWidth="1" style="21" min="39" max="39"/>
  </cols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match_type</t>
        </is>
      </c>
      <c r="D1" s="1" t="inlineStr">
        <is>
          <t>q_threshold</t>
        </is>
      </c>
      <c r="E1" s="15" t="inlineStr">
        <is>
          <t>known_drugs_available_in_tahoe_count</t>
        </is>
      </c>
      <c r="F1" s="15" t="inlineStr">
        <is>
          <t>tahoe_hits_count</t>
        </is>
      </c>
      <c r="G1" s="15" t="inlineStr">
        <is>
          <t>tahoe_in_known_count</t>
        </is>
      </c>
      <c r="H1" s="8" t="inlineStr">
        <is>
          <t>Tahoe Precision</t>
        </is>
      </c>
      <c r="I1" s="8" t="inlineStr">
        <is>
          <t>Tahoe Recall</t>
        </is>
      </c>
      <c r="J1" s="4" t="inlineStr">
        <is>
          <t>known_drugs_available_in_cmap_count</t>
        </is>
      </c>
      <c r="K1" s="17" t="inlineStr">
        <is>
          <t>cmap_hits_count</t>
        </is>
      </c>
      <c r="L1" s="17" t="inlineStr">
        <is>
          <t>cmap_in_known_count</t>
        </is>
      </c>
      <c r="M1" s="8" t="inlineStr">
        <is>
          <t>CMAP Precision</t>
        </is>
      </c>
      <c r="N1" s="8" t="inlineStr">
        <is>
          <t>CMAP Recall</t>
        </is>
      </c>
      <c r="O1" s="18" t="inlineStr">
        <is>
          <t>common_hits_count</t>
        </is>
      </c>
      <c r="P1" s="7" t="inlineStr">
        <is>
          <t>common_in_known_count</t>
        </is>
      </c>
      <c r="Q1" s="8" t="inlineStr">
        <is>
          <t>Common Precision</t>
        </is>
      </c>
      <c r="R1" s="9" t="inlineStr">
        <is>
          <t>known_drugs_in_database_count</t>
        </is>
      </c>
      <c r="S1" s="9" t="inlineStr">
        <is>
          <t>total_in_known_count</t>
        </is>
      </c>
      <c r="T1" s="1" t="inlineStr">
        <is>
          <t>phase_0.5</t>
        </is>
      </c>
      <c r="U1" s="1" t="inlineStr">
        <is>
          <t>phase_1.0</t>
        </is>
      </c>
      <c r="V1" s="9" t="inlineStr">
        <is>
          <t>phase_2.0</t>
        </is>
      </c>
      <c r="W1" s="1" t="inlineStr">
        <is>
          <t>phase_3.0</t>
        </is>
      </c>
      <c r="X1" s="1" t="inlineStr">
        <is>
          <t>phase_4.0</t>
        </is>
      </c>
      <c r="Y1" s="1" t="inlineStr">
        <is>
          <t>status_Active, not recruiting</t>
        </is>
      </c>
      <c r="Z1" s="1" t="inlineStr">
        <is>
          <t>status_Completed</t>
        </is>
      </c>
      <c r="AA1" s="1" t="inlineStr">
        <is>
          <t>status_Enrolling by invitation</t>
        </is>
      </c>
      <c r="AB1" s="1" t="inlineStr">
        <is>
          <t>status_Not yet recruiting</t>
        </is>
      </c>
      <c r="AC1" s="1" t="inlineStr">
        <is>
          <t>status_Recruiting</t>
        </is>
      </c>
      <c r="AD1" s="1" t="inlineStr">
        <is>
          <t>status_Suspended</t>
        </is>
      </c>
      <c r="AE1" s="1" t="inlineStr">
        <is>
          <t>status_Terminated</t>
        </is>
      </c>
      <c r="AF1" s="1" t="inlineStr">
        <is>
          <t>status_Unknown</t>
        </is>
      </c>
      <c r="AG1" s="1" t="inlineStr">
        <is>
          <t>status_Unknown status</t>
        </is>
      </c>
      <c r="AH1" s="1" t="inlineStr">
        <is>
          <t>status_Withdrawn</t>
        </is>
      </c>
      <c r="AI1" s="1" t="inlineStr">
        <is>
          <t>status_Suspended</t>
        </is>
      </c>
      <c r="AJ1" s="1" t="inlineStr">
        <is>
          <t>status_Terminated</t>
        </is>
      </c>
      <c r="AK1" s="1" t="inlineStr">
        <is>
          <t>status_Unknown</t>
        </is>
      </c>
      <c r="AL1" s="1" t="inlineStr">
        <is>
          <t>status_Unknown status</t>
        </is>
      </c>
      <c r="AM1" s="1" t="inlineStr">
        <is>
          <t>status_Withdrawn</t>
        </is>
      </c>
    </row>
    <row r="2">
      <c r="A2" s="1" t="inlineStr">
        <is>
          <t>NASH</t>
        </is>
      </c>
      <c r="B2" s="1" t="inlineStr">
        <is>
          <t>EFO_1001249</t>
        </is>
      </c>
      <c r="C2" s="1" t="inlineStr">
        <is>
          <t>synonym</t>
        </is>
      </c>
      <c r="D2" s="1" t="n">
        <v>0.05</v>
      </c>
      <c r="E2" s="15" t="n">
        <v>6</v>
      </c>
      <c r="F2" s="15" t="n">
        <v>379</v>
      </c>
      <c r="G2" s="15" t="n">
        <v>6</v>
      </c>
      <c r="H2" s="16">
        <f>G2/F2</f>
        <v/>
      </c>
      <c r="I2" s="16">
        <f>G2/E2</f>
        <v/>
      </c>
      <c r="J2" s="17" t="n">
        <v>11</v>
      </c>
      <c r="K2" s="17" t="n">
        <v>761</v>
      </c>
      <c r="L2" s="17" t="n">
        <v>10</v>
      </c>
      <c r="M2" s="16">
        <f>L2/K2</f>
        <v/>
      </c>
      <c r="N2" s="16">
        <f>L2/J2</f>
        <v/>
      </c>
      <c r="O2" s="18" t="n">
        <v>33</v>
      </c>
      <c r="P2" s="18" t="n">
        <v>5</v>
      </c>
      <c r="Q2" s="16">
        <f>P2/O2</f>
        <v/>
      </c>
      <c r="R2" s="1" t="n">
        <v>486</v>
      </c>
      <c r="S2" s="1" t="n">
        <v>11</v>
      </c>
      <c r="T2" s="1" t="n">
        <v>0</v>
      </c>
      <c r="U2" s="1" t="n">
        <v>6</v>
      </c>
      <c r="V2" s="1" t="n">
        <v>8</v>
      </c>
      <c r="W2" s="1" t="n">
        <v>3</v>
      </c>
      <c r="X2" s="1" t="n">
        <v>0</v>
      </c>
      <c r="Y2" s="1" t="n">
        <v>2</v>
      </c>
      <c r="Z2" s="1" t="n">
        <v>11</v>
      </c>
      <c r="AA2" s="1" t="n">
        <v>0</v>
      </c>
      <c r="AB2" s="1" t="n">
        <v>0</v>
      </c>
      <c r="AC2" s="1" t="n">
        <v>1</v>
      </c>
      <c r="AD2" s="1" t="n">
        <v>0</v>
      </c>
      <c r="AE2" s="1" t="n">
        <v>0</v>
      </c>
      <c r="AF2" s="1" t="n">
        <v>0</v>
      </c>
      <c r="AG2" s="1" t="n">
        <v>2</v>
      </c>
      <c r="AH2" s="1" t="n">
        <v>1</v>
      </c>
      <c r="AI2" s="1" t="n">
        <v>0</v>
      </c>
      <c r="AJ2" s="1" t="n">
        <v>6</v>
      </c>
      <c r="AK2" s="1" t="n">
        <v>0</v>
      </c>
      <c r="AL2" s="1" t="n">
        <v>5</v>
      </c>
      <c r="AM2" s="1" t="n">
        <v>6</v>
      </c>
    </row>
    <row r="3">
      <c r="A3" s="1" t="inlineStr">
        <is>
          <t>Squamous cell carcinoma of mouth</t>
        </is>
      </c>
      <c r="B3" s="1" t="inlineStr">
        <is>
          <t>EFO_0000199</t>
        </is>
      </c>
      <c r="C3" s="1" t="inlineStr">
        <is>
          <t>synonym</t>
        </is>
      </c>
      <c r="D3" s="1" t="n">
        <v>0.05</v>
      </c>
      <c r="E3" s="15" t="n">
        <v>8</v>
      </c>
      <c r="F3" s="15" t="n">
        <v>379</v>
      </c>
      <c r="G3" s="15" t="n">
        <v>8</v>
      </c>
      <c r="H3" s="16">
        <f>G3/F3</f>
        <v/>
      </c>
      <c r="I3" s="16">
        <f>G3/E3</f>
        <v/>
      </c>
      <c r="J3" s="17" t="n">
        <v>7</v>
      </c>
      <c r="K3" s="17" t="n">
        <v>1140</v>
      </c>
      <c r="L3" s="17" t="n">
        <v>7</v>
      </c>
      <c r="M3" s="16">
        <f>L3/K3</f>
        <v/>
      </c>
      <c r="N3" s="16">
        <f>L3/J3</f>
        <v/>
      </c>
      <c r="O3" s="18" t="n">
        <v>54</v>
      </c>
      <c r="P3" s="18" t="n">
        <v>3</v>
      </c>
      <c r="Q3" s="16">
        <f>P3/O3</f>
        <v/>
      </c>
      <c r="R3" s="1" t="n">
        <v>401</v>
      </c>
      <c r="S3" s="1" t="n">
        <v>12</v>
      </c>
      <c r="T3" s="1" t="n">
        <v>1</v>
      </c>
      <c r="U3" s="1" t="n">
        <v>1</v>
      </c>
      <c r="V3" s="1" t="n">
        <v>13</v>
      </c>
      <c r="W3" s="1" t="n">
        <v>4</v>
      </c>
      <c r="X3" s="1" t="n">
        <v>0</v>
      </c>
      <c r="Y3" s="1" t="n">
        <v>4</v>
      </c>
      <c r="Z3" s="1" t="n">
        <v>7</v>
      </c>
      <c r="AA3" s="1" t="n">
        <v>0</v>
      </c>
      <c r="AB3" s="1" t="n">
        <v>1</v>
      </c>
      <c r="AC3" s="1" t="n">
        <v>6</v>
      </c>
      <c r="AD3" s="1" t="n">
        <v>0</v>
      </c>
      <c r="AE3" s="1" t="n">
        <v>0</v>
      </c>
      <c r="AF3" s="1" t="n">
        <v>0</v>
      </c>
      <c r="AG3" s="1" t="n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</row>
    <row r="4">
      <c r="A4" s="1" t="inlineStr">
        <is>
          <t>monoclonal gammopathy of uncertain significance</t>
        </is>
      </c>
      <c r="B4" s="1" t="inlineStr">
        <is>
          <t>EFO_0000203</t>
        </is>
      </c>
      <c r="C4" s="1" t="inlineStr">
        <is>
          <t>synonym</t>
        </is>
      </c>
      <c r="D4" s="1" t="n">
        <v>0.05</v>
      </c>
      <c r="E4" s="15" t="n">
        <v>1</v>
      </c>
      <c r="F4" s="15" t="n">
        <v>292</v>
      </c>
      <c r="G4" s="15" t="n">
        <v>1</v>
      </c>
      <c r="H4" s="16">
        <f>G4/F4</f>
        <v/>
      </c>
      <c r="I4" s="16">
        <f>G4/E4</f>
        <v/>
      </c>
      <c r="J4" s="17" t="n">
        <v>1</v>
      </c>
      <c r="K4" s="17" t="n">
        <v>258</v>
      </c>
      <c r="L4" s="17" t="n">
        <v>1</v>
      </c>
      <c r="M4" s="16">
        <f>L4/K4</f>
        <v/>
      </c>
      <c r="N4" s="16">
        <f>L4/J4</f>
        <v/>
      </c>
      <c r="O4" s="18" t="n">
        <v>11</v>
      </c>
      <c r="P4" s="18" t="n">
        <v>1</v>
      </c>
      <c r="Q4" s="16">
        <f>P4/O4</f>
        <v/>
      </c>
      <c r="R4" s="1" t="n">
        <v>33</v>
      </c>
      <c r="S4" s="1" t="n">
        <v>1</v>
      </c>
      <c r="T4" s="1" t="n">
        <v>0</v>
      </c>
      <c r="U4" s="1" t="n">
        <v>0</v>
      </c>
      <c r="V4" s="1" t="n">
        <v>1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</row>
    <row r="5">
      <c r="A5" s="1" t="inlineStr">
        <is>
          <t>nasopharynx carcinoma</t>
        </is>
      </c>
      <c r="B5" s="1" t="inlineStr">
        <is>
          <t>MONDO_0015459</t>
        </is>
      </c>
      <c r="C5" s="1" t="inlineStr">
        <is>
          <t>synonym</t>
        </is>
      </c>
      <c r="D5" s="1" t="n">
        <v>0.05</v>
      </c>
      <c r="E5" s="15" t="n">
        <v>16</v>
      </c>
      <c r="F5" s="15" t="n">
        <v>153</v>
      </c>
      <c r="G5" s="15" t="n">
        <v>6</v>
      </c>
      <c r="H5" s="16">
        <f>G5/F5</f>
        <v/>
      </c>
      <c r="I5" s="16">
        <f>G5/E5</f>
        <v/>
      </c>
      <c r="J5" s="17" t="n">
        <v>7</v>
      </c>
      <c r="K5" s="17" t="n">
        <v>604</v>
      </c>
      <c r="L5" s="17" t="n">
        <v>5</v>
      </c>
      <c r="M5" s="16">
        <f>L5/K5</f>
        <v/>
      </c>
      <c r="N5" s="16">
        <f>L5/J5</f>
        <v/>
      </c>
      <c r="O5" s="18" t="n">
        <v>6</v>
      </c>
      <c r="P5" s="18" t="n">
        <v>1</v>
      </c>
      <c r="Q5" s="16">
        <f>P5/O5</f>
        <v/>
      </c>
      <c r="R5" s="1" t="n">
        <v>540</v>
      </c>
      <c r="S5" s="1" t="n">
        <v>10</v>
      </c>
      <c r="T5" s="1" t="n">
        <v>0</v>
      </c>
      <c r="U5" s="1" t="n">
        <v>4</v>
      </c>
      <c r="V5" s="1" t="n">
        <v>12</v>
      </c>
      <c r="W5" s="1" t="n">
        <v>3</v>
      </c>
      <c r="X5" s="1" t="n">
        <v>0</v>
      </c>
      <c r="Y5" s="1" t="n">
        <v>3</v>
      </c>
      <c r="Z5" s="1" t="n">
        <v>4</v>
      </c>
      <c r="AA5" s="1" t="n">
        <v>0</v>
      </c>
      <c r="AB5" s="1" t="n">
        <v>6</v>
      </c>
      <c r="AC5" s="1" t="n">
        <v>2</v>
      </c>
      <c r="AD5" s="1" t="n">
        <v>0</v>
      </c>
      <c r="AE5" s="1" t="n">
        <v>1</v>
      </c>
      <c r="AF5" s="1" t="n">
        <v>0</v>
      </c>
      <c r="AG5" s="1" t="n">
        <v>2</v>
      </c>
      <c r="AH5" s="1" t="n">
        <v>1</v>
      </c>
      <c r="AI5" s="1" t="n">
        <v>0</v>
      </c>
      <c r="AJ5" s="1" t="n">
        <v>5</v>
      </c>
      <c r="AK5" s="1" t="n">
        <v>3</v>
      </c>
      <c r="AL5" s="1" t="n">
        <v>2</v>
      </c>
      <c r="AM5" s="1" t="n">
        <v>2</v>
      </c>
    </row>
    <row r="6">
      <c r="A6" s="1" t="inlineStr">
        <is>
          <t>Nicotine addiction</t>
        </is>
      </c>
      <c r="B6" s="1" t="inlineStr">
        <is>
          <t>EFO_0003768</t>
        </is>
      </c>
      <c r="C6" s="1" t="inlineStr">
        <is>
          <t>synonym</t>
        </is>
      </c>
      <c r="D6" s="1" t="n">
        <v>0.05</v>
      </c>
      <c r="E6" s="15" t="n">
        <v>9</v>
      </c>
      <c r="F6" s="15" t="n">
        <v>239</v>
      </c>
      <c r="G6" s="15" t="n">
        <v>5</v>
      </c>
      <c r="H6" s="16">
        <f>G6/F6</f>
        <v/>
      </c>
      <c r="I6" s="16">
        <f>G6/E6</f>
        <v/>
      </c>
      <c r="J6" s="17" t="n">
        <v>27</v>
      </c>
      <c r="K6" s="17" t="n">
        <v>710</v>
      </c>
      <c r="L6" s="17" t="n">
        <v>13</v>
      </c>
      <c r="M6" s="16">
        <f>L6/K6</f>
        <v/>
      </c>
      <c r="N6" s="16">
        <f>L6/J6</f>
        <v/>
      </c>
      <c r="O6" s="18" t="n">
        <v>18</v>
      </c>
      <c r="P6" s="18" t="n">
        <v>1</v>
      </c>
      <c r="Q6" s="16">
        <f>P6/O6</f>
        <v/>
      </c>
      <c r="R6" s="1" t="n">
        <v>785</v>
      </c>
      <c r="S6" s="1" t="n">
        <v>17</v>
      </c>
      <c r="T6" s="1" t="n">
        <v>4</v>
      </c>
      <c r="U6" s="1" t="n">
        <v>7</v>
      </c>
      <c r="V6" s="1" t="n">
        <v>11</v>
      </c>
      <c r="W6" s="1" t="n">
        <v>5</v>
      </c>
      <c r="X6" s="1" t="n">
        <v>0</v>
      </c>
      <c r="Y6" s="1" t="n">
        <v>0</v>
      </c>
      <c r="Z6" s="1" t="n">
        <v>19</v>
      </c>
      <c r="AA6" s="1" t="n">
        <v>0</v>
      </c>
      <c r="AB6" s="1" t="n">
        <v>0</v>
      </c>
      <c r="AC6" s="1" t="n">
        <v>2</v>
      </c>
      <c r="AD6" s="1" t="n">
        <v>0</v>
      </c>
      <c r="AE6" s="1" t="n">
        <v>3</v>
      </c>
      <c r="AF6" s="1" t="n">
        <v>1</v>
      </c>
      <c r="AG6" s="1" t="n">
        <v>2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</row>
    <row r="7">
      <c r="A7" s="1" t="inlineStr">
        <is>
          <t>pancreatic cancer</t>
        </is>
      </c>
      <c r="B7" s="1" t="inlineStr">
        <is>
          <t>EFO_1000359</t>
        </is>
      </c>
      <c r="C7" s="1" t="inlineStr">
        <is>
          <t>synonym</t>
        </is>
      </c>
      <c r="D7" s="1" t="n">
        <v>0.05</v>
      </c>
      <c r="E7" s="15" t="n">
        <v>11</v>
      </c>
      <c r="F7" s="15" t="n">
        <v>69</v>
      </c>
      <c r="G7" s="15" t="n">
        <v>4</v>
      </c>
      <c r="H7" s="16">
        <f>G7/F7</f>
        <v/>
      </c>
      <c r="I7" s="16">
        <f>G7/E7</f>
        <v/>
      </c>
      <c r="J7" s="17" t="n">
        <v>7</v>
      </c>
      <c r="K7" s="17" t="n">
        <v>763</v>
      </c>
      <c r="L7" s="17" t="n">
        <v>1</v>
      </c>
      <c r="M7" s="16">
        <f>L7/K7</f>
        <v/>
      </c>
      <c r="N7" s="16">
        <f>L7/J7</f>
        <v/>
      </c>
      <c r="O7" s="18" t="n">
        <v>1</v>
      </c>
      <c r="P7" s="18" t="n">
        <v>1</v>
      </c>
      <c r="Q7" s="16">
        <f>P7/O7</f>
        <v/>
      </c>
      <c r="R7" s="1" t="n">
        <v>357</v>
      </c>
      <c r="S7" s="1" t="n">
        <v>4</v>
      </c>
      <c r="T7" s="1" t="n">
        <v>0</v>
      </c>
      <c r="U7" s="1" t="n">
        <v>6</v>
      </c>
      <c r="V7" s="1" t="n">
        <v>10</v>
      </c>
      <c r="W7" s="1" t="n">
        <v>2</v>
      </c>
      <c r="X7" s="1" t="n">
        <v>0</v>
      </c>
      <c r="Y7" s="1" t="n">
        <v>4</v>
      </c>
      <c r="Z7" s="1" t="n">
        <v>4</v>
      </c>
      <c r="AA7" s="1" t="n">
        <v>0</v>
      </c>
      <c r="AB7" s="1" t="n">
        <v>4</v>
      </c>
      <c r="AC7" s="1" t="n">
        <v>5</v>
      </c>
      <c r="AD7" s="1" t="n">
        <v>0</v>
      </c>
      <c r="AE7" s="1" t="n">
        <v>0</v>
      </c>
      <c r="AF7" s="1" t="n">
        <v>0</v>
      </c>
      <c r="AG7" s="1" t="n">
        <v>1</v>
      </c>
      <c r="AH7" s="1" t="n">
        <v>0</v>
      </c>
      <c r="AI7" s="1" t="n">
        <v>0</v>
      </c>
      <c r="AJ7" s="1" t="n">
        <v>2</v>
      </c>
      <c r="AK7" s="1" t="n">
        <v>0</v>
      </c>
      <c r="AL7" s="1" t="n">
        <v>0</v>
      </c>
      <c r="AM7" s="1" t="n">
        <v>1</v>
      </c>
    </row>
    <row r="8">
      <c r="A8" s="1" t="inlineStr">
        <is>
          <t>Parkinson's disease</t>
        </is>
      </c>
      <c r="B8" s="1" t="inlineStr">
        <is>
          <t>MONDO_0005180</t>
        </is>
      </c>
      <c r="C8" s="1" t="inlineStr">
        <is>
          <t>synonym</t>
        </is>
      </c>
      <c r="D8" s="1" t="n">
        <v>0.05</v>
      </c>
      <c r="E8" s="15" t="n">
        <v>11</v>
      </c>
      <c r="F8" s="15" t="n">
        <v>249</v>
      </c>
      <c r="G8" s="15" t="n">
        <v>7</v>
      </c>
      <c r="H8" s="16">
        <f>G8/F8</f>
        <v/>
      </c>
      <c r="I8" s="16">
        <f>G8/E8</f>
        <v/>
      </c>
      <c r="J8" s="17" t="n">
        <v>42</v>
      </c>
      <c r="K8" s="17" t="n">
        <v>313</v>
      </c>
      <c r="L8" s="17" t="n">
        <v>15</v>
      </c>
      <c r="M8" s="16">
        <f>L8/K8</f>
        <v/>
      </c>
      <c r="N8" s="16">
        <f>L8/J8</f>
        <v/>
      </c>
      <c r="O8" s="18" t="n">
        <v>10</v>
      </c>
      <c r="P8" s="18" t="n">
        <v>1</v>
      </c>
      <c r="Q8" s="16">
        <f>P8/O8</f>
        <v/>
      </c>
      <c r="R8" s="1" t="n">
        <v>1445</v>
      </c>
      <c r="S8" s="1" t="n">
        <v>21</v>
      </c>
      <c r="T8" s="1" t="n">
        <v>1</v>
      </c>
      <c r="U8" s="1" t="n">
        <v>7</v>
      </c>
      <c r="V8" s="1" t="n">
        <v>20</v>
      </c>
      <c r="W8" s="1" t="n">
        <v>5</v>
      </c>
      <c r="X8" s="1" t="n">
        <v>11</v>
      </c>
      <c r="Y8" s="1" t="n">
        <v>1</v>
      </c>
      <c r="Z8" s="1" t="n">
        <v>17</v>
      </c>
      <c r="AA8" s="1" t="n">
        <v>0</v>
      </c>
      <c r="AB8" s="1" t="n">
        <v>1</v>
      </c>
      <c r="AC8" s="1" t="n">
        <v>11</v>
      </c>
      <c r="AD8" s="1" t="n">
        <v>1</v>
      </c>
      <c r="AE8" s="1" t="n">
        <v>4</v>
      </c>
      <c r="AF8" s="1" t="n">
        <v>4</v>
      </c>
      <c r="AG8" s="1" t="n">
        <v>3</v>
      </c>
      <c r="AH8" s="1" t="n">
        <v>2</v>
      </c>
      <c r="AI8" s="1" t="n">
        <v>0</v>
      </c>
      <c r="AJ8" s="1" t="n">
        <v>2</v>
      </c>
      <c r="AK8" s="1" t="n">
        <v>5</v>
      </c>
      <c r="AL8" s="1" t="n">
        <v>3</v>
      </c>
      <c r="AM8" s="1" t="n">
        <v>0</v>
      </c>
    </row>
    <row r="9">
      <c r="A9" s="1" t="inlineStr">
        <is>
          <t>stomach cancer</t>
        </is>
      </c>
      <c r="B9" s="1" t="inlineStr">
        <is>
          <t>EFO_0003897</t>
        </is>
      </c>
      <c r="C9" s="1" t="inlineStr">
        <is>
          <t>synonym</t>
        </is>
      </c>
      <c r="D9" s="1" t="n">
        <v>0.05</v>
      </c>
      <c r="E9" s="15" t="n">
        <v>12</v>
      </c>
      <c r="F9" s="15" t="n">
        <v>118</v>
      </c>
      <c r="G9" s="15" t="n">
        <v>3</v>
      </c>
      <c r="H9" s="16">
        <f>G9/F9</f>
        <v/>
      </c>
      <c r="I9" s="16">
        <f>G9/E9</f>
        <v/>
      </c>
      <c r="J9" s="17" t="n">
        <v>6</v>
      </c>
      <c r="K9" s="17" t="n">
        <v>172</v>
      </c>
      <c r="L9" s="17" t="n">
        <v>1</v>
      </c>
      <c r="M9" s="16">
        <f>L9/K9</f>
        <v/>
      </c>
      <c r="N9" s="16">
        <f>L9/J9</f>
        <v/>
      </c>
      <c r="O9" s="18" t="n">
        <v>5</v>
      </c>
      <c r="P9" s="18" t="n">
        <v>1</v>
      </c>
      <c r="Q9" s="16">
        <f>P9/O9</f>
        <v/>
      </c>
      <c r="R9" s="1" t="n">
        <v>486</v>
      </c>
      <c r="S9" s="1" t="n">
        <v>3</v>
      </c>
      <c r="T9" s="1" t="n">
        <v>0</v>
      </c>
      <c r="U9" s="1" t="n">
        <v>4</v>
      </c>
      <c r="V9" s="1" t="n">
        <v>12</v>
      </c>
      <c r="W9" s="1" t="n">
        <v>5</v>
      </c>
      <c r="X9" s="1" t="n">
        <v>1</v>
      </c>
      <c r="Y9" s="1" t="n">
        <v>2</v>
      </c>
      <c r="Z9" s="1" t="n">
        <v>7</v>
      </c>
      <c r="AA9" s="1" t="n">
        <v>0</v>
      </c>
      <c r="AB9" s="1" t="n">
        <v>2</v>
      </c>
      <c r="AC9" s="1" t="n">
        <v>3</v>
      </c>
      <c r="AD9" s="1" t="n">
        <v>0</v>
      </c>
      <c r="AE9" s="1" t="n">
        <v>1</v>
      </c>
      <c r="AF9" s="1" t="n">
        <v>1</v>
      </c>
      <c r="AG9" s="1" t="n">
        <v>6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1</v>
      </c>
    </row>
    <row r="10">
      <c r="A10" s="1" t="inlineStr">
        <is>
          <t>acute T cell leukemia</t>
        </is>
      </c>
      <c r="B10" s="1" t="inlineStr">
        <is>
          <t>EFO_0000209</t>
        </is>
      </c>
      <c r="C10" s="1" t="inlineStr">
        <is>
          <t>synonym</t>
        </is>
      </c>
      <c r="D10" s="1" t="n">
        <v>0.05</v>
      </c>
      <c r="E10" s="15" t="n">
        <v>9</v>
      </c>
      <c r="F10" s="15" t="n">
        <v>114</v>
      </c>
      <c r="G10" s="15" t="n">
        <v>3</v>
      </c>
      <c r="H10" s="16">
        <f>G10/F10</f>
        <v/>
      </c>
      <c r="I10" s="16">
        <f>G10/E10</f>
        <v/>
      </c>
      <c r="J10" s="17" t="n">
        <v>12</v>
      </c>
      <c r="K10" s="17" t="n">
        <v>0</v>
      </c>
      <c r="L10" s="17" t="n">
        <v>0</v>
      </c>
      <c r="M10" s="16">
        <f>L10/K10</f>
        <v/>
      </c>
      <c r="N10" s="16">
        <f>L10/J10</f>
        <v/>
      </c>
      <c r="O10" s="18" t="n">
        <v>0</v>
      </c>
      <c r="P10" s="18" t="n">
        <v>0</v>
      </c>
      <c r="Q10" s="16">
        <f>P10/O10</f>
        <v/>
      </c>
      <c r="R10" s="1" t="n">
        <v>576</v>
      </c>
      <c r="S10" s="1" t="n">
        <v>3</v>
      </c>
      <c r="T10" s="1" t="n">
        <v>0</v>
      </c>
      <c r="U10" s="1" t="n">
        <v>1</v>
      </c>
      <c r="V10" s="1" t="n">
        <v>5</v>
      </c>
      <c r="W10" s="1" t="n">
        <v>0</v>
      </c>
      <c r="X10" s="1" t="n">
        <v>0</v>
      </c>
      <c r="Y10" s="1" t="n">
        <v>1</v>
      </c>
      <c r="Z10" s="1" t="n">
        <v>3</v>
      </c>
      <c r="AA10" s="1" t="n">
        <v>0</v>
      </c>
      <c r="AB10" s="1" t="n">
        <v>0</v>
      </c>
      <c r="AC10" s="1" t="n">
        <v>1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1</v>
      </c>
      <c r="AI10" s="1" t="n">
        <v>0</v>
      </c>
      <c r="AJ10" s="1" t="n">
        <v>4</v>
      </c>
      <c r="AK10" s="1" t="n">
        <v>15</v>
      </c>
      <c r="AL10" s="1" t="n">
        <v>6</v>
      </c>
      <c r="AM10" s="1" t="n">
        <v>1</v>
      </c>
    </row>
    <row r="11">
      <c r="A11" s="1" t="inlineStr">
        <is>
          <t>adenosquamous cell lung carcinoma</t>
        </is>
      </c>
      <c r="B11" s="1" t="inlineStr">
        <is>
          <t>EFO_0000233</t>
        </is>
      </c>
      <c r="C11" s="1" t="inlineStr">
        <is>
          <t>synonym</t>
        </is>
      </c>
      <c r="D11" s="1" t="n">
        <v>0.05</v>
      </c>
      <c r="E11" s="15" t="n">
        <v>6</v>
      </c>
      <c r="F11" s="15" t="n">
        <v>370</v>
      </c>
      <c r="G11" s="15" t="n">
        <v>6</v>
      </c>
      <c r="H11" s="16">
        <f>G11/F11</f>
        <v/>
      </c>
      <c r="I11" s="16">
        <f>G11/E11</f>
        <v/>
      </c>
      <c r="J11" s="17" t="n">
        <v>4</v>
      </c>
      <c r="K11" s="17" t="n">
        <v>19</v>
      </c>
      <c r="L11" s="17" t="n">
        <v>1</v>
      </c>
      <c r="M11" s="16">
        <f>L11/K11</f>
        <v/>
      </c>
      <c r="N11" s="16">
        <f>L11/J11</f>
        <v/>
      </c>
      <c r="O11" s="18" t="n">
        <v>0</v>
      </c>
      <c r="P11" s="18" t="n">
        <v>0</v>
      </c>
      <c r="Q11" s="16">
        <f>P11/O11</f>
        <v/>
      </c>
      <c r="R11" s="1" t="n">
        <v>261</v>
      </c>
      <c r="S11" s="1" t="n">
        <v>7</v>
      </c>
      <c r="T11" s="1" t="n">
        <v>0</v>
      </c>
      <c r="U11" s="1" t="n">
        <v>2</v>
      </c>
      <c r="V11" s="1" t="n">
        <v>7</v>
      </c>
      <c r="W11" s="1" t="n">
        <v>2</v>
      </c>
      <c r="X11" s="1" t="n">
        <v>0</v>
      </c>
      <c r="Y11" s="1" t="n">
        <v>3</v>
      </c>
      <c r="Z11" s="1" t="n">
        <v>8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</row>
    <row r="12">
      <c r="A12" s="1" t="inlineStr">
        <is>
          <t>alcoholic hepatitis</t>
        </is>
      </c>
      <c r="B12" s="1" t="inlineStr">
        <is>
          <t>EFO_1001345</t>
        </is>
      </c>
      <c r="C12" s="1" t="inlineStr">
        <is>
          <t>synonym</t>
        </is>
      </c>
      <c r="D12" s="1" t="n">
        <v>0.05</v>
      </c>
      <c r="E12" s="15" t="n">
        <v>1</v>
      </c>
      <c r="F12" s="15" t="n">
        <v>251</v>
      </c>
      <c r="G12" s="15" t="n">
        <v>0</v>
      </c>
      <c r="H12" s="16">
        <f>G12/F12</f>
        <v/>
      </c>
      <c r="I12" s="16">
        <f>G12/E12</f>
        <v/>
      </c>
      <c r="J12" s="17" t="n">
        <v>4</v>
      </c>
      <c r="K12" s="17" t="n">
        <v>6</v>
      </c>
      <c r="L12" s="17" t="n">
        <v>0</v>
      </c>
      <c r="M12" s="16">
        <f>L12/K12</f>
        <v/>
      </c>
      <c r="N12" s="16">
        <f>L12/J12</f>
        <v/>
      </c>
      <c r="O12" s="18" t="n">
        <v>0</v>
      </c>
      <c r="P12" s="18" t="n">
        <v>0</v>
      </c>
      <c r="Q12" s="16">
        <f>P12/O12</f>
        <v/>
      </c>
      <c r="R12" s="1" t="n">
        <v>142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3</v>
      </c>
      <c r="AK12" s="1" t="n">
        <v>0</v>
      </c>
      <c r="AL12" s="1" t="n">
        <v>0</v>
      </c>
      <c r="AM12" s="1" t="n">
        <v>2</v>
      </c>
    </row>
    <row r="13">
      <c r="A13" s="1" t="inlineStr">
        <is>
          <t>Alzheimer's disease</t>
        </is>
      </c>
      <c r="B13" s="1" t="inlineStr">
        <is>
          <t>MONDO_0004975</t>
        </is>
      </c>
      <c r="C13" s="1" t="inlineStr">
        <is>
          <t>synonym</t>
        </is>
      </c>
      <c r="D13" s="1" t="n">
        <v>0.05</v>
      </c>
      <c r="E13" s="15" t="n">
        <v>13</v>
      </c>
      <c r="F13" s="15" t="n">
        <v>283</v>
      </c>
      <c r="G13" s="15" t="n">
        <v>7</v>
      </c>
      <c r="H13" s="16">
        <f>G13/F13</f>
        <v/>
      </c>
      <c r="I13" s="16">
        <f>G13/E13</f>
        <v/>
      </c>
      <c r="J13" s="17" t="n">
        <v>37</v>
      </c>
      <c r="K13" s="17" t="n">
        <v>40</v>
      </c>
      <c r="L13" s="17" t="n">
        <v>1</v>
      </c>
      <c r="M13" s="16">
        <f>L13/K13</f>
        <v/>
      </c>
      <c r="N13" s="16">
        <f>L13/J13</f>
        <v/>
      </c>
      <c r="O13" s="18" t="n">
        <v>1</v>
      </c>
      <c r="P13" s="18" t="n">
        <v>0</v>
      </c>
      <c r="Q13" s="16">
        <f>P13/O13</f>
        <v/>
      </c>
      <c r="R13" s="1" t="n">
        <v>1595</v>
      </c>
      <c r="S13" s="1" t="n">
        <v>8</v>
      </c>
      <c r="T13" s="1" t="n">
        <v>2</v>
      </c>
      <c r="U13" s="1" t="n">
        <v>3</v>
      </c>
      <c r="V13" s="1" t="n">
        <v>4</v>
      </c>
      <c r="W13" s="1" t="n">
        <v>6</v>
      </c>
      <c r="X13" s="1" t="n">
        <v>0</v>
      </c>
      <c r="Y13" s="1" t="n">
        <v>0</v>
      </c>
      <c r="Z13" s="1" t="n">
        <v>9</v>
      </c>
      <c r="AA13" s="1" t="n">
        <v>1</v>
      </c>
      <c r="AB13" s="1" t="n">
        <v>0</v>
      </c>
      <c r="AC13" s="1" t="n">
        <v>0</v>
      </c>
      <c r="AD13" s="1" t="n">
        <v>0</v>
      </c>
      <c r="AE13" s="1" t="n">
        <v>3</v>
      </c>
      <c r="AF13" s="1" t="n">
        <v>0</v>
      </c>
      <c r="AG13" s="1" t="n">
        <v>1</v>
      </c>
      <c r="AH13" s="1" t="n">
        <v>1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</row>
    <row r="14">
      <c r="A14" s="1" t="inlineStr">
        <is>
          <t>anaplastic thyroid carcinoma</t>
        </is>
      </c>
      <c r="B14" s="1" t="inlineStr">
        <is>
          <t>EFO_1000595</t>
        </is>
      </c>
      <c r="C14" s="1" t="inlineStr">
        <is>
          <t>synonym</t>
        </is>
      </c>
      <c r="D14" s="1" t="n">
        <v>0.05</v>
      </c>
      <c r="E14" s="15" t="n">
        <v>6</v>
      </c>
      <c r="F14" s="15" t="n">
        <v>272</v>
      </c>
      <c r="G14" s="15" t="n">
        <v>6</v>
      </c>
      <c r="H14" s="16">
        <f>G14/F14</f>
        <v/>
      </c>
      <c r="I14" s="16">
        <f>G14/E14</f>
        <v/>
      </c>
      <c r="J14" s="17" t="n">
        <v>2</v>
      </c>
      <c r="K14" s="17" t="n">
        <v>8</v>
      </c>
      <c r="L14" s="17" t="n">
        <v>0</v>
      </c>
      <c r="M14" s="16">
        <f>L14/K14</f>
        <v/>
      </c>
      <c r="N14" s="16">
        <f>L14/J14</f>
        <v/>
      </c>
      <c r="O14" s="18" t="n">
        <v>1</v>
      </c>
      <c r="P14" s="18" t="n">
        <v>0</v>
      </c>
      <c r="Q14" s="16">
        <f>P14/O14</f>
        <v/>
      </c>
      <c r="R14" s="1" t="n">
        <v>113</v>
      </c>
      <c r="S14" s="1" t="n">
        <v>6</v>
      </c>
      <c r="T14" s="1" t="n">
        <v>2</v>
      </c>
      <c r="U14" s="1" t="n">
        <v>0</v>
      </c>
      <c r="V14" s="1" t="n">
        <v>4</v>
      </c>
      <c r="W14" s="1" t="n">
        <v>0</v>
      </c>
      <c r="X14" s="1" t="n">
        <v>0</v>
      </c>
      <c r="Y14" s="1" t="n">
        <v>2</v>
      </c>
      <c r="Z14" s="1" t="n">
        <v>2</v>
      </c>
      <c r="AA14" s="1" t="n">
        <v>0</v>
      </c>
      <c r="AB14" s="1" t="n">
        <v>0</v>
      </c>
      <c r="AC14" s="1" t="n">
        <v>2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</row>
    <row r="15">
      <c r="A15" s="1" t="inlineStr">
        <is>
          <t>anterior horn cell disease</t>
        </is>
      </c>
      <c r="B15" s="1" t="inlineStr">
        <is>
          <t>EFO_0003782</t>
        </is>
      </c>
      <c r="C15" s="1" t="inlineStr">
        <is>
          <t>synonym</t>
        </is>
      </c>
      <c r="D15" s="1" t="n">
        <v>0.05</v>
      </c>
      <c r="E15" s="15" t="n">
        <v>0</v>
      </c>
      <c r="F15" s="15" t="n">
        <v>242</v>
      </c>
      <c r="G15" s="15" t="n">
        <v>0</v>
      </c>
      <c r="H15" s="16">
        <f>G15/F15</f>
        <v/>
      </c>
      <c r="I15" s="16">
        <f>G15/E15</f>
        <v/>
      </c>
      <c r="J15" s="17" t="n">
        <v>0</v>
      </c>
      <c r="K15" s="17" t="n">
        <v>47</v>
      </c>
      <c r="L15" s="17" t="n">
        <v>0</v>
      </c>
      <c r="M15" s="16">
        <f>L15/K15</f>
        <v/>
      </c>
      <c r="N15" s="16">
        <f>L15/J15</f>
        <v/>
      </c>
      <c r="O15" s="18" t="n">
        <v>0</v>
      </c>
      <c r="P15" s="18" t="n">
        <v>0</v>
      </c>
      <c r="Q15" s="16">
        <f>P15/O15</f>
        <v/>
      </c>
      <c r="R15" s="1" t="n">
        <v>38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1</v>
      </c>
      <c r="AJ15" s="1" t="n">
        <v>11</v>
      </c>
      <c r="AK15" s="1" t="n">
        <v>0</v>
      </c>
      <c r="AL15" s="1" t="n">
        <v>3</v>
      </c>
      <c r="AM15" s="1" t="n">
        <v>4</v>
      </c>
    </row>
    <row r="16">
      <c r="A16" s="1" t="inlineStr">
        <is>
          <t>atopic dermatitis</t>
        </is>
      </c>
      <c r="B16" s="1" t="inlineStr">
        <is>
          <t>EFO_0000274</t>
        </is>
      </c>
      <c r="C16" s="1" t="inlineStr">
        <is>
          <t>synonym</t>
        </is>
      </c>
      <c r="D16" s="1" t="n">
        <v>0.05</v>
      </c>
      <c r="E16" s="15" t="n">
        <v>10</v>
      </c>
      <c r="F16" s="15" t="n">
        <v>354</v>
      </c>
      <c r="G16" s="15" t="n">
        <v>9</v>
      </c>
      <c r="H16" s="16">
        <f>G16/F16</f>
        <v/>
      </c>
      <c r="I16" s="16">
        <f>G16/E16</f>
        <v/>
      </c>
      <c r="J16" s="17" t="n">
        <v>24</v>
      </c>
      <c r="K16" s="17" t="n">
        <v>1</v>
      </c>
      <c r="L16" s="17" t="n">
        <v>0</v>
      </c>
      <c r="M16" s="16">
        <f>L16/K16</f>
        <v/>
      </c>
      <c r="N16" s="16">
        <f>L16/J16</f>
        <v/>
      </c>
      <c r="O16" s="18" t="n">
        <v>0</v>
      </c>
      <c r="P16" s="18" t="n">
        <v>0</v>
      </c>
      <c r="Q16" s="16">
        <f>P16/O16</f>
        <v/>
      </c>
      <c r="R16" s="1" t="n">
        <v>1175</v>
      </c>
      <c r="S16" s="1" t="n">
        <v>9</v>
      </c>
      <c r="T16" s="1" t="n">
        <v>1</v>
      </c>
      <c r="U16" s="1" t="n">
        <v>5</v>
      </c>
      <c r="V16" s="1" t="n">
        <v>2</v>
      </c>
      <c r="W16" s="1" t="n">
        <v>3</v>
      </c>
      <c r="X16" s="1" t="n">
        <v>2</v>
      </c>
      <c r="Y16" s="1" t="n">
        <v>0</v>
      </c>
      <c r="Z16" s="1" t="n">
        <v>6</v>
      </c>
      <c r="AA16" s="1" t="n">
        <v>0</v>
      </c>
      <c r="AB16" s="1" t="n">
        <v>2</v>
      </c>
      <c r="AC16" s="1" t="n">
        <v>1</v>
      </c>
      <c r="AD16" s="1" t="n">
        <v>0</v>
      </c>
      <c r="AE16" s="1" t="n">
        <v>1</v>
      </c>
      <c r="AF16" s="1" t="n">
        <v>2</v>
      </c>
      <c r="AG16" s="1" t="n">
        <v>0</v>
      </c>
      <c r="AH16" s="1" t="n">
        <v>1</v>
      </c>
      <c r="AI16" s="1" t="n">
        <v>3</v>
      </c>
      <c r="AJ16" s="1" t="n">
        <v>9</v>
      </c>
      <c r="AK16" s="1" t="n">
        <v>2</v>
      </c>
      <c r="AL16" s="1" t="n">
        <v>8</v>
      </c>
      <c r="AM16" s="1" t="n">
        <v>5</v>
      </c>
    </row>
    <row r="17">
      <c r="A17" s="1" t="inlineStr">
        <is>
          <t>autistic disorder</t>
        </is>
      </c>
      <c r="B17" s="1" t="inlineStr">
        <is>
          <t>EFO_0003758</t>
        </is>
      </c>
      <c r="C17" s="1" t="inlineStr">
        <is>
          <t>synonym</t>
        </is>
      </c>
      <c r="D17" s="1" t="n">
        <v>0.05</v>
      </c>
      <c r="E17" s="15" t="n">
        <v>5</v>
      </c>
      <c r="F17" s="15" t="n">
        <v>379</v>
      </c>
      <c r="G17" s="15" t="n">
        <v>5</v>
      </c>
      <c r="H17" s="16">
        <f>G17/F17</f>
        <v/>
      </c>
      <c r="I17" s="16">
        <f>G17/E17</f>
        <v/>
      </c>
      <c r="J17" s="17" t="n">
        <v>17</v>
      </c>
      <c r="K17" s="17" t="n">
        <v>0</v>
      </c>
      <c r="L17" s="17" t="n">
        <v>0</v>
      </c>
      <c r="M17" s="16">
        <f>L17/K17</f>
        <v/>
      </c>
      <c r="N17" s="16">
        <f>L17/J17</f>
        <v/>
      </c>
      <c r="O17" s="18" t="n">
        <v>0</v>
      </c>
      <c r="P17" s="18" t="n">
        <v>0</v>
      </c>
      <c r="Q17" s="16">
        <f>P17/O17</f>
        <v/>
      </c>
      <c r="R17" s="1" t="n">
        <v>475</v>
      </c>
      <c r="S17" s="1" t="n">
        <v>5</v>
      </c>
      <c r="T17" s="1" t="n">
        <v>1</v>
      </c>
      <c r="U17" s="1" t="n">
        <v>0</v>
      </c>
      <c r="V17" s="1" t="n">
        <v>3</v>
      </c>
      <c r="W17" s="1" t="n">
        <v>1</v>
      </c>
      <c r="X17" s="1" t="n">
        <v>0</v>
      </c>
      <c r="Y17" s="1" t="n">
        <v>0</v>
      </c>
      <c r="Z17" s="1" t="n">
        <v>3</v>
      </c>
      <c r="AA17" s="1" t="n">
        <v>0</v>
      </c>
      <c r="AB17" s="1" t="n">
        <v>0</v>
      </c>
      <c r="AC17" s="1" t="n">
        <v>2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</row>
    <row r="18">
      <c r="A18" s="1" t="inlineStr">
        <is>
          <t>bacterial infectious disease</t>
        </is>
      </c>
      <c r="B18" s="1" t="inlineStr">
        <is>
          <t>EFO_0000771</t>
        </is>
      </c>
      <c r="C18" s="1" t="inlineStr">
        <is>
          <t>synonym</t>
        </is>
      </c>
      <c r="D18" s="1" t="n">
        <v>0.05</v>
      </c>
      <c r="E18" s="15" t="n">
        <v>1</v>
      </c>
      <c r="F18" s="15" t="n">
        <v>118</v>
      </c>
      <c r="G18" s="15" t="n">
        <v>0</v>
      </c>
      <c r="H18" s="16">
        <f>G18/F18</f>
        <v/>
      </c>
      <c r="I18" s="16">
        <f>G18/E18</f>
        <v/>
      </c>
      <c r="J18" s="17" t="n">
        <v>1</v>
      </c>
      <c r="K18" s="17" t="n">
        <v>4</v>
      </c>
      <c r="L18" s="17" t="n">
        <v>0</v>
      </c>
      <c r="M18" s="16">
        <f>L18/K18</f>
        <v/>
      </c>
      <c r="N18" s="16">
        <f>L18/J18</f>
        <v/>
      </c>
      <c r="O18" s="18" t="n">
        <v>0</v>
      </c>
      <c r="P18" s="18" t="n">
        <v>0</v>
      </c>
      <c r="Q18" s="16">
        <f>P18/O18</f>
        <v/>
      </c>
      <c r="R18" s="1" t="n">
        <v>41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</row>
    <row r="19">
      <c r="A19" s="1" t="inlineStr">
        <is>
          <t>cervix carcinoma</t>
        </is>
      </c>
      <c r="B19" s="1" t="inlineStr">
        <is>
          <t>EFO_0001061</t>
        </is>
      </c>
      <c r="C19" s="1" t="inlineStr">
        <is>
          <t>synonym</t>
        </is>
      </c>
      <c r="D19" s="1" t="n">
        <v>0.05</v>
      </c>
      <c r="E19" s="15" t="n">
        <v>5</v>
      </c>
      <c r="F19" s="15" t="n">
        <v>0</v>
      </c>
      <c r="G19" s="15" t="n">
        <v>0</v>
      </c>
      <c r="H19" s="16">
        <f>G19/F19</f>
        <v/>
      </c>
      <c r="I19" s="16">
        <f>G19/E19</f>
        <v/>
      </c>
      <c r="J19" s="17" t="n">
        <v>3</v>
      </c>
      <c r="K19" s="17" t="n">
        <v>0</v>
      </c>
      <c r="L19" s="17" t="n">
        <v>0</v>
      </c>
      <c r="M19" s="16">
        <f>L19/K19</f>
        <v/>
      </c>
      <c r="N19" s="16">
        <f>L19/J19</f>
        <v/>
      </c>
      <c r="O19" s="18" t="n">
        <v>0</v>
      </c>
      <c r="P19" s="18" t="n">
        <v>0</v>
      </c>
      <c r="Q19" s="16">
        <f>P19/O19</f>
        <v/>
      </c>
      <c r="R19" s="1" t="n">
        <v>293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</row>
    <row r="20">
      <c r="A20" s="1" t="inlineStr">
        <is>
          <t>childhood type dermatomyositis</t>
        </is>
      </c>
      <c r="B20" s="1" t="inlineStr">
        <is>
          <t>EFO_0000557</t>
        </is>
      </c>
      <c r="C20" s="1" t="inlineStr">
        <is>
          <t>synonym</t>
        </is>
      </c>
      <c r="D20" s="1" t="n">
        <v>0.05</v>
      </c>
      <c r="E20" s="15" t="n">
        <v>2</v>
      </c>
      <c r="F20" s="15" t="n">
        <v>370</v>
      </c>
      <c r="G20" s="15" t="n">
        <v>2</v>
      </c>
      <c r="H20" s="16">
        <f>G20/F20</f>
        <v/>
      </c>
      <c r="I20" s="16">
        <f>G20/E20</f>
        <v/>
      </c>
      <c r="J20" s="17" t="n">
        <v>4</v>
      </c>
      <c r="K20" s="17" t="n">
        <v>7</v>
      </c>
      <c r="L20" s="17" t="n">
        <v>0</v>
      </c>
      <c r="M20" s="16">
        <f>L20/K20</f>
        <v/>
      </c>
      <c r="N20" s="16">
        <f>L20/J20</f>
        <v/>
      </c>
      <c r="O20" s="18" t="n">
        <v>0</v>
      </c>
      <c r="P20" s="18" t="n">
        <v>0</v>
      </c>
      <c r="Q20" s="16">
        <f>P20/O20</f>
        <v/>
      </c>
      <c r="R20" s="1" t="n">
        <v>160</v>
      </c>
      <c r="S20" s="1" t="n">
        <v>2</v>
      </c>
      <c r="T20" s="1" t="n">
        <v>0</v>
      </c>
      <c r="U20" s="1" t="n">
        <v>0</v>
      </c>
      <c r="V20" s="1" t="n">
        <v>0</v>
      </c>
      <c r="W20" s="1" t="n">
        <v>2</v>
      </c>
      <c r="X20" s="1" t="n">
        <v>0</v>
      </c>
      <c r="Y20" s="1" t="n">
        <v>0</v>
      </c>
      <c r="Z20" s="1" t="n">
        <v>2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</row>
    <row r="21">
      <c r="A21" s="1" t="inlineStr">
        <is>
          <t>chronic myeloid leukemia</t>
        </is>
      </c>
      <c r="B21" s="1" t="inlineStr">
        <is>
          <t>EFO_0000339</t>
        </is>
      </c>
      <c r="C21" s="1" t="inlineStr">
        <is>
          <t>synonym</t>
        </is>
      </c>
      <c r="D21" s="1" t="n">
        <v>0.05</v>
      </c>
      <c r="E21" s="15" t="n">
        <v>23</v>
      </c>
      <c r="F21" s="15" t="n">
        <v>259</v>
      </c>
      <c r="G21" s="15" t="n">
        <v>17</v>
      </c>
      <c r="H21" s="16">
        <f>G21/F21</f>
        <v/>
      </c>
      <c r="I21" s="16">
        <f>G21/E21</f>
        <v/>
      </c>
      <c r="J21" s="17" t="n">
        <v>16</v>
      </c>
      <c r="K21" s="17" t="n">
        <v>61</v>
      </c>
      <c r="L21" s="17" t="n">
        <v>3</v>
      </c>
      <c r="M21" s="16">
        <f>L21/K21</f>
        <v/>
      </c>
      <c r="N21" s="16">
        <f>L21/J21</f>
        <v/>
      </c>
      <c r="O21" s="18" t="n">
        <v>2</v>
      </c>
      <c r="P21" s="18" t="n">
        <v>0</v>
      </c>
      <c r="Q21" s="16">
        <f>P21/O21</f>
        <v/>
      </c>
      <c r="R21" s="1" t="n">
        <v>794</v>
      </c>
      <c r="S21" s="1" t="n">
        <v>20</v>
      </c>
      <c r="T21" s="1" t="n">
        <v>0</v>
      </c>
      <c r="U21" s="1" t="n">
        <v>17</v>
      </c>
      <c r="V21" s="1" t="n">
        <v>18</v>
      </c>
      <c r="W21" s="1" t="n">
        <v>9</v>
      </c>
      <c r="X21" s="1" t="n">
        <v>1</v>
      </c>
      <c r="Y21" s="1" t="n">
        <v>6</v>
      </c>
      <c r="Z21" s="1" t="n">
        <v>16</v>
      </c>
      <c r="AA21" s="1" t="n">
        <v>0</v>
      </c>
      <c r="AB21" s="1" t="n">
        <v>2</v>
      </c>
      <c r="AC21" s="1" t="n">
        <v>5</v>
      </c>
      <c r="AD21" s="1" t="n">
        <v>0</v>
      </c>
      <c r="AE21" s="1" t="n">
        <v>10</v>
      </c>
      <c r="AF21" s="1" t="n">
        <v>1</v>
      </c>
      <c r="AG21" s="1" t="n">
        <v>3</v>
      </c>
      <c r="AH21" s="1" t="n">
        <v>2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</row>
    <row r="22">
      <c r="A22" s="1" t="inlineStr">
        <is>
          <t>colon cancer</t>
        </is>
      </c>
      <c r="B22" s="1" t="inlineStr">
        <is>
          <t>EFO_1001950</t>
        </is>
      </c>
      <c r="C22" s="1" t="inlineStr">
        <is>
          <t>synonym</t>
        </is>
      </c>
      <c r="D22" s="1" t="n">
        <v>0.05</v>
      </c>
      <c r="E22" s="15" t="n">
        <v>5</v>
      </c>
      <c r="F22" s="15" t="n">
        <v>224</v>
      </c>
      <c r="G22" s="15" t="n">
        <v>4</v>
      </c>
      <c r="H22" s="16">
        <f>G22/F22</f>
        <v/>
      </c>
      <c r="I22" s="16">
        <f>G22/E22</f>
        <v/>
      </c>
      <c r="J22" s="17" t="n">
        <v>2</v>
      </c>
      <c r="K22" s="17" t="n">
        <v>94</v>
      </c>
      <c r="L22" s="17" t="n">
        <v>0</v>
      </c>
      <c r="M22" s="16">
        <f>L22/K22</f>
        <v/>
      </c>
      <c r="N22" s="16">
        <f>L22/J22</f>
        <v/>
      </c>
      <c r="O22" s="18" t="n">
        <v>4</v>
      </c>
      <c r="P22" s="18" t="n">
        <v>0</v>
      </c>
      <c r="Q22" s="16">
        <f>P22/O22</f>
        <v/>
      </c>
      <c r="R22" s="1" t="n">
        <v>159</v>
      </c>
      <c r="S22" s="1" t="n">
        <v>4</v>
      </c>
      <c r="T22" s="1" t="n">
        <v>0</v>
      </c>
      <c r="U22" s="1" t="n">
        <v>0</v>
      </c>
      <c r="V22" s="1" t="n">
        <v>4</v>
      </c>
      <c r="W22" s="1" t="n">
        <v>0</v>
      </c>
      <c r="X22" s="1" t="n">
        <v>0</v>
      </c>
      <c r="Y22" s="1" t="n">
        <v>1</v>
      </c>
      <c r="Z22" s="1" t="n">
        <v>0</v>
      </c>
      <c r="AA22" s="1" t="n">
        <v>0</v>
      </c>
      <c r="AB22" s="1" t="n">
        <v>0</v>
      </c>
      <c r="AC22" s="1" t="n">
        <v>3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</row>
    <row r="23">
      <c r="A23" s="1" t="inlineStr">
        <is>
          <t>ductal carcinoma in situ</t>
        </is>
      </c>
      <c r="B23" s="1" t="inlineStr">
        <is>
          <t>EFO_0000432</t>
        </is>
      </c>
      <c r="C23" s="1" t="inlineStr">
        <is>
          <t>synonym</t>
        </is>
      </c>
      <c r="D23" s="1" t="n">
        <v>0.05</v>
      </c>
      <c r="E23" s="15" t="n">
        <v>8</v>
      </c>
      <c r="F23" s="15" t="n">
        <v>215</v>
      </c>
      <c r="G23" s="15" t="n">
        <v>4</v>
      </c>
      <c r="H23" s="16">
        <f>G23/F23</f>
        <v/>
      </c>
      <c r="I23" s="16">
        <f>G23/E23</f>
        <v/>
      </c>
      <c r="J23" s="17" t="n">
        <v>10</v>
      </c>
      <c r="K23" s="17" t="n">
        <v>90</v>
      </c>
      <c r="L23" s="17" t="n">
        <v>4</v>
      </c>
      <c r="M23" s="16">
        <f>L23/K23</f>
        <v/>
      </c>
      <c r="N23" s="16">
        <f>L23/J23</f>
        <v/>
      </c>
      <c r="O23" s="18" t="n">
        <v>0</v>
      </c>
      <c r="P23" s="18" t="n">
        <v>0</v>
      </c>
      <c r="Q23" s="16">
        <f>P23/O23</f>
        <v/>
      </c>
      <c r="R23" s="1" t="n">
        <v>425</v>
      </c>
      <c r="S23" s="1" t="n">
        <v>8</v>
      </c>
      <c r="T23" s="1" t="n">
        <v>1</v>
      </c>
      <c r="U23" s="1" t="n">
        <v>2</v>
      </c>
      <c r="V23" s="1" t="n">
        <v>5</v>
      </c>
      <c r="W23" s="1" t="n">
        <v>1</v>
      </c>
      <c r="X23" s="1" t="n">
        <v>0</v>
      </c>
      <c r="Y23" s="1" t="n">
        <v>2</v>
      </c>
      <c r="Z23" s="1" t="n">
        <v>0</v>
      </c>
      <c r="AA23" s="1" t="n">
        <v>0</v>
      </c>
      <c r="AB23" s="1" t="n">
        <v>0</v>
      </c>
      <c r="AC23" s="1" t="n">
        <v>3</v>
      </c>
      <c r="AD23" s="1" t="n">
        <v>0</v>
      </c>
      <c r="AE23" s="1" t="n">
        <v>3</v>
      </c>
      <c r="AF23" s="1" t="n">
        <v>0</v>
      </c>
      <c r="AG23" s="1" t="n">
        <v>0</v>
      </c>
      <c r="AH23" s="1" t="n">
        <v>1</v>
      </c>
      <c r="AI23" s="1" t="n">
        <v>0</v>
      </c>
      <c r="AJ23" s="1" t="n">
        <v>0</v>
      </c>
      <c r="AK23" s="1" t="n">
        <v>1</v>
      </c>
      <c r="AL23" s="1" t="n">
        <v>0</v>
      </c>
      <c r="AM23" s="1" t="n">
        <v>0</v>
      </c>
    </row>
    <row r="24">
      <c r="A24" s="1" t="inlineStr">
        <is>
          <t>Eczema</t>
        </is>
      </c>
      <c r="B24" s="1" t="inlineStr">
        <is>
          <t>EFO_0000274</t>
        </is>
      </c>
      <c r="C24" s="1" t="inlineStr">
        <is>
          <t>synonym</t>
        </is>
      </c>
      <c r="D24" s="1" t="n">
        <v>0.05</v>
      </c>
      <c r="E24" s="15" t="n">
        <v>10</v>
      </c>
      <c r="F24" s="15" t="n">
        <v>374</v>
      </c>
      <c r="G24" s="15" t="n">
        <v>10</v>
      </c>
      <c r="H24" s="16">
        <f>G24/F24</f>
        <v/>
      </c>
      <c r="I24" s="16">
        <f>G24/E24</f>
        <v/>
      </c>
      <c r="J24" s="17" t="n">
        <v>24</v>
      </c>
      <c r="K24" s="17" t="n">
        <v>35</v>
      </c>
      <c r="L24" s="17" t="n">
        <v>0</v>
      </c>
      <c r="M24" s="16">
        <f>L24/K24</f>
        <v/>
      </c>
      <c r="N24" s="16">
        <f>L24/J24</f>
        <v/>
      </c>
      <c r="O24" s="18" t="n">
        <v>2</v>
      </c>
      <c r="P24" s="18" t="n">
        <v>0</v>
      </c>
      <c r="Q24" s="16">
        <f>P24/O24</f>
        <v/>
      </c>
      <c r="R24" s="1" t="n">
        <v>1175</v>
      </c>
      <c r="S24" s="1" t="n">
        <v>10</v>
      </c>
      <c r="T24" s="1" t="n">
        <v>2</v>
      </c>
      <c r="U24" s="1" t="n">
        <v>6</v>
      </c>
      <c r="V24" s="1" t="n">
        <v>2</v>
      </c>
      <c r="W24" s="1" t="n">
        <v>3</v>
      </c>
      <c r="X24" s="1" t="n">
        <v>2</v>
      </c>
      <c r="Y24" s="1" t="n">
        <v>1</v>
      </c>
      <c r="Z24" s="1" t="n">
        <v>7</v>
      </c>
      <c r="AA24" s="1" t="n">
        <v>0</v>
      </c>
      <c r="AB24" s="1" t="n">
        <v>2</v>
      </c>
      <c r="AC24" s="1" t="n">
        <v>1</v>
      </c>
      <c r="AD24" s="1" t="n">
        <v>0</v>
      </c>
      <c r="AE24" s="1" t="n">
        <v>1</v>
      </c>
      <c r="AF24" s="1" t="n">
        <v>2</v>
      </c>
      <c r="AG24" s="1" t="n">
        <v>0</v>
      </c>
      <c r="AH24" s="1" t="n">
        <v>1</v>
      </c>
      <c r="AI24" s="1" t="n">
        <v>0</v>
      </c>
      <c r="AJ24" s="1" t="n">
        <v>3</v>
      </c>
      <c r="AK24" s="1" t="n">
        <v>0</v>
      </c>
      <c r="AL24" s="1" t="n">
        <v>1</v>
      </c>
      <c r="AM24" s="1" t="n">
        <v>1</v>
      </c>
    </row>
    <row r="25">
      <c r="A25" s="1" t="inlineStr">
        <is>
          <t>endometriosis of ovary</t>
        </is>
      </c>
      <c r="B25" s="1" t="inlineStr">
        <is>
          <t>EFO_1000418</t>
        </is>
      </c>
      <c r="C25" s="1" t="inlineStr">
        <is>
          <t>synonym</t>
        </is>
      </c>
      <c r="D25" s="1" t="n">
        <v>0.05</v>
      </c>
      <c r="E25" s="15" t="n">
        <v>0</v>
      </c>
      <c r="F25" s="15" t="n">
        <v>161</v>
      </c>
      <c r="G25" s="15" t="n">
        <v>0</v>
      </c>
      <c r="H25" s="16">
        <f>G25/F25</f>
        <v/>
      </c>
      <c r="I25" s="16">
        <f>G25/E25</f>
        <v/>
      </c>
      <c r="J25" s="17" t="n">
        <v>0</v>
      </c>
      <c r="K25" s="17" t="n">
        <v>5</v>
      </c>
      <c r="L25" s="17" t="n">
        <v>0</v>
      </c>
      <c r="M25" s="16">
        <f>L25/K25</f>
        <v/>
      </c>
      <c r="N25" s="16">
        <f>L25/J25</f>
        <v/>
      </c>
      <c r="O25" s="18" t="n">
        <v>0</v>
      </c>
      <c r="P25" s="18" t="n">
        <v>0</v>
      </c>
      <c r="Q25" s="16">
        <f>P25/O25</f>
        <v/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0</v>
      </c>
      <c r="AL25" s="1" t="n">
        <v>0</v>
      </c>
      <c r="AM25" s="1" t="n">
        <v>0</v>
      </c>
    </row>
    <row r="26">
      <c r="A26" s="1" t="inlineStr">
        <is>
          <t>esophagus adenocarcinoma</t>
        </is>
      </c>
      <c r="B26" s="1" t="inlineStr">
        <is>
          <t>EFO_0000478</t>
        </is>
      </c>
      <c r="C26" s="1" t="inlineStr">
        <is>
          <t>synonym</t>
        </is>
      </c>
      <c r="D26" s="1" t="n">
        <v>0.05</v>
      </c>
      <c r="E26" s="15" t="n">
        <v>6</v>
      </c>
      <c r="F26" s="15" t="n">
        <v>280</v>
      </c>
      <c r="G26" s="15" t="n">
        <v>5</v>
      </c>
      <c r="H26" s="16">
        <f>G26/F26</f>
        <v/>
      </c>
      <c r="I26" s="16">
        <f>G26/E26</f>
        <v/>
      </c>
      <c r="J26" s="17" t="n">
        <v>3</v>
      </c>
      <c r="K26" s="17" t="n">
        <v>114</v>
      </c>
      <c r="L26" s="17" t="n">
        <v>0</v>
      </c>
      <c r="M26" s="16">
        <f>L26/K26</f>
        <v/>
      </c>
      <c r="N26" s="16">
        <f>L26/J26</f>
        <v/>
      </c>
      <c r="O26" s="18" t="n">
        <v>4</v>
      </c>
      <c r="P26" s="18" t="n">
        <v>0</v>
      </c>
      <c r="Q26" s="16">
        <f>P26/O26</f>
        <v/>
      </c>
      <c r="R26" s="1" t="n">
        <v>382</v>
      </c>
      <c r="S26" s="1" t="n">
        <v>5</v>
      </c>
      <c r="T26" s="1" t="n">
        <v>0</v>
      </c>
      <c r="U26" s="1" t="n">
        <v>6</v>
      </c>
      <c r="V26" s="1" t="n">
        <v>5</v>
      </c>
      <c r="W26" s="1" t="n">
        <v>1</v>
      </c>
      <c r="X26" s="1" t="n">
        <v>0</v>
      </c>
      <c r="Y26" s="1" t="n">
        <v>1</v>
      </c>
      <c r="Z26" s="1" t="n">
        <v>1</v>
      </c>
      <c r="AA26" s="1" t="n">
        <v>0</v>
      </c>
      <c r="AB26" s="1" t="n">
        <v>3</v>
      </c>
      <c r="AC26" s="1" t="n">
        <v>2</v>
      </c>
      <c r="AD26" s="1" t="n">
        <v>0</v>
      </c>
      <c r="AE26" s="1" t="n">
        <v>4</v>
      </c>
      <c r="AF26" s="1" t="n">
        <v>0</v>
      </c>
      <c r="AG26" s="1" t="n">
        <v>0</v>
      </c>
      <c r="AH26" s="1" t="n">
        <v>1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</row>
    <row r="27">
      <c r="A27" s="1" t="inlineStr">
        <is>
          <t>esophagus squamous cell carcinoma</t>
        </is>
      </c>
      <c r="B27" s="1" t="inlineStr">
        <is>
          <t>EFO_0005922</t>
        </is>
      </c>
      <c r="C27" s="1" t="inlineStr">
        <is>
          <t>synonym</t>
        </is>
      </c>
      <c r="D27" s="1" t="n">
        <v>0.05</v>
      </c>
      <c r="E27" s="15" t="n">
        <v>12</v>
      </c>
      <c r="F27" s="15" t="n">
        <v>201</v>
      </c>
      <c r="G27" s="15" t="n">
        <v>3</v>
      </c>
      <c r="H27" s="16">
        <f>G27/F27</f>
        <v/>
      </c>
      <c r="I27" s="16">
        <f>G27/E27</f>
        <v/>
      </c>
      <c r="J27" s="17" t="n">
        <v>7</v>
      </c>
      <c r="K27" s="17" t="n">
        <v>134</v>
      </c>
      <c r="L27" s="17" t="n">
        <v>0</v>
      </c>
      <c r="M27" s="16">
        <f>L27/K27</f>
        <v/>
      </c>
      <c r="N27" s="16">
        <f>L27/J27</f>
        <v/>
      </c>
      <c r="O27" s="18" t="n">
        <v>3</v>
      </c>
      <c r="P27" s="18" t="n">
        <v>0</v>
      </c>
      <c r="Q27" s="16">
        <f>P27/O27</f>
        <v/>
      </c>
      <c r="R27" s="1" t="n">
        <v>512</v>
      </c>
      <c r="S27" s="1" t="n">
        <v>3</v>
      </c>
      <c r="T27" s="1" t="n">
        <v>1</v>
      </c>
      <c r="U27" s="1" t="n">
        <v>8</v>
      </c>
      <c r="V27" s="1" t="n">
        <v>12</v>
      </c>
      <c r="W27" s="1" t="n">
        <v>7</v>
      </c>
      <c r="X27" s="1" t="n">
        <v>0</v>
      </c>
      <c r="Y27" s="1" t="n">
        <v>4</v>
      </c>
      <c r="Z27" s="1" t="n">
        <v>6</v>
      </c>
      <c r="AA27" s="1" t="n">
        <v>1</v>
      </c>
      <c r="AB27" s="1" t="n">
        <v>3</v>
      </c>
      <c r="AC27" s="1" t="n">
        <v>7</v>
      </c>
      <c r="AD27" s="1" t="n">
        <v>1</v>
      </c>
      <c r="AE27" s="1" t="n">
        <v>2</v>
      </c>
      <c r="AF27" s="1" t="n">
        <v>0</v>
      </c>
      <c r="AG27" s="1" t="n">
        <v>2</v>
      </c>
      <c r="AH27" s="1" t="n">
        <v>2</v>
      </c>
      <c r="AI27" s="1" t="n">
        <v>0</v>
      </c>
      <c r="AJ27" s="1" t="n">
        <v>2</v>
      </c>
      <c r="AK27" s="1" t="n">
        <v>4</v>
      </c>
      <c r="AL27" s="1" t="n">
        <v>0</v>
      </c>
      <c r="AM27" s="1" t="n">
        <v>1</v>
      </c>
    </row>
    <row r="28">
      <c r="A28" s="1" t="inlineStr">
        <is>
          <t>hemorrhagic thrombocythemia</t>
        </is>
      </c>
      <c r="B28" s="1" t="inlineStr">
        <is>
          <t>EFO_0000479</t>
        </is>
      </c>
      <c r="C28" s="1" t="inlineStr">
        <is>
          <t>synonym</t>
        </is>
      </c>
      <c r="D28" s="1" t="n">
        <v>0.05</v>
      </c>
      <c r="E28" s="15" t="n">
        <v>3</v>
      </c>
      <c r="F28" s="15" t="n">
        <v>41</v>
      </c>
      <c r="G28" s="15" t="n">
        <v>0</v>
      </c>
      <c r="H28" s="16">
        <f>G28/F28</f>
        <v/>
      </c>
      <c r="I28" s="16">
        <f>G28/E28</f>
        <v/>
      </c>
      <c r="J28" s="17" t="n">
        <v>4</v>
      </c>
      <c r="K28" s="17" t="n">
        <v>11</v>
      </c>
      <c r="L28" s="17" t="n">
        <v>0</v>
      </c>
      <c r="M28" s="16">
        <f>L28/K28</f>
        <v/>
      </c>
      <c r="N28" s="16">
        <f>L28/J28</f>
        <v/>
      </c>
      <c r="O28" s="18" t="n">
        <v>0</v>
      </c>
      <c r="P28" s="18" t="n">
        <v>0</v>
      </c>
      <c r="Q28" s="16">
        <f>P28/O28</f>
        <v/>
      </c>
      <c r="R28" s="1" t="n">
        <v>207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</row>
    <row r="29">
      <c r="A29" s="1" t="inlineStr">
        <is>
          <t>hepatitis C</t>
        </is>
      </c>
      <c r="B29" s="1" t="inlineStr">
        <is>
          <t>EFO_0003047</t>
        </is>
      </c>
      <c r="C29" s="1" t="inlineStr">
        <is>
          <t>synonym</t>
        </is>
      </c>
      <c r="D29" s="1" t="n">
        <v>0.05</v>
      </c>
      <c r="E29" s="15" t="n">
        <v>7</v>
      </c>
      <c r="F29" s="15" t="n">
        <v>36</v>
      </c>
      <c r="G29" s="15" t="n">
        <v>0</v>
      </c>
      <c r="H29" s="16">
        <f>G29/F29</f>
        <v/>
      </c>
      <c r="I29" s="16">
        <f>G29/E29</f>
        <v/>
      </c>
      <c r="J29" s="17" t="n">
        <v>15</v>
      </c>
      <c r="K29" s="17" t="n">
        <v>62</v>
      </c>
      <c r="L29" s="17" t="n">
        <v>2</v>
      </c>
      <c r="M29" s="16">
        <f>L29/K29</f>
        <v/>
      </c>
      <c r="N29" s="16">
        <f>L29/J29</f>
        <v/>
      </c>
      <c r="O29" s="18" t="n">
        <v>0</v>
      </c>
      <c r="P29" s="18" t="n">
        <v>0</v>
      </c>
      <c r="Q29" s="16">
        <f>P29/O29</f>
        <v/>
      </c>
      <c r="R29" s="1" t="n">
        <v>648</v>
      </c>
      <c r="S29" s="1" t="n">
        <v>2</v>
      </c>
      <c r="T29" s="1" t="n">
        <v>0</v>
      </c>
      <c r="U29" s="1" t="n">
        <v>1</v>
      </c>
      <c r="V29" s="1" t="n">
        <v>1</v>
      </c>
      <c r="W29" s="1" t="n">
        <v>0</v>
      </c>
      <c r="X29" s="1" t="n">
        <v>0</v>
      </c>
      <c r="Y29" s="1" t="n">
        <v>0</v>
      </c>
      <c r="Z29" s="1" t="n">
        <v>1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1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</row>
    <row r="30">
      <c r="A30" s="1" t="inlineStr">
        <is>
          <t>hepatitis C virus related hepatocellular carcinoma</t>
        </is>
      </c>
      <c r="B30" s="1" t="inlineStr">
        <is>
          <t>EFO_0008504</t>
        </is>
      </c>
      <c r="C30" s="1" t="inlineStr">
        <is>
          <t>synonym</t>
        </is>
      </c>
      <c r="D30" s="1" t="n">
        <v>0.05</v>
      </c>
      <c r="E30" s="15" t="n">
        <v>0</v>
      </c>
      <c r="F30" s="15" t="n">
        <v>321</v>
      </c>
      <c r="G30" s="15" t="n">
        <v>0</v>
      </c>
      <c r="H30" s="16">
        <f>G30/F30</f>
        <v/>
      </c>
      <c r="I30" s="16">
        <f>G30/E30</f>
        <v/>
      </c>
      <c r="J30" s="17" t="n">
        <v>0</v>
      </c>
      <c r="K30" s="17" t="n">
        <v>114</v>
      </c>
      <c r="L30" s="17" t="n">
        <v>0</v>
      </c>
      <c r="M30" s="16">
        <f>L30/K30</f>
        <v/>
      </c>
      <c r="N30" s="16">
        <f>L30/J30</f>
        <v/>
      </c>
      <c r="O30" s="18" t="n">
        <v>5</v>
      </c>
      <c r="P30" s="18" t="n">
        <v>0</v>
      </c>
      <c r="Q30" s="16">
        <f>P30/O30</f>
        <v/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</row>
    <row r="31">
      <c r="A31" s="1" t="inlineStr">
        <is>
          <t>HIV encephalitis</t>
        </is>
      </c>
      <c r="B31" s="1" t="inlineStr">
        <is>
          <t>EFO_0002608</t>
        </is>
      </c>
      <c r="C31" s="1" t="inlineStr">
        <is>
          <t>synonym</t>
        </is>
      </c>
      <c r="D31" s="1" t="n">
        <v>0.05</v>
      </c>
      <c r="E31" s="15" t="n">
        <v>0</v>
      </c>
      <c r="F31" s="15" t="n">
        <v>274</v>
      </c>
      <c r="G31" s="15" t="n">
        <v>0</v>
      </c>
      <c r="H31" s="16">
        <f>G31/F31</f>
        <v/>
      </c>
      <c r="I31" s="16">
        <f>G31/E31</f>
        <v/>
      </c>
      <c r="J31" s="17" t="n">
        <v>0</v>
      </c>
      <c r="K31" s="17" t="n">
        <v>1</v>
      </c>
      <c r="L31" s="17" t="n">
        <v>0</v>
      </c>
      <c r="M31" s="16">
        <f>L31/K31</f>
        <v/>
      </c>
      <c r="N31" s="16">
        <f>L31/J31</f>
        <v/>
      </c>
      <c r="O31" s="18" t="n">
        <v>0</v>
      </c>
      <c r="P31" s="18" t="n">
        <v>0</v>
      </c>
      <c r="Q31" s="16">
        <f>P31/O31</f>
        <v/>
      </c>
      <c r="R31" s="1" t="n">
        <v>5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</row>
    <row r="32">
      <c r="A32" s="1" t="inlineStr">
        <is>
          <t>Human immunodeficiency virus infectious disease</t>
        </is>
      </c>
      <c r="B32" s="1" t="inlineStr">
        <is>
          <t>EFO_0000764</t>
        </is>
      </c>
      <c r="C32" s="1" t="inlineStr">
        <is>
          <t>synonym</t>
        </is>
      </c>
      <c r="D32" s="1" t="n">
        <v>0.05</v>
      </c>
      <c r="E32" s="15" t="n">
        <v>19</v>
      </c>
      <c r="F32" s="15" t="n">
        <v>104</v>
      </c>
      <c r="G32" s="15" t="n">
        <v>3</v>
      </c>
      <c r="H32" s="16">
        <f>G32/F32</f>
        <v/>
      </c>
      <c r="I32" s="16">
        <f>G32/E32</f>
        <v/>
      </c>
      <c r="J32" s="17" t="n">
        <v>46</v>
      </c>
      <c r="K32" s="17" t="n">
        <v>128</v>
      </c>
      <c r="L32" s="17" t="n">
        <v>8</v>
      </c>
      <c r="M32" s="16">
        <f>L32/K32</f>
        <v/>
      </c>
      <c r="N32" s="16">
        <f>L32/J32</f>
        <v/>
      </c>
      <c r="O32" s="18" t="n">
        <v>2</v>
      </c>
      <c r="P32" s="18" t="n">
        <v>0</v>
      </c>
      <c r="Q32" s="16">
        <f>P32/O32</f>
        <v/>
      </c>
      <c r="R32" s="1" t="n">
        <v>2224</v>
      </c>
      <c r="S32" s="1" t="n">
        <v>11</v>
      </c>
      <c r="T32" s="1" t="n">
        <v>0</v>
      </c>
      <c r="U32" s="1" t="n">
        <v>12</v>
      </c>
      <c r="V32" s="1" t="n">
        <v>10</v>
      </c>
      <c r="W32" s="1" t="n">
        <v>2</v>
      </c>
      <c r="X32" s="1" t="n">
        <v>0</v>
      </c>
      <c r="Y32" s="1" t="n">
        <v>0</v>
      </c>
      <c r="Z32" s="1" t="n">
        <v>15</v>
      </c>
      <c r="AA32" s="1" t="n">
        <v>0</v>
      </c>
      <c r="AB32" s="1" t="n">
        <v>0</v>
      </c>
      <c r="AC32" s="1" t="n">
        <v>1</v>
      </c>
      <c r="AD32" s="1" t="n">
        <v>0</v>
      </c>
      <c r="AE32" s="1" t="n">
        <v>6</v>
      </c>
      <c r="AF32" s="1" t="n">
        <v>0</v>
      </c>
      <c r="AG32" s="1" t="n">
        <v>1</v>
      </c>
      <c r="AH32" s="1" t="n">
        <v>1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</row>
    <row r="33">
      <c r="A33" s="1" t="inlineStr">
        <is>
          <t>Huntington's disease</t>
        </is>
      </c>
      <c r="B33" s="1" t="inlineStr">
        <is>
          <t>MONDO_0007739</t>
        </is>
      </c>
      <c r="C33" s="1" t="inlineStr">
        <is>
          <t>synonym</t>
        </is>
      </c>
      <c r="D33" s="1" t="n">
        <v>0.05</v>
      </c>
      <c r="E33" s="15" t="n">
        <v>2</v>
      </c>
      <c r="F33" s="15" t="n">
        <v>0</v>
      </c>
      <c r="G33" s="15" t="n">
        <v>0</v>
      </c>
      <c r="H33" s="16">
        <f>G33/F33</f>
        <v/>
      </c>
      <c r="I33" s="16">
        <f>G33/E33</f>
        <v/>
      </c>
      <c r="J33" s="17" t="n">
        <v>11</v>
      </c>
      <c r="K33" s="17" t="n">
        <v>0</v>
      </c>
      <c r="L33" s="17" t="n">
        <v>0</v>
      </c>
      <c r="M33" s="16">
        <f>L33/K33</f>
        <v/>
      </c>
      <c r="N33" s="16">
        <f>L33/J33</f>
        <v/>
      </c>
      <c r="O33" s="18" t="n">
        <v>0</v>
      </c>
      <c r="P33" s="18" t="n">
        <v>0</v>
      </c>
      <c r="Q33" s="16">
        <f>P33/O33</f>
        <v/>
      </c>
      <c r="R33" s="1" t="n">
        <v>240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20</v>
      </c>
      <c r="AK33" s="1" t="n">
        <v>1</v>
      </c>
      <c r="AL33" s="1" t="n">
        <v>12</v>
      </c>
      <c r="AM33" s="1" t="n">
        <v>9</v>
      </c>
    </row>
    <row r="34">
      <c r="A34" s="1" t="inlineStr">
        <is>
          <t>intracranial aneurysm</t>
        </is>
      </c>
      <c r="B34" s="1" t="inlineStr">
        <is>
          <t>EFO_0003870</t>
        </is>
      </c>
      <c r="C34" s="1" t="inlineStr">
        <is>
          <t>synonym</t>
        </is>
      </c>
      <c r="D34" s="1" t="n">
        <v>0.05</v>
      </c>
      <c r="E34" s="15" t="n">
        <v>3</v>
      </c>
      <c r="F34" s="15" t="n">
        <v>329</v>
      </c>
      <c r="G34" s="15" t="n">
        <v>3</v>
      </c>
      <c r="H34" s="16">
        <f>G34/F34</f>
        <v/>
      </c>
      <c r="I34" s="16">
        <f>G34/E34</f>
        <v/>
      </c>
      <c r="J34" s="17" t="n">
        <v>4</v>
      </c>
      <c r="K34" s="17" t="n">
        <v>1</v>
      </c>
      <c r="L34" s="17" t="n">
        <v>0</v>
      </c>
      <c r="M34" s="16">
        <f>L34/K34</f>
        <v/>
      </c>
      <c r="N34" s="16">
        <f>L34/J34</f>
        <v/>
      </c>
      <c r="O34" s="18" t="n">
        <v>0</v>
      </c>
      <c r="P34" s="18" t="n">
        <v>0</v>
      </c>
      <c r="Q34" s="16">
        <f>P34/O34</f>
        <v/>
      </c>
      <c r="R34" s="1" t="n">
        <v>122</v>
      </c>
      <c r="S34" s="1" t="n">
        <v>3</v>
      </c>
      <c r="T34" s="1" t="n">
        <v>0</v>
      </c>
      <c r="U34" s="1" t="n">
        <v>0</v>
      </c>
      <c r="V34" s="1" t="n">
        <v>1</v>
      </c>
      <c r="W34" s="1" t="n">
        <v>4</v>
      </c>
      <c r="X34" s="1" t="n">
        <v>0</v>
      </c>
      <c r="Y34" s="1" t="n">
        <v>0</v>
      </c>
      <c r="Z34" s="1" t="n">
        <v>2</v>
      </c>
      <c r="AA34" s="1" t="n">
        <v>0</v>
      </c>
      <c r="AB34" s="1" t="n">
        <v>1</v>
      </c>
      <c r="AC34" s="1" t="n">
        <v>1</v>
      </c>
      <c r="AD34" s="1" t="n">
        <v>0</v>
      </c>
      <c r="AE34" s="1" t="n">
        <v>0</v>
      </c>
      <c r="AF34" s="1" t="n">
        <v>0</v>
      </c>
      <c r="AG34" s="1" t="n">
        <v>1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</row>
    <row r="35">
      <c r="A35" s="1" t="inlineStr">
        <is>
          <t>invasive ductal carcinoma</t>
        </is>
      </c>
      <c r="B35" s="1" t="inlineStr">
        <is>
          <t>EFO_0000186</t>
        </is>
      </c>
      <c r="C35" s="1" t="inlineStr">
        <is>
          <t>synonym</t>
        </is>
      </c>
      <c r="D35" s="1" t="n">
        <v>0.05</v>
      </c>
      <c r="E35" s="15" t="n">
        <v>4</v>
      </c>
      <c r="F35" s="15" t="n">
        <v>239</v>
      </c>
      <c r="G35" s="15" t="n">
        <v>2</v>
      </c>
      <c r="H35" s="16">
        <f>G35/F35</f>
        <v/>
      </c>
      <c r="I35" s="16">
        <f>G35/E35</f>
        <v/>
      </c>
      <c r="J35" s="17" t="n">
        <v>4</v>
      </c>
      <c r="K35" s="17" t="n">
        <v>177</v>
      </c>
      <c r="L35" s="17" t="n">
        <v>2</v>
      </c>
      <c r="M35" s="16">
        <f>L35/K35</f>
        <v/>
      </c>
      <c r="N35" s="16">
        <f>L35/J35</f>
        <v/>
      </c>
      <c r="O35" s="18" t="n">
        <v>6</v>
      </c>
      <c r="P35" s="18" t="n">
        <v>0</v>
      </c>
      <c r="Q35" s="16">
        <f>P35/O35</f>
        <v/>
      </c>
      <c r="R35" s="1" t="n">
        <v>106</v>
      </c>
      <c r="S35" s="1" t="n">
        <v>4</v>
      </c>
      <c r="T35" s="1" t="n">
        <v>0</v>
      </c>
      <c r="U35" s="1" t="n">
        <v>2</v>
      </c>
      <c r="V35" s="1" t="n">
        <v>0</v>
      </c>
      <c r="W35" s="1" t="n">
        <v>3</v>
      </c>
      <c r="X35" s="1" t="n">
        <v>0</v>
      </c>
      <c r="Y35" s="1" t="n">
        <v>4</v>
      </c>
      <c r="Z35" s="1" t="n">
        <v>1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2</v>
      </c>
      <c r="AK35" s="1" t="n">
        <v>3</v>
      </c>
      <c r="AL35" s="1" t="n">
        <v>2</v>
      </c>
      <c r="AM35" s="1" t="n">
        <v>1</v>
      </c>
    </row>
    <row r="36">
      <c r="A36" s="1" t="inlineStr">
        <is>
          <t>juvenile rheumatoid arthritis</t>
        </is>
      </c>
      <c r="B36" s="1" t="inlineStr">
        <is>
          <t>EFO_0002609</t>
        </is>
      </c>
      <c r="C36" s="1" t="inlineStr">
        <is>
          <t>synonym</t>
        </is>
      </c>
      <c r="D36" s="1" t="n">
        <v>0.05</v>
      </c>
      <c r="E36" s="15" t="n">
        <v>8</v>
      </c>
      <c r="F36" s="15" t="n">
        <v>0</v>
      </c>
      <c r="G36" s="15" t="n">
        <v>0</v>
      </c>
      <c r="H36" s="16">
        <f>G36/F36</f>
        <v/>
      </c>
      <c r="I36" s="16">
        <f>G36/E36</f>
        <v/>
      </c>
      <c r="J36" s="17" t="n">
        <v>13</v>
      </c>
      <c r="K36" s="17" t="n">
        <v>0</v>
      </c>
      <c r="L36" s="17" t="n">
        <v>0</v>
      </c>
      <c r="M36" s="16">
        <f>L36/K36</f>
        <v/>
      </c>
      <c r="N36" s="16">
        <f>L36/J36</f>
        <v/>
      </c>
      <c r="O36" s="18" t="n">
        <v>0</v>
      </c>
      <c r="P36" s="18" t="n">
        <v>0</v>
      </c>
      <c r="Q36" s="16">
        <f>P36/O36</f>
        <v/>
      </c>
      <c r="R36" s="1" t="n">
        <v>893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</row>
    <row r="37">
      <c r="A37" s="1" t="inlineStr">
        <is>
          <t>liver cirrhosis</t>
        </is>
      </c>
      <c r="B37" s="1" t="inlineStr">
        <is>
          <t>EFO_0001422</t>
        </is>
      </c>
      <c r="C37" s="1" t="inlineStr">
        <is>
          <t>synonym</t>
        </is>
      </c>
      <c r="D37" s="1" t="n">
        <v>0.05</v>
      </c>
      <c r="E37" s="15" t="n">
        <v>10</v>
      </c>
      <c r="F37" s="15" t="n">
        <v>21</v>
      </c>
      <c r="G37" s="15" t="n">
        <v>1</v>
      </c>
      <c r="H37" s="16">
        <f>G37/F37</f>
        <v/>
      </c>
      <c r="I37" s="16">
        <f>G37/E37</f>
        <v/>
      </c>
      <c r="J37" s="17" t="n">
        <v>20</v>
      </c>
      <c r="K37" s="17" t="n">
        <v>49</v>
      </c>
      <c r="L37" s="17" t="n">
        <v>1</v>
      </c>
      <c r="M37" s="16">
        <f>L37/K37</f>
        <v/>
      </c>
      <c r="N37" s="16">
        <f>L37/J37</f>
        <v/>
      </c>
      <c r="O37" s="18" t="n">
        <v>1</v>
      </c>
      <c r="P37" s="18" t="n">
        <v>0</v>
      </c>
      <c r="Q37" s="16">
        <f>P37/O37</f>
        <v/>
      </c>
      <c r="R37" s="1" t="n">
        <v>727</v>
      </c>
      <c r="S37" s="1" t="n">
        <v>2</v>
      </c>
      <c r="T37" s="1" t="n">
        <v>0</v>
      </c>
      <c r="U37" s="1" t="n">
        <v>0</v>
      </c>
      <c r="V37" s="1" t="n">
        <v>1</v>
      </c>
      <c r="W37" s="1" t="n">
        <v>0</v>
      </c>
      <c r="X37" s="1" t="n">
        <v>1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1</v>
      </c>
      <c r="AD37" s="1" t="n">
        <v>0</v>
      </c>
      <c r="AE37" s="1" t="n">
        <v>0</v>
      </c>
      <c r="AF37" s="1" t="n">
        <v>1</v>
      </c>
      <c r="AG37" s="1" t="n">
        <v>0</v>
      </c>
      <c r="AH37" s="1" t="n">
        <v>0</v>
      </c>
      <c r="AI37" s="1" t="n">
        <v>0</v>
      </c>
      <c r="AJ37" s="1" t="n">
        <v>4</v>
      </c>
      <c r="AK37" s="1" t="n">
        <v>0</v>
      </c>
      <c r="AL37" s="1" t="n">
        <v>5</v>
      </c>
      <c r="AM37" s="1" t="n">
        <v>5</v>
      </c>
    </row>
    <row r="38">
      <c r="A38" s="1" t="inlineStr">
        <is>
          <t>lung large cell carcinoma</t>
        </is>
      </c>
      <c r="B38" s="1" t="inlineStr">
        <is>
          <t>EFO_0003050</t>
        </is>
      </c>
      <c r="C38" s="1" t="inlineStr">
        <is>
          <t>synonym</t>
        </is>
      </c>
      <c r="D38" s="1" t="n">
        <v>0.05</v>
      </c>
      <c r="E38" s="15" t="n">
        <v>6</v>
      </c>
      <c r="F38" s="15" t="n">
        <v>344</v>
      </c>
      <c r="G38" s="15" t="n">
        <v>5</v>
      </c>
      <c r="H38" s="16">
        <f>G38/F38</f>
        <v/>
      </c>
      <c r="I38" s="16">
        <f>G38/E38</f>
        <v/>
      </c>
      <c r="J38" s="17" t="n">
        <v>3</v>
      </c>
      <c r="K38" s="17" t="n">
        <v>14</v>
      </c>
      <c r="L38" s="17" t="n">
        <v>0</v>
      </c>
      <c r="M38" s="16">
        <f>L38/K38</f>
        <v/>
      </c>
      <c r="N38" s="16">
        <f>L38/J38</f>
        <v/>
      </c>
      <c r="O38" s="18" t="n">
        <v>0</v>
      </c>
      <c r="P38" s="18" t="n">
        <v>0</v>
      </c>
      <c r="Q38" s="16">
        <f>P38/O38</f>
        <v/>
      </c>
      <c r="R38" s="1" t="n">
        <v>250</v>
      </c>
      <c r="S38" s="1" t="n">
        <v>5</v>
      </c>
      <c r="T38" s="1" t="n">
        <v>0</v>
      </c>
      <c r="U38" s="1" t="n">
        <v>1</v>
      </c>
      <c r="V38" s="1" t="n">
        <v>6</v>
      </c>
      <c r="W38" s="1" t="n">
        <v>2</v>
      </c>
      <c r="X38" s="1" t="n">
        <v>0</v>
      </c>
      <c r="Y38" s="1" t="n">
        <v>3</v>
      </c>
      <c r="Z38" s="1" t="n">
        <v>3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3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</row>
    <row r="39">
      <c r="A39" s="1" t="inlineStr">
        <is>
          <t>lung small cell carcinoma</t>
        </is>
      </c>
      <c r="B39" s="1" t="inlineStr">
        <is>
          <t>EFO_0000702</t>
        </is>
      </c>
      <c r="C39" s="1" t="inlineStr">
        <is>
          <t>synonym</t>
        </is>
      </c>
      <c r="D39" s="1" t="n">
        <v>0.05</v>
      </c>
      <c r="E39" s="15" t="n">
        <v>31</v>
      </c>
      <c r="F39" s="15" t="n">
        <v>109</v>
      </c>
      <c r="G39" s="15" t="n">
        <v>7</v>
      </c>
      <c r="H39" s="16">
        <f>G39/F39</f>
        <v/>
      </c>
      <c r="I39" s="16">
        <f>G39/E39</f>
        <v/>
      </c>
      <c r="J39" s="17" t="n">
        <v>18</v>
      </c>
      <c r="K39" s="17" t="n">
        <v>18</v>
      </c>
      <c r="L39" s="17" t="n">
        <v>0</v>
      </c>
      <c r="M39" s="16">
        <f>L39/K39</f>
        <v/>
      </c>
      <c r="N39" s="16">
        <f>L39/J39</f>
        <v/>
      </c>
      <c r="O39" s="18" t="n">
        <v>0</v>
      </c>
      <c r="P39" s="18" t="n">
        <v>0</v>
      </c>
      <c r="Q39" s="16">
        <f>P39/O39</f>
        <v/>
      </c>
      <c r="R39" s="1" t="n">
        <v>1215</v>
      </c>
      <c r="S39" s="1" t="n">
        <v>7</v>
      </c>
      <c r="T39" s="1" t="n">
        <v>0</v>
      </c>
      <c r="U39" s="1" t="n">
        <v>10</v>
      </c>
      <c r="V39" s="1" t="n">
        <v>13</v>
      </c>
      <c r="W39" s="1" t="n">
        <v>5</v>
      </c>
      <c r="X39" s="1" t="n">
        <v>0</v>
      </c>
      <c r="Y39" s="1" t="n">
        <v>1</v>
      </c>
      <c r="Z39" s="1" t="n">
        <v>7</v>
      </c>
      <c r="AA39" s="1" t="n">
        <v>0</v>
      </c>
      <c r="AB39" s="1" t="n">
        <v>4</v>
      </c>
      <c r="AC39" s="1" t="n">
        <v>7</v>
      </c>
      <c r="AD39" s="1" t="n">
        <v>0</v>
      </c>
      <c r="AE39" s="1" t="n">
        <v>4</v>
      </c>
      <c r="AF39" s="1" t="n">
        <v>0</v>
      </c>
      <c r="AG39" s="1" t="n">
        <v>3</v>
      </c>
      <c r="AH39" s="1" t="n">
        <v>2</v>
      </c>
      <c r="AI39" s="1" t="n">
        <v>4</v>
      </c>
      <c r="AJ39" s="1" t="n">
        <v>18</v>
      </c>
      <c r="AK39" s="1" t="n">
        <v>6</v>
      </c>
      <c r="AL39" s="1" t="n">
        <v>12</v>
      </c>
      <c r="AM39" s="1" t="n">
        <v>9</v>
      </c>
    </row>
    <row r="40">
      <c r="A40" s="1" t="inlineStr">
        <is>
          <t>lung squamous cell carcinoma</t>
        </is>
      </c>
      <c r="B40" s="1" t="inlineStr">
        <is>
          <t>EFO_0000708</t>
        </is>
      </c>
      <c r="C40" s="1" t="inlineStr">
        <is>
          <t>synonym</t>
        </is>
      </c>
      <c r="D40" s="1" t="n">
        <v>0.05</v>
      </c>
      <c r="E40" s="15" t="n">
        <v>14</v>
      </c>
      <c r="F40" s="15" t="n">
        <v>361</v>
      </c>
      <c r="G40" s="15" t="n">
        <v>13</v>
      </c>
      <c r="H40" s="16">
        <f>G40/F40</f>
        <v/>
      </c>
      <c r="I40" s="16">
        <f>G40/E40</f>
        <v/>
      </c>
      <c r="J40" s="17" t="n">
        <v>6</v>
      </c>
      <c r="K40" s="17" t="n">
        <v>25</v>
      </c>
      <c r="L40" s="17" t="n">
        <v>0</v>
      </c>
      <c r="M40" s="16">
        <f>L40/K40</f>
        <v/>
      </c>
      <c r="N40" s="16">
        <f>L40/J40</f>
        <v/>
      </c>
      <c r="O40" s="18" t="n">
        <v>0</v>
      </c>
      <c r="P40" s="18" t="n">
        <v>0</v>
      </c>
      <c r="Q40" s="16">
        <f>P40/O40</f>
        <v/>
      </c>
      <c r="R40" s="1" t="n">
        <v>391</v>
      </c>
      <c r="S40" s="1" t="n">
        <v>13</v>
      </c>
      <c r="T40" s="1" t="n">
        <v>0</v>
      </c>
      <c r="U40" s="1" t="n">
        <v>9</v>
      </c>
      <c r="V40" s="1" t="n">
        <v>17</v>
      </c>
      <c r="W40" s="1" t="n">
        <v>4</v>
      </c>
      <c r="X40" s="1" t="n">
        <v>0</v>
      </c>
      <c r="Y40" s="1" t="n">
        <v>3</v>
      </c>
      <c r="Z40" s="1" t="n">
        <v>10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6</v>
      </c>
      <c r="AF40" s="1" t="n">
        <v>0</v>
      </c>
      <c r="AG40" s="1" t="n">
        <v>5</v>
      </c>
      <c r="AH40" s="1" t="n">
        <v>6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</row>
    <row r="41">
      <c r="A41" s="1" t="inlineStr">
        <is>
          <t>mental depression</t>
        </is>
      </c>
      <c r="B41" s="1" t="inlineStr">
        <is>
          <t>MONDO_0002050</t>
        </is>
      </c>
      <c r="C41" s="1" t="inlineStr">
        <is>
          <t>synonym</t>
        </is>
      </c>
      <c r="D41" s="1" t="n">
        <v>0.05</v>
      </c>
      <c r="E41" s="15" t="n">
        <v>13</v>
      </c>
      <c r="F41" s="15" t="n">
        <v>184</v>
      </c>
      <c r="G41" s="15" t="n">
        <v>1</v>
      </c>
      <c r="H41" s="16">
        <f>G41/F41</f>
        <v/>
      </c>
      <c r="I41" s="16">
        <f>G41/E41</f>
        <v/>
      </c>
      <c r="J41" s="17" t="n">
        <v>69</v>
      </c>
      <c r="K41" s="17" t="n">
        <v>15</v>
      </c>
      <c r="L41" s="17" t="n">
        <v>1</v>
      </c>
      <c r="M41" s="16">
        <f>L41/K41</f>
        <v/>
      </c>
      <c r="N41" s="16">
        <f>L41/J41</f>
        <v/>
      </c>
      <c r="O41" s="18" t="n">
        <v>1</v>
      </c>
      <c r="P41" s="18" t="n">
        <v>0</v>
      </c>
      <c r="Q41" s="16">
        <f>P41/O41</f>
        <v/>
      </c>
      <c r="R41" s="1" t="n">
        <v>2252</v>
      </c>
      <c r="S41" s="1" t="n">
        <v>2</v>
      </c>
      <c r="T41" s="1" t="n">
        <v>0</v>
      </c>
      <c r="U41" s="1" t="n">
        <v>1</v>
      </c>
      <c r="V41" s="1" t="n">
        <v>0</v>
      </c>
      <c r="W41" s="1" t="n">
        <v>2</v>
      </c>
      <c r="X41" s="1" t="n">
        <v>2</v>
      </c>
      <c r="Y41" s="1" t="n">
        <v>0</v>
      </c>
      <c r="Z41" s="1" t="n">
        <v>3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1</v>
      </c>
      <c r="AF41" s="1" t="n">
        <v>0</v>
      </c>
      <c r="AG41" s="1" t="n">
        <v>1</v>
      </c>
      <c r="AH41" s="1" t="n">
        <v>0</v>
      </c>
      <c r="AI41" s="1" t="n">
        <v>0</v>
      </c>
      <c r="AJ41" s="1" t="n">
        <v>1</v>
      </c>
      <c r="AK41" s="1" t="n">
        <v>1</v>
      </c>
      <c r="AL41" s="1" t="n">
        <v>1</v>
      </c>
      <c r="AM41" s="1" t="n">
        <v>0</v>
      </c>
    </row>
    <row r="42">
      <c r="A42" s="1" t="inlineStr">
        <is>
          <t>parasitic protozoa infectious disease</t>
        </is>
      </c>
      <c r="B42" s="1" t="inlineStr">
        <is>
          <t>MONDO_0002428</t>
        </is>
      </c>
      <c r="C42" s="1" t="inlineStr">
        <is>
          <t>synonym</t>
        </is>
      </c>
      <c r="D42" s="1" t="n">
        <v>0.05</v>
      </c>
      <c r="E42" s="15" t="n">
        <v>0</v>
      </c>
      <c r="F42" s="15" t="n">
        <v>72</v>
      </c>
      <c r="G42" s="15" t="n">
        <v>0</v>
      </c>
      <c r="H42" s="16">
        <f>G42/F42</f>
        <v/>
      </c>
      <c r="I42" s="16">
        <f>G42/E42</f>
        <v/>
      </c>
      <c r="J42" s="17" t="n">
        <v>0</v>
      </c>
      <c r="K42" s="17" t="n">
        <v>658</v>
      </c>
      <c r="L42" s="17" t="n">
        <v>0</v>
      </c>
      <c r="M42" s="16">
        <f>L42/K42</f>
        <v/>
      </c>
      <c r="N42" s="16">
        <f>L42/J42</f>
        <v/>
      </c>
      <c r="O42" s="18" t="n">
        <v>4</v>
      </c>
      <c r="P42" s="18" t="n">
        <v>0</v>
      </c>
      <c r="Q42" s="16">
        <f>P42/O42</f>
        <v/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1</v>
      </c>
      <c r="AK42" s="1" t="n">
        <v>0</v>
      </c>
      <c r="AL42" s="1" t="n">
        <v>0</v>
      </c>
      <c r="AM42" s="1" t="n">
        <v>0</v>
      </c>
    </row>
    <row r="43">
      <c r="A43" s="1" t="inlineStr">
        <is>
          <t>Premature aging</t>
        </is>
      </c>
      <c r="B43" s="1" t="inlineStr">
        <is>
          <t>MONDO_0019303</t>
        </is>
      </c>
      <c r="C43" s="1" t="inlineStr">
        <is>
          <t>synonym</t>
        </is>
      </c>
      <c r="D43" s="1" t="n">
        <v>0.05</v>
      </c>
      <c r="E43" s="15" t="n">
        <v>0</v>
      </c>
      <c r="F43" s="15" t="n">
        <v>205</v>
      </c>
      <c r="G43" s="15" t="n">
        <v>0</v>
      </c>
      <c r="H43" s="16">
        <f>G43/F43</f>
        <v/>
      </c>
      <c r="I43" s="16">
        <f>G43/E43</f>
        <v/>
      </c>
      <c r="J43" s="17" t="n">
        <v>0</v>
      </c>
      <c r="K43" s="17" t="n">
        <v>272</v>
      </c>
      <c r="L43" s="17" t="n">
        <v>0</v>
      </c>
      <c r="M43" s="16">
        <f>L43/K43</f>
        <v/>
      </c>
      <c r="N43" s="16">
        <f>L43/J43</f>
        <v/>
      </c>
      <c r="O43" s="18" t="n">
        <v>2</v>
      </c>
      <c r="P43" s="18" t="n">
        <v>0</v>
      </c>
      <c r="Q43" s="16">
        <f>P43/O43</f>
        <v/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2</v>
      </c>
      <c r="AK43" s="1" t="n">
        <v>0</v>
      </c>
      <c r="AL43" s="1" t="n">
        <v>0</v>
      </c>
      <c r="AM43" s="1" t="n">
        <v>0</v>
      </c>
    </row>
    <row r="44">
      <c r="A44" s="1" t="inlineStr">
        <is>
          <t>primary open angle glaucoma</t>
        </is>
      </c>
      <c r="B44" s="1" t="inlineStr">
        <is>
          <t>EFO_0004190</t>
        </is>
      </c>
      <c r="C44" s="1" t="inlineStr">
        <is>
          <t>synonym</t>
        </is>
      </c>
      <c r="D44" s="1" t="n">
        <v>0.05</v>
      </c>
      <c r="E44" s="15" t="n">
        <v>3</v>
      </c>
      <c r="F44" s="15" t="n">
        <v>98</v>
      </c>
      <c r="G44" s="15" t="n">
        <v>0</v>
      </c>
      <c r="H44" s="16">
        <f>G44/F44</f>
        <v/>
      </c>
      <c r="I44" s="16">
        <f>G44/E44</f>
        <v/>
      </c>
      <c r="J44" s="17" t="n">
        <v>8</v>
      </c>
      <c r="K44" s="17" t="n">
        <v>292</v>
      </c>
      <c r="L44" s="17" t="n">
        <v>1</v>
      </c>
      <c r="M44" s="16">
        <f>L44/K44</f>
        <v/>
      </c>
      <c r="N44" s="16">
        <f>L44/J44</f>
        <v/>
      </c>
      <c r="O44" s="18" t="n">
        <v>2</v>
      </c>
      <c r="P44" s="18" t="n">
        <v>0</v>
      </c>
      <c r="Q44" s="16">
        <f>P44/O44</f>
        <v/>
      </c>
      <c r="R44" s="1" t="n">
        <v>215</v>
      </c>
      <c r="S44" s="1" t="n">
        <v>1</v>
      </c>
      <c r="T44" s="1" t="n">
        <v>0</v>
      </c>
      <c r="U44" s="1" t="n">
        <v>0</v>
      </c>
      <c r="V44" s="1" t="n">
        <v>0</v>
      </c>
      <c r="W44" s="1" t="n">
        <v>1</v>
      </c>
      <c r="X44" s="1" t="n">
        <v>2</v>
      </c>
      <c r="Y44" s="1" t="n">
        <v>0</v>
      </c>
      <c r="Z44" s="1" t="n">
        <v>1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1</v>
      </c>
      <c r="AG44" s="1" t="n">
        <v>0</v>
      </c>
      <c r="AH44" s="1" t="n">
        <v>1</v>
      </c>
      <c r="AI44" s="1" t="n">
        <v>0</v>
      </c>
      <c r="AJ44" s="1" t="n">
        <v>4</v>
      </c>
      <c r="AK44" s="1" t="n">
        <v>3</v>
      </c>
      <c r="AL44" s="1" t="n">
        <v>0</v>
      </c>
      <c r="AM44" s="1" t="n">
        <v>1</v>
      </c>
    </row>
    <row r="45">
      <c r="A45" s="1" t="inlineStr">
        <is>
          <t>prolactinoma</t>
        </is>
      </c>
      <c r="B45" s="1" t="inlineStr">
        <is>
          <t>EFO_1000496</t>
        </is>
      </c>
      <c r="C45" s="1" t="inlineStr">
        <is>
          <t>synonym</t>
        </is>
      </c>
      <c r="D45" s="1" t="n">
        <v>0.05</v>
      </c>
      <c r="E45" s="15" t="n">
        <v>0</v>
      </c>
      <c r="F45" s="15" t="n">
        <v>0</v>
      </c>
      <c r="G45" s="15" t="n">
        <v>0</v>
      </c>
      <c r="H45" s="16">
        <f>G45/F45</f>
        <v/>
      </c>
      <c r="I45" s="16">
        <f>G45/E45</f>
        <v/>
      </c>
      <c r="J45" s="17" t="n">
        <v>0</v>
      </c>
      <c r="K45" s="17" t="n">
        <v>1</v>
      </c>
      <c r="L45" s="17" t="n">
        <v>0</v>
      </c>
      <c r="M45" s="16">
        <f>L45/K45</f>
        <v/>
      </c>
      <c r="N45" s="16">
        <f>L45/J45</f>
        <v/>
      </c>
      <c r="O45" s="18" t="n">
        <v>0</v>
      </c>
      <c r="P45" s="18" t="n">
        <v>0</v>
      </c>
      <c r="Q45" s="16">
        <f>P45/O45</f>
        <v/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1</v>
      </c>
      <c r="AL45" s="1" t="n">
        <v>0</v>
      </c>
      <c r="AM45" s="1" t="n">
        <v>0</v>
      </c>
    </row>
    <row r="46">
      <c r="A46" s="1" t="inlineStr">
        <is>
          <t>Setleis syndrome</t>
        </is>
      </c>
      <c r="B46" s="1" t="inlineStr">
        <is>
          <t>MONDO_0013996</t>
        </is>
      </c>
      <c r="C46" s="1" t="inlineStr">
        <is>
          <t>synonym</t>
        </is>
      </c>
      <c r="D46" s="1" t="n">
        <v>0.05</v>
      </c>
      <c r="E46" s="15" t="n">
        <v>0</v>
      </c>
      <c r="F46" s="15" t="n">
        <v>149</v>
      </c>
      <c r="G46" s="15" t="n">
        <v>0</v>
      </c>
      <c r="H46" s="16">
        <f>G46/F46</f>
        <v/>
      </c>
      <c r="I46" s="16">
        <f>G46/E46</f>
        <v/>
      </c>
      <c r="J46" s="17" t="n">
        <v>0</v>
      </c>
      <c r="K46" s="17" t="n">
        <v>304</v>
      </c>
      <c r="L46" s="17" t="n">
        <v>0</v>
      </c>
      <c r="M46" s="16">
        <f>L46/K46</f>
        <v/>
      </c>
      <c r="N46" s="16">
        <f>L46/J46</f>
        <v/>
      </c>
      <c r="O46" s="18" t="n">
        <v>5</v>
      </c>
      <c r="P46" s="18" t="n">
        <v>0</v>
      </c>
      <c r="Q46" s="16">
        <f>P46/O46</f>
        <v/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</row>
    <row r="47">
      <c r="A47" s="1" t="inlineStr">
        <is>
          <t>Sjogren's syndrome</t>
        </is>
      </c>
      <c r="B47" s="1" t="inlineStr">
        <is>
          <t>EFO_0000699</t>
        </is>
      </c>
      <c r="C47" s="1" t="inlineStr">
        <is>
          <t>synonym</t>
        </is>
      </c>
      <c r="D47" s="1" t="n">
        <v>0.05</v>
      </c>
      <c r="E47" s="15" t="n">
        <v>4</v>
      </c>
      <c r="F47" s="15" t="n">
        <v>315</v>
      </c>
      <c r="G47" s="15" t="n">
        <v>4</v>
      </c>
      <c r="H47" s="16">
        <f>G47/F47</f>
        <v/>
      </c>
      <c r="I47" s="16">
        <f>G47/E47</f>
        <v/>
      </c>
      <c r="J47" s="17" t="n">
        <v>6</v>
      </c>
      <c r="K47" s="17" t="n">
        <v>701</v>
      </c>
      <c r="L47" s="17" t="n">
        <v>4</v>
      </c>
      <c r="M47" s="16">
        <f>L47/K47</f>
        <v/>
      </c>
      <c r="N47" s="16">
        <f>L47/J47</f>
        <v/>
      </c>
      <c r="O47" s="18" t="n">
        <v>29</v>
      </c>
      <c r="P47" s="18" t="n">
        <v>0</v>
      </c>
      <c r="Q47" s="16">
        <f>P47/O47</f>
        <v/>
      </c>
      <c r="R47" s="1" t="n">
        <v>304</v>
      </c>
      <c r="S47" s="1" t="n">
        <v>8</v>
      </c>
      <c r="T47" s="1" t="n">
        <v>0</v>
      </c>
      <c r="U47" s="1" t="n">
        <v>2</v>
      </c>
      <c r="V47" s="1" t="n">
        <v>5</v>
      </c>
      <c r="W47" s="1" t="n">
        <v>0</v>
      </c>
      <c r="X47" s="1" t="n">
        <v>1</v>
      </c>
      <c r="Y47" s="1" t="n">
        <v>0</v>
      </c>
      <c r="Z47" s="1" t="n">
        <v>2</v>
      </c>
      <c r="AA47" s="1" t="n">
        <v>0</v>
      </c>
      <c r="AB47" s="1" t="n">
        <v>1</v>
      </c>
      <c r="AC47" s="1" t="n">
        <v>4</v>
      </c>
      <c r="AD47" s="1" t="n">
        <v>0</v>
      </c>
      <c r="AE47" s="1" t="n">
        <v>0</v>
      </c>
      <c r="AF47" s="1" t="n">
        <v>1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</row>
    <row r="48">
      <c r="A48" s="1" t="inlineStr">
        <is>
          <t>smoldering myeloma</t>
        </is>
      </c>
      <c r="B48" s="1" t="inlineStr">
        <is>
          <t>EFO_0003073</t>
        </is>
      </c>
      <c r="C48" s="1" t="inlineStr">
        <is>
          <t>synonym</t>
        </is>
      </c>
      <c r="D48" s="1" t="n">
        <v>0.05</v>
      </c>
      <c r="E48" s="15" t="n">
        <v>2</v>
      </c>
      <c r="F48" s="15" t="n">
        <v>244</v>
      </c>
      <c r="G48" s="15" t="n">
        <v>2</v>
      </c>
      <c r="H48" s="16">
        <f>G48/F48</f>
        <v/>
      </c>
      <c r="I48" s="16">
        <f>G48/E48</f>
        <v/>
      </c>
      <c r="J48" s="17" t="n">
        <v>2</v>
      </c>
      <c r="K48" s="17" t="n">
        <v>214</v>
      </c>
      <c r="L48" s="17" t="n">
        <v>1</v>
      </c>
      <c r="M48" s="16">
        <f>L48/K48</f>
        <v/>
      </c>
      <c r="N48" s="16">
        <f>L48/J48</f>
        <v/>
      </c>
      <c r="O48" s="18" t="n">
        <v>5</v>
      </c>
      <c r="P48" s="18" t="n">
        <v>0</v>
      </c>
      <c r="Q48" s="16">
        <f>P48/O48</f>
        <v/>
      </c>
      <c r="R48" s="1" t="n">
        <v>125</v>
      </c>
      <c r="S48" s="1" t="n">
        <v>3</v>
      </c>
      <c r="T48" s="1" t="n">
        <v>1</v>
      </c>
      <c r="U48" s="1" t="n">
        <v>3</v>
      </c>
      <c r="V48" s="1" t="n">
        <v>5</v>
      </c>
      <c r="W48" s="1" t="n">
        <v>1</v>
      </c>
      <c r="X48" s="1" t="n">
        <v>0</v>
      </c>
      <c r="Y48" s="1" t="n">
        <v>2</v>
      </c>
      <c r="Z48" s="1" t="n">
        <v>2</v>
      </c>
      <c r="AA48" s="1" t="n">
        <v>0</v>
      </c>
      <c r="AB48" s="1" t="n">
        <v>0</v>
      </c>
      <c r="AC48" s="1" t="n">
        <v>3</v>
      </c>
      <c r="AD48" s="1" t="n">
        <v>0</v>
      </c>
      <c r="AE48" s="1" t="n">
        <v>2</v>
      </c>
      <c r="AF48" s="1" t="n">
        <v>0</v>
      </c>
      <c r="AG48" s="1" t="n">
        <v>0</v>
      </c>
      <c r="AH48" s="1" t="n">
        <v>1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1</v>
      </c>
    </row>
    <row r="49">
      <c r="A49" s="1" t="inlineStr">
        <is>
          <t>Teratospermia</t>
        </is>
      </c>
      <c r="B49" s="1" t="inlineStr">
        <is>
          <t>HP_0012864</t>
        </is>
      </c>
      <c r="C49" s="1" t="inlineStr">
        <is>
          <t>synonym</t>
        </is>
      </c>
      <c r="D49" s="1" t="n">
        <v>0.05</v>
      </c>
      <c r="E49" s="15" t="n">
        <v>0</v>
      </c>
      <c r="F49" s="15" t="n">
        <v>41</v>
      </c>
      <c r="G49" s="15" t="n">
        <v>0</v>
      </c>
      <c r="H49" s="16">
        <f>G49/F49</f>
        <v/>
      </c>
      <c r="I49" s="16">
        <f>G49/E49</f>
        <v/>
      </c>
      <c r="J49" s="17" t="n">
        <v>0</v>
      </c>
      <c r="K49" s="17" t="n">
        <v>48</v>
      </c>
      <c r="L49" s="17" t="n">
        <v>0</v>
      </c>
      <c r="M49" s="16">
        <f>L49/K49</f>
        <v/>
      </c>
      <c r="N49" s="16">
        <f>L49/J49</f>
        <v/>
      </c>
      <c r="O49" s="18" t="n">
        <v>0</v>
      </c>
      <c r="P49" s="18" t="n">
        <v>0</v>
      </c>
      <c r="Q49" s="16">
        <f>P49/O49</f>
        <v/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1</v>
      </c>
      <c r="AK49" s="1" t="n">
        <v>0</v>
      </c>
      <c r="AL49" s="1" t="n">
        <v>1</v>
      </c>
      <c r="AM49" s="1" t="n">
        <v>0</v>
      </c>
    </row>
    <row r="50">
      <c r="A50" s="1" t="inlineStr">
        <is>
          <t>testicular cancer</t>
        </is>
      </c>
      <c r="B50" s="1" t="inlineStr">
        <is>
          <t>EFO_0005088</t>
        </is>
      </c>
      <c r="C50" s="1" t="inlineStr">
        <is>
          <t>synonym</t>
        </is>
      </c>
      <c r="D50" s="1" t="n">
        <v>0.05</v>
      </c>
      <c r="E50" s="15" t="n">
        <v>5</v>
      </c>
      <c r="F50" s="15" t="n">
        <v>379</v>
      </c>
      <c r="G50" s="15" t="n">
        <v>5</v>
      </c>
      <c r="H50" s="16">
        <f>G50/F50</f>
        <v/>
      </c>
      <c r="I50" s="16">
        <f>G50/E50</f>
        <v/>
      </c>
      <c r="J50" s="17" t="n">
        <v>3</v>
      </c>
      <c r="K50" s="17" t="n">
        <v>16</v>
      </c>
      <c r="L50" s="17" t="n">
        <v>0</v>
      </c>
      <c r="M50" s="16">
        <f>L50/K50</f>
        <v/>
      </c>
      <c r="N50" s="16">
        <f>L50/J50</f>
        <v/>
      </c>
      <c r="O50" s="18" t="n">
        <v>1</v>
      </c>
      <c r="P50" s="18" t="n">
        <v>0</v>
      </c>
      <c r="Q50" s="16">
        <f>P50/O50</f>
        <v/>
      </c>
      <c r="R50" s="1" t="n">
        <v>145</v>
      </c>
      <c r="S50" s="1" t="n">
        <v>5</v>
      </c>
      <c r="T50" s="1" t="n">
        <v>0</v>
      </c>
      <c r="U50" s="1" t="n">
        <v>0</v>
      </c>
      <c r="V50" s="1" t="n">
        <v>4</v>
      </c>
      <c r="W50" s="1" t="n">
        <v>1</v>
      </c>
      <c r="X50" s="1" t="n">
        <v>0</v>
      </c>
      <c r="Y50" s="1" t="n">
        <v>0</v>
      </c>
      <c r="Z50" s="1" t="n">
        <v>2</v>
      </c>
      <c r="AA50" s="1" t="n">
        <v>0</v>
      </c>
      <c r="AB50" s="1" t="n">
        <v>0</v>
      </c>
      <c r="AC50" s="1" t="n">
        <v>1</v>
      </c>
      <c r="AD50" s="1" t="n">
        <v>0</v>
      </c>
      <c r="AE50" s="1" t="n">
        <v>2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2</v>
      </c>
      <c r="AK50" s="1" t="n">
        <v>0</v>
      </c>
      <c r="AL50" s="1" t="n">
        <v>0</v>
      </c>
      <c r="AM50" s="1" t="n">
        <v>0</v>
      </c>
    </row>
    <row r="51">
      <c r="A51" s="1" t="inlineStr">
        <is>
          <t>testis seminoma</t>
        </is>
      </c>
      <c r="B51" s="1" t="inlineStr">
        <is>
          <t>EFO_0003101</t>
        </is>
      </c>
      <c r="C51" s="1" t="inlineStr">
        <is>
          <t>synonym</t>
        </is>
      </c>
      <c r="D51" s="1" t="n">
        <v>0.05</v>
      </c>
      <c r="E51" s="15" t="n">
        <v>0</v>
      </c>
      <c r="F51" s="15" t="n">
        <v>163</v>
      </c>
      <c r="G51" s="15" t="n">
        <v>0</v>
      </c>
      <c r="H51" s="16">
        <f>G51/F51</f>
        <v/>
      </c>
      <c r="I51" s="16">
        <f>G51/E51</f>
        <v/>
      </c>
      <c r="J51" s="17" t="n">
        <v>0</v>
      </c>
      <c r="K51" s="17" t="n">
        <v>447</v>
      </c>
      <c r="L51" s="17" t="n">
        <v>0</v>
      </c>
      <c r="M51" s="16">
        <f>L51/K51</f>
        <v/>
      </c>
      <c r="N51" s="16">
        <f>L51/J51</f>
        <v/>
      </c>
      <c r="O51" s="18" t="n">
        <v>5</v>
      </c>
      <c r="P51" s="18" t="n">
        <v>0</v>
      </c>
      <c r="Q51" s="16">
        <f>P51/O51</f>
        <v/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</row>
    <row r="52">
      <c r="A52" s="1" t="inlineStr">
        <is>
          <t>Vulvar intraepithelial tumor</t>
        </is>
      </c>
      <c r="B52" s="1" t="inlineStr">
        <is>
          <t>EFO_0002627</t>
        </is>
      </c>
      <c r="C52" s="1" t="inlineStr">
        <is>
          <t>synonym</t>
        </is>
      </c>
      <c r="D52" s="1" t="n">
        <v>0.05</v>
      </c>
      <c r="E52" s="15" t="n">
        <v>0</v>
      </c>
      <c r="F52" s="15" t="n">
        <v>244</v>
      </c>
      <c r="G52" s="15" t="n">
        <v>0</v>
      </c>
      <c r="H52" s="16">
        <f>G52/F52</f>
        <v/>
      </c>
      <c r="I52" s="16">
        <f>G52/E52</f>
        <v/>
      </c>
      <c r="J52" s="17" t="n">
        <v>0</v>
      </c>
      <c r="K52" s="17" t="n">
        <v>294</v>
      </c>
      <c r="L52" s="17" t="n">
        <v>0</v>
      </c>
      <c r="M52" s="16">
        <f>L52/K52</f>
        <v/>
      </c>
      <c r="N52" s="16">
        <f>L52/J52</f>
        <v/>
      </c>
      <c r="O52" s="18" t="n">
        <v>8</v>
      </c>
      <c r="P52" s="18" t="n">
        <v>0</v>
      </c>
      <c r="Q52" s="16">
        <f>P52/O52</f>
        <v/>
      </c>
      <c r="R52" s="1" t="n">
        <v>8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</row>
    <row r="53">
      <c r="A53" s="1" t="inlineStr">
        <is>
          <t>Williams-Beuren syndrome</t>
        </is>
      </c>
      <c r="B53" s="1" t="inlineStr">
        <is>
          <t>MONDO_0008678</t>
        </is>
      </c>
      <c r="C53" s="1" t="inlineStr">
        <is>
          <t>synonym</t>
        </is>
      </c>
      <c r="D53" s="1" t="n">
        <v>0.05</v>
      </c>
      <c r="E53" s="15" t="n">
        <v>0</v>
      </c>
      <c r="F53" s="15" t="n">
        <v>214</v>
      </c>
      <c r="G53" s="15" t="n">
        <v>0</v>
      </c>
      <c r="H53" s="16">
        <f>G53/F53</f>
        <v/>
      </c>
      <c r="I53" s="16">
        <f>G53/E53</f>
        <v/>
      </c>
      <c r="J53" s="17" t="n">
        <v>1</v>
      </c>
      <c r="K53" s="17" t="n">
        <v>366</v>
      </c>
      <c r="L53" s="17" t="n">
        <v>0</v>
      </c>
      <c r="M53" s="16">
        <f>L53/K53</f>
        <v/>
      </c>
      <c r="N53" s="16">
        <f>L53/J53</f>
        <v/>
      </c>
      <c r="O53" s="18" t="n">
        <v>4</v>
      </c>
      <c r="P53" s="18" t="n">
        <v>0</v>
      </c>
      <c r="Q53" s="16">
        <f>P53/O53</f>
        <v/>
      </c>
      <c r="R53" s="1" t="n">
        <v>5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</row>
    <row r="54">
      <c r="A54" s="11" t="inlineStr">
        <is>
          <t>amyotrophic lateral sclerosis type 10</t>
        </is>
      </c>
      <c r="B54" s="11" t="n">
        <v>0</v>
      </c>
      <c r="C54" s="11" t="inlineStr">
        <is>
          <t>no_match</t>
        </is>
      </c>
      <c r="D54" s="11" t="n">
        <v>0.05</v>
      </c>
      <c r="E54" s="11" t="n">
        <v>0</v>
      </c>
      <c r="F54" s="11" t="n">
        <v>199</v>
      </c>
      <c r="G54" s="11" t="n">
        <v>0</v>
      </c>
      <c r="H54" s="12">
        <f>G54/F54</f>
        <v/>
      </c>
      <c r="I54" s="12">
        <f>G54/E54</f>
        <v/>
      </c>
      <c r="J54" s="11" t="n">
        <v>0</v>
      </c>
      <c r="K54" s="11" t="n">
        <v>87</v>
      </c>
      <c r="L54" s="11" t="n">
        <v>0</v>
      </c>
      <c r="M54" s="12">
        <f>L54/K54</f>
        <v/>
      </c>
      <c r="N54" s="12">
        <f>L54/J54</f>
        <v/>
      </c>
      <c r="O54" s="11" t="n">
        <v>1</v>
      </c>
      <c r="P54" s="11" t="n">
        <v>0</v>
      </c>
      <c r="Q54" s="12">
        <f>P54/O54</f>
        <v/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</row>
    <row r="55">
      <c r="A55" s="11" t="inlineStr">
        <is>
          <t>Carcinoma in situ of large intestine</t>
        </is>
      </c>
      <c r="B55" s="11" t="n">
        <v>0</v>
      </c>
      <c r="C55" s="11" t="inlineStr">
        <is>
          <t>no_match</t>
        </is>
      </c>
      <c r="D55" s="11" t="n">
        <v>0.05</v>
      </c>
      <c r="E55" s="11" t="n">
        <v>0</v>
      </c>
      <c r="F55" s="11" t="n">
        <v>306</v>
      </c>
      <c r="G55" s="11" t="n">
        <v>0</v>
      </c>
      <c r="H55" s="12">
        <f>G55/F55</f>
        <v/>
      </c>
      <c r="I55" s="12">
        <f>G55/E55</f>
        <v/>
      </c>
      <c r="J55" s="11" t="n">
        <v>0</v>
      </c>
      <c r="K55" s="11" t="n">
        <v>27</v>
      </c>
      <c r="L55" s="11" t="n">
        <v>0</v>
      </c>
      <c r="M55" s="12">
        <f>L55/K55</f>
        <v/>
      </c>
      <c r="N55" s="12">
        <f>L55/J55</f>
        <v/>
      </c>
      <c r="O55" s="11" t="n">
        <v>2</v>
      </c>
      <c r="P55" s="11" t="n">
        <v>0</v>
      </c>
      <c r="Q55" s="12">
        <f>P55/O55</f>
        <v/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1</v>
      </c>
      <c r="AJ55" s="11" t="n">
        <v>6</v>
      </c>
      <c r="AK55" s="11" t="n">
        <v>0</v>
      </c>
      <c r="AL55" s="11" t="n">
        <v>4</v>
      </c>
      <c r="AM55" s="11" t="n">
        <v>2</v>
      </c>
    </row>
    <row r="56">
      <c r="A56" s="11" t="inlineStr">
        <is>
          <t>cellular phase chronic idiopathic myelofibrosis</t>
        </is>
      </c>
      <c r="B56" s="11" t="n">
        <v>0</v>
      </c>
      <c r="C56" s="11" t="inlineStr">
        <is>
          <t>no_match</t>
        </is>
      </c>
      <c r="D56" s="11" t="n">
        <v>0.05</v>
      </c>
      <c r="E56" s="11" t="n">
        <v>0</v>
      </c>
      <c r="F56" s="11" t="n">
        <v>262</v>
      </c>
      <c r="G56" s="11" t="n">
        <v>0</v>
      </c>
      <c r="H56" s="12">
        <f>G56/F56</f>
        <v/>
      </c>
      <c r="I56" s="12">
        <f>G56/E56</f>
        <v/>
      </c>
      <c r="J56" s="11" t="n">
        <v>0</v>
      </c>
      <c r="K56" s="11" t="n">
        <v>97</v>
      </c>
      <c r="L56" s="11" t="n">
        <v>0</v>
      </c>
      <c r="M56" s="12">
        <f>L56/K56</f>
        <v/>
      </c>
      <c r="N56" s="12">
        <f>L56/J56</f>
        <v/>
      </c>
      <c r="O56" s="11" t="n">
        <v>2</v>
      </c>
      <c r="P56" s="11" t="n">
        <v>0</v>
      </c>
      <c r="Q56" s="12">
        <f>P56/O56</f>
        <v/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0</v>
      </c>
      <c r="AJ56" s="11" t="n">
        <v>0</v>
      </c>
      <c r="AK56" s="11" t="n">
        <v>0</v>
      </c>
      <c r="AL56" s="11" t="n">
        <v>1</v>
      </c>
      <c r="AM56" s="11" t="n">
        <v>1</v>
      </c>
    </row>
    <row r="57">
      <c r="A57" s="11" t="inlineStr">
        <is>
          <t>Chronic Lymphocytic Leukemia (Chronic B-lymphocytic leukemia)</t>
        </is>
      </c>
      <c r="B57" s="11" t="n">
        <v>0</v>
      </c>
      <c r="C57" s="11" t="inlineStr">
        <is>
          <t>no_match</t>
        </is>
      </c>
      <c r="D57" s="11" t="n">
        <v>0.05</v>
      </c>
      <c r="E57" s="11" t="n">
        <v>0</v>
      </c>
      <c r="F57" s="11" t="n">
        <v>77</v>
      </c>
      <c r="G57" s="11" t="n">
        <v>0</v>
      </c>
      <c r="H57" s="12">
        <f>G57/F57</f>
        <v/>
      </c>
      <c r="I57" s="12">
        <f>G57/E57</f>
        <v/>
      </c>
      <c r="J57" s="11" t="n">
        <v>0</v>
      </c>
      <c r="K57" s="11" t="n">
        <v>0</v>
      </c>
      <c r="L57" s="11" t="n">
        <v>0</v>
      </c>
      <c r="M57" s="12">
        <f>L57/K57</f>
        <v/>
      </c>
      <c r="N57" s="12">
        <f>L57/J57</f>
        <v/>
      </c>
      <c r="O57" s="11" t="n">
        <v>0</v>
      </c>
      <c r="P57" s="11" t="n">
        <v>0</v>
      </c>
      <c r="Q57" s="12">
        <f>P57/O57</f>
        <v/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</row>
    <row r="58">
      <c r="A58" s="11" t="inlineStr">
        <is>
          <t>Dental cavity, complex</t>
        </is>
      </c>
      <c r="B58" s="11" t="n">
        <v>0</v>
      </c>
      <c r="C58" s="11" t="inlineStr">
        <is>
          <t>no_match</t>
        </is>
      </c>
      <c r="D58" s="11" t="n">
        <v>0.05</v>
      </c>
      <c r="E58" s="11" t="n">
        <v>0</v>
      </c>
      <c r="F58" s="11" t="n">
        <v>291</v>
      </c>
      <c r="G58" s="11" t="n">
        <v>0</v>
      </c>
      <c r="H58" s="12">
        <f>G58/F58</f>
        <v/>
      </c>
      <c r="I58" s="12">
        <f>G58/E58</f>
        <v/>
      </c>
      <c r="J58" s="11" t="n">
        <v>0</v>
      </c>
      <c r="K58" s="11" t="n">
        <v>1</v>
      </c>
      <c r="L58" s="11" t="n">
        <v>0</v>
      </c>
      <c r="M58" s="12">
        <f>L58/K58</f>
        <v/>
      </c>
      <c r="N58" s="12">
        <f>L58/J58</f>
        <v/>
      </c>
      <c r="O58" s="11" t="n">
        <v>0</v>
      </c>
      <c r="P58" s="11" t="n">
        <v>0</v>
      </c>
      <c r="Q58" s="12">
        <f>P58/O58</f>
        <v/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0</v>
      </c>
    </row>
    <row r="59">
      <c r="A59" s="11" t="inlineStr">
        <is>
          <t>Epithelial proliferation</t>
        </is>
      </c>
      <c r="B59" s="11" t="n">
        <v>0</v>
      </c>
      <c r="C59" s="11" t="inlineStr">
        <is>
          <t>no_match</t>
        </is>
      </c>
      <c r="D59" s="11" t="n">
        <v>0.05</v>
      </c>
      <c r="E59" s="11" t="n">
        <v>0</v>
      </c>
      <c r="F59" s="11" t="n">
        <v>55</v>
      </c>
      <c r="G59" s="11" t="n">
        <v>0</v>
      </c>
      <c r="H59" s="12">
        <f>G59/F59</f>
        <v/>
      </c>
      <c r="I59" s="12">
        <f>G59/E59</f>
        <v/>
      </c>
      <c r="J59" s="11" t="n">
        <v>0</v>
      </c>
      <c r="K59" s="11" t="n">
        <v>80</v>
      </c>
      <c r="L59" s="11" t="n">
        <v>0</v>
      </c>
      <c r="M59" s="12">
        <f>L59/K59</f>
        <v/>
      </c>
      <c r="N59" s="12">
        <f>L59/J59</f>
        <v/>
      </c>
      <c r="O59" s="11" t="n">
        <v>3</v>
      </c>
      <c r="P59" s="11" t="n">
        <v>0</v>
      </c>
      <c r="Q59" s="12">
        <f>P59/O59</f>
        <v/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</row>
    <row r="60">
      <c r="A60" s="11" t="inlineStr">
        <is>
          <t>familial combined hyperlipidemia</t>
        </is>
      </c>
      <c r="B60" s="11" t="n">
        <v>0</v>
      </c>
      <c r="C60" s="11" t="inlineStr">
        <is>
          <t>no_match</t>
        </is>
      </c>
      <c r="D60" s="11" t="n">
        <v>0.05</v>
      </c>
      <c r="E60" s="11" t="n">
        <v>0</v>
      </c>
      <c r="F60" s="11" t="n">
        <v>329</v>
      </c>
      <c r="G60" s="11" t="n">
        <v>0</v>
      </c>
      <c r="H60" s="12">
        <f>G60/F60</f>
        <v/>
      </c>
      <c r="I60" s="12">
        <f>G60/E60</f>
        <v/>
      </c>
      <c r="J60" s="11" t="n">
        <v>0</v>
      </c>
      <c r="K60" s="11" t="n">
        <v>23</v>
      </c>
      <c r="L60" s="11" t="n">
        <v>0</v>
      </c>
      <c r="M60" s="12">
        <f>L60/K60</f>
        <v/>
      </c>
      <c r="N60" s="12">
        <f>L60/J60</f>
        <v/>
      </c>
      <c r="O60" s="11" t="n">
        <v>1</v>
      </c>
      <c r="P60" s="11" t="n">
        <v>0</v>
      </c>
      <c r="Q60" s="12">
        <f>P60/O60</f>
        <v/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0</v>
      </c>
      <c r="AJ60" s="11" t="n">
        <v>2</v>
      </c>
      <c r="AK60" s="11" t="n">
        <v>0</v>
      </c>
      <c r="AL60" s="11" t="n">
        <v>0</v>
      </c>
      <c r="AM60" s="11" t="n">
        <v>2</v>
      </c>
    </row>
    <row r="61">
      <c r="A61" s="11" t="inlineStr">
        <is>
          <t>Helicobacter pylori gastrointestinal tract infection</t>
        </is>
      </c>
      <c r="B61" s="11" t="n">
        <v>0</v>
      </c>
      <c r="C61" s="11" t="inlineStr">
        <is>
          <t>no_match</t>
        </is>
      </c>
      <c r="D61" s="11" t="n">
        <v>0.05</v>
      </c>
      <c r="E61" s="11" t="n">
        <v>0</v>
      </c>
      <c r="F61" s="11" t="n">
        <v>68</v>
      </c>
      <c r="G61" s="11" t="n">
        <v>0</v>
      </c>
      <c r="H61" s="12">
        <f>G61/F61</f>
        <v/>
      </c>
      <c r="I61" s="12">
        <f>G61/E61</f>
        <v/>
      </c>
      <c r="J61" s="11" t="n">
        <v>0</v>
      </c>
      <c r="K61" s="11" t="n">
        <v>0</v>
      </c>
      <c r="L61" s="11" t="n">
        <v>0</v>
      </c>
      <c r="M61" s="12">
        <f>L61/K61</f>
        <v/>
      </c>
      <c r="N61" s="12">
        <f>L61/J61</f>
        <v/>
      </c>
      <c r="O61" s="11" t="n">
        <v>0</v>
      </c>
      <c r="P61" s="11" t="n">
        <v>0</v>
      </c>
      <c r="Q61" s="12">
        <f>P61/O61</f>
        <v/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3</v>
      </c>
      <c r="AK61" s="11" t="n">
        <v>8</v>
      </c>
      <c r="AL61" s="11" t="n">
        <v>1</v>
      </c>
      <c r="AM61" s="11" t="n">
        <v>3</v>
      </c>
    </row>
    <row r="62">
      <c r="A62" s="11" t="inlineStr">
        <is>
          <t>Infection by Aspergillus fumigatus</t>
        </is>
      </c>
      <c r="B62" s="11" t="n">
        <v>0</v>
      </c>
      <c r="C62" s="11" t="inlineStr">
        <is>
          <t>no_match</t>
        </is>
      </c>
      <c r="D62" s="11" t="n">
        <v>0.05</v>
      </c>
      <c r="E62" s="11" t="n">
        <v>0</v>
      </c>
      <c r="F62" s="11" t="n">
        <v>256</v>
      </c>
      <c r="G62" s="11" t="n">
        <v>0</v>
      </c>
      <c r="H62" s="12">
        <f>G62/F62</f>
        <v/>
      </c>
      <c r="I62" s="12">
        <f>G62/E62</f>
        <v/>
      </c>
      <c r="J62" s="11" t="n">
        <v>0</v>
      </c>
      <c r="K62" s="11" t="n">
        <v>80</v>
      </c>
      <c r="L62" s="11" t="n">
        <v>0</v>
      </c>
      <c r="M62" s="12">
        <f>L62/K62</f>
        <v/>
      </c>
      <c r="N62" s="12">
        <f>L62/J62</f>
        <v/>
      </c>
      <c r="O62" s="11" t="n">
        <v>0</v>
      </c>
      <c r="P62" s="11" t="n">
        <v>0</v>
      </c>
      <c r="Q62" s="12">
        <f>P62/O62</f>
        <v/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0</v>
      </c>
      <c r="AL62" s="11" t="n">
        <v>0</v>
      </c>
      <c r="AM62" s="11" t="n">
        <v>0</v>
      </c>
    </row>
    <row r="63">
      <c r="A63" s="11" t="inlineStr">
        <is>
          <t>Intestinal metaplasia of gastric mucosa</t>
        </is>
      </c>
      <c r="B63" s="11" t="n">
        <v>0</v>
      </c>
      <c r="C63" s="11" t="inlineStr">
        <is>
          <t>no_match</t>
        </is>
      </c>
      <c r="D63" s="11" t="n">
        <v>0.05</v>
      </c>
      <c r="E63" s="11" t="n">
        <v>0</v>
      </c>
      <c r="F63" s="11" t="n">
        <v>129</v>
      </c>
      <c r="G63" s="11" t="n">
        <v>0</v>
      </c>
      <c r="H63" s="12">
        <f>G63/F63</f>
        <v/>
      </c>
      <c r="I63" s="12">
        <f>G63/E63</f>
        <v/>
      </c>
      <c r="J63" s="11" t="n">
        <v>0</v>
      </c>
      <c r="K63" s="11" t="n">
        <v>42</v>
      </c>
      <c r="L63" s="11" t="n">
        <v>0</v>
      </c>
      <c r="M63" s="12">
        <f>L63/K63</f>
        <v/>
      </c>
      <c r="N63" s="12">
        <f>L63/J63</f>
        <v/>
      </c>
      <c r="O63" s="11" t="n">
        <v>0</v>
      </c>
      <c r="P63" s="11" t="n">
        <v>0</v>
      </c>
      <c r="Q63" s="12">
        <f>P63/O63</f>
        <v/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</row>
    <row r="64">
      <c r="A64" s="11" t="inlineStr">
        <is>
          <t>JRA - Juvenile rheumatoid arthritis</t>
        </is>
      </c>
      <c r="B64" s="11" t="n">
        <v>0</v>
      </c>
      <c r="C64" s="11" t="inlineStr">
        <is>
          <t>no_match</t>
        </is>
      </c>
      <c r="D64" s="11" t="n">
        <v>0.05</v>
      </c>
      <c r="E64" s="11" t="n">
        <v>0</v>
      </c>
      <c r="F64" s="11" t="n">
        <v>283</v>
      </c>
      <c r="G64" s="11" t="n">
        <v>0</v>
      </c>
      <c r="H64" s="12">
        <f>G64/F64</f>
        <v/>
      </c>
      <c r="I64" s="12">
        <f>G64/E64</f>
        <v/>
      </c>
      <c r="J64" s="11" t="n">
        <v>0</v>
      </c>
      <c r="K64" s="11" t="n">
        <v>19</v>
      </c>
      <c r="L64" s="11" t="n">
        <v>0</v>
      </c>
      <c r="M64" s="12">
        <f>L64/K64</f>
        <v/>
      </c>
      <c r="N64" s="12">
        <f>L64/J64</f>
        <v/>
      </c>
      <c r="O64" s="11" t="n">
        <v>1</v>
      </c>
      <c r="P64" s="11" t="n">
        <v>0</v>
      </c>
      <c r="Q64" s="12">
        <f>P64/O64</f>
        <v/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0</v>
      </c>
      <c r="AH64" s="11" t="n">
        <v>0</v>
      </c>
      <c r="AI64" s="11" t="n">
        <v>0</v>
      </c>
      <c r="AJ64" s="11" t="n">
        <v>0</v>
      </c>
      <c r="AK64" s="11" t="n">
        <v>3</v>
      </c>
      <c r="AL64" s="11" t="n">
        <v>2</v>
      </c>
      <c r="AM64" s="11" t="n">
        <v>1</v>
      </c>
    </row>
    <row r="65">
      <c r="A65" s="11" t="inlineStr">
        <is>
          <t>Leukemia, Chronic T-Cell</t>
        </is>
      </c>
      <c r="B65" s="11" t="n">
        <v>0</v>
      </c>
      <c r="C65" s="11" t="inlineStr">
        <is>
          <t>no_match</t>
        </is>
      </c>
      <c r="D65" s="11" t="n">
        <v>0.05</v>
      </c>
      <c r="E65" s="11" t="n">
        <v>0</v>
      </c>
      <c r="F65" s="11" t="n">
        <v>182</v>
      </c>
      <c r="G65" s="11" t="n">
        <v>0</v>
      </c>
      <c r="H65" s="12">
        <f>G65/F65</f>
        <v/>
      </c>
      <c r="I65" s="12">
        <f>G65/E65</f>
        <v/>
      </c>
      <c r="J65" s="11" t="n">
        <v>0</v>
      </c>
      <c r="K65" s="11" t="n">
        <v>71</v>
      </c>
      <c r="L65" s="11" t="n">
        <v>0</v>
      </c>
      <c r="M65" s="12">
        <f>L65/K65</f>
        <v/>
      </c>
      <c r="N65" s="12">
        <f>L65/J65</f>
        <v/>
      </c>
      <c r="O65" s="11" t="n">
        <v>2</v>
      </c>
      <c r="P65" s="11" t="n">
        <v>0</v>
      </c>
      <c r="Q65" s="12">
        <f>P65/O65</f>
        <v/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</row>
    <row r="66">
      <c r="A66" s="11" t="inlineStr">
        <is>
          <t>LGLL - Large granular lymphocytic leukemia</t>
        </is>
      </c>
      <c r="B66" s="11" t="n">
        <v>0</v>
      </c>
      <c r="C66" s="11" t="inlineStr">
        <is>
          <t>no_match</t>
        </is>
      </c>
      <c r="D66" s="11" t="n">
        <v>0.05</v>
      </c>
      <c r="E66" s="11" t="n">
        <v>0</v>
      </c>
      <c r="F66" s="11" t="n">
        <v>347</v>
      </c>
      <c r="G66" s="11" t="n">
        <v>0</v>
      </c>
      <c r="H66" s="12">
        <f>G66/F66</f>
        <v/>
      </c>
      <c r="I66" s="12">
        <f>G66/E66</f>
        <v/>
      </c>
      <c r="J66" s="11" t="n">
        <v>0</v>
      </c>
      <c r="K66" s="11" t="n">
        <v>77</v>
      </c>
      <c r="L66" s="11" t="n">
        <v>0</v>
      </c>
      <c r="M66" s="12">
        <f>L66/K66</f>
        <v/>
      </c>
      <c r="N66" s="12">
        <f>L66/J66</f>
        <v/>
      </c>
      <c r="O66" s="11" t="n">
        <v>5</v>
      </c>
      <c r="P66" s="11" t="n">
        <v>0</v>
      </c>
      <c r="Q66" s="12">
        <f>P66/O66</f>
        <v/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0</v>
      </c>
      <c r="AG66" s="11" t="n">
        <v>0</v>
      </c>
      <c r="AH66" s="11" t="n">
        <v>0</v>
      </c>
      <c r="AI66" s="11" t="n">
        <v>0</v>
      </c>
      <c r="AJ66" s="11" t="n">
        <v>5</v>
      </c>
      <c r="AK66" s="11" t="n">
        <v>1</v>
      </c>
      <c r="AL66" s="11" t="n">
        <v>0</v>
      </c>
      <c r="AM66" s="11" t="n">
        <v>3</v>
      </c>
    </row>
    <row r="67">
      <c r="A67" s="11" t="inlineStr">
        <is>
          <t>Lung Injury</t>
        </is>
      </c>
      <c r="B67" s="11" t="n">
        <v>0</v>
      </c>
      <c r="C67" s="11" t="inlineStr">
        <is>
          <t>no_match</t>
        </is>
      </c>
      <c r="D67" s="11" t="n">
        <v>0.05</v>
      </c>
      <c r="E67" s="11" t="n">
        <v>0</v>
      </c>
      <c r="F67" s="11" t="n">
        <v>161</v>
      </c>
      <c r="G67" s="11" t="n">
        <v>0</v>
      </c>
      <c r="H67" s="12">
        <f>G67/F67</f>
        <v/>
      </c>
      <c r="I67" s="12">
        <f>G67/E67</f>
        <v/>
      </c>
      <c r="J67" s="11" t="n">
        <v>0</v>
      </c>
      <c r="K67" s="11" t="n">
        <v>106</v>
      </c>
      <c r="L67" s="11" t="n">
        <v>0</v>
      </c>
      <c r="M67" s="12">
        <f>L67/K67</f>
        <v/>
      </c>
      <c r="N67" s="12">
        <f>L67/J67</f>
        <v/>
      </c>
      <c r="O67" s="11" t="n">
        <v>1</v>
      </c>
      <c r="P67" s="11" t="n">
        <v>0</v>
      </c>
      <c r="Q67" s="12">
        <f>P67/O67</f>
        <v/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</row>
    <row r="68">
      <c r="A68" s="11" t="inlineStr">
        <is>
          <t>Lung transplant rejection</t>
        </is>
      </c>
      <c r="B68" s="11" t="n">
        <v>0</v>
      </c>
      <c r="C68" s="11" t="inlineStr">
        <is>
          <t>no_match</t>
        </is>
      </c>
      <c r="D68" s="11" t="n">
        <v>0.05</v>
      </c>
      <c r="E68" s="11" t="n">
        <v>0</v>
      </c>
      <c r="F68" s="11" t="n">
        <v>333</v>
      </c>
      <c r="G68" s="11" t="n">
        <v>0</v>
      </c>
      <c r="H68" s="12">
        <f>G68/F68</f>
        <v/>
      </c>
      <c r="I68" s="12">
        <f>G68/E68</f>
        <v/>
      </c>
      <c r="J68" s="11" t="n">
        <v>0</v>
      </c>
      <c r="K68" s="11" t="n">
        <v>127</v>
      </c>
      <c r="L68" s="11" t="n">
        <v>0</v>
      </c>
      <c r="M68" s="12">
        <f>L68/K68</f>
        <v/>
      </c>
      <c r="N68" s="12">
        <f>L68/J68</f>
        <v/>
      </c>
      <c r="O68" s="11" t="n">
        <v>8</v>
      </c>
      <c r="P68" s="11" t="n">
        <v>0</v>
      </c>
      <c r="Q68" s="12">
        <f>P68/O68</f>
        <v/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v>0</v>
      </c>
      <c r="AI68" s="11" t="n">
        <v>0</v>
      </c>
      <c r="AJ68" s="11" t="n">
        <v>2</v>
      </c>
      <c r="AK68" s="11" t="n">
        <v>0</v>
      </c>
      <c r="AL68" s="11" t="n">
        <v>1</v>
      </c>
      <c r="AM68" s="11" t="n">
        <v>0</v>
      </c>
    </row>
    <row r="69">
      <c r="A69" s="11" t="inlineStr">
        <is>
          <t>MDS - Myelodysplastic syndrome</t>
        </is>
      </c>
      <c r="B69" s="11" t="n">
        <v>0</v>
      </c>
      <c r="C69" s="11" t="inlineStr">
        <is>
          <t>no_match</t>
        </is>
      </c>
      <c r="D69" s="11" t="n">
        <v>0.05</v>
      </c>
      <c r="E69" s="11" t="n">
        <v>0</v>
      </c>
      <c r="F69" s="11" t="n">
        <v>241</v>
      </c>
      <c r="G69" s="11" t="n">
        <v>0</v>
      </c>
      <c r="H69" s="12">
        <f>G69/F69</f>
        <v/>
      </c>
      <c r="I69" s="12">
        <f>G69/E69</f>
        <v/>
      </c>
      <c r="J69" s="11" t="n">
        <v>0</v>
      </c>
      <c r="K69" s="11" t="n">
        <v>682</v>
      </c>
      <c r="L69" s="11" t="n">
        <v>0</v>
      </c>
      <c r="M69" s="12">
        <f>L69/K69</f>
        <v/>
      </c>
      <c r="N69" s="12">
        <f>L69/J69</f>
        <v/>
      </c>
      <c r="O69" s="11" t="n">
        <v>19</v>
      </c>
      <c r="P69" s="11" t="n">
        <v>0</v>
      </c>
      <c r="Q69" s="12">
        <f>P69/O69</f>
        <v/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1</v>
      </c>
      <c r="AJ69" s="11" t="n">
        <v>2</v>
      </c>
      <c r="AK69" s="11" t="n">
        <v>0</v>
      </c>
      <c r="AL69" s="11" t="n">
        <v>2</v>
      </c>
      <c r="AM69" s="11" t="n">
        <v>2</v>
      </c>
    </row>
    <row r="70">
      <c r="A70" s="11" t="inlineStr">
        <is>
          <t>melanoma in situ</t>
        </is>
      </c>
      <c r="B70" s="11" t="n">
        <v>0</v>
      </c>
      <c r="C70" s="11" t="inlineStr">
        <is>
          <t>no_match</t>
        </is>
      </c>
      <c r="D70" s="11" t="n">
        <v>0.05</v>
      </c>
      <c r="E70" s="11" t="n">
        <v>0</v>
      </c>
      <c r="F70" s="11" t="n">
        <v>330</v>
      </c>
      <c r="G70" s="11" t="n">
        <v>0</v>
      </c>
      <c r="H70" s="12">
        <f>G70/F70</f>
        <v/>
      </c>
      <c r="I70" s="12">
        <f>G70/E70</f>
        <v/>
      </c>
      <c r="J70" s="11" t="n">
        <v>0</v>
      </c>
      <c r="K70" s="11" t="n">
        <v>8</v>
      </c>
      <c r="L70" s="11" t="n">
        <v>0</v>
      </c>
      <c r="M70" s="12">
        <f>L70/K70</f>
        <v/>
      </c>
      <c r="N70" s="12">
        <f>L70/J70</f>
        <v/>
      </c>
      <c r="O70" s="11" t="n">
        <v>2</v>
      </c>
      <c r="P70" s="11" t="n">
        <v>0</v>
      </c>
      <c r="Q70" s="12">
        <f>P70/O70</f>
        <v/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1</v>
      </c>
      <c r="AK70" s="11" t="n">
        <v>2</v>
      </c>
      <c r="AL70" s="11" t="n">
        <v>0</v>
      </c>
      <c r="AM70" s="11" t="n">
        <v>1</v>
      </c>
    </row>
    <row r="71">
      <c r="A71" s="11" t="inlineStr">
        <is>
          <t>nonspecific interstitial pneumonia</t>
        </is>
      </c>
      <c r="B71" s="11" t="n">
        <v>0</v>
      </c>
      <c r="C71" s="11" t="inlineStr">
        <is>
          <t>no_match</t>
        </is>
      </c>
      <c r="D71" s="11" t="n">
        <v>0.05</v>
      </c>
      <c r="E71" s="11" t="n">
        <v>0</v>
      </c>
      <c r="F71" s="11" t="n">
        <v>6</v>
      </c>
      <c r="G71" s="11" t="n">
        <v>0</v>
      </c>
      <c r="H71" s="12">
        <f>G71/F71</f>
        <v/>
      </c>
      <c r="I71" s="12">
        <f>G71/E71</f>
        <v/>
      </c>
      <c r="J71" s="11" t="n">
        <v>0</v>
      </c>
      <c r="K71" s="11" t="n">
        <v>1</v>
      </c>
      <c r="L71" s="11" t="n">
        <v>0</v>
      </c>
      <c r="M71" s="12">
        <f>L71/K71</f>
        <v/>
      </c>
      <c r="N71" s="12">
        <f>L71/J71</f>
        <v/>
      </c>
      <c r="O71" s="11" t="n">
        <v>0</v>
      </c>
      <c r="P71" s="11" t="n">
        <v>0</v>
      </c>
      <c r="Q71" s="12">
        <f>P71/O71</f>
        <v/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</v>
      </c>
      <c r="AM71" s="11" t="n">
        <v>0</v>
      </c>
    </row>
    <row r="72">
      <c r="A72" s="11" t="inlineStr">
        <is>
          <t>Overexertion</t>
        </is>
      </c>
      <c r="B72" s="11" t="n">
        <v>0</v>
      </c>
      <c r="C72" s="11" t="inlineStr">
        <is>
          <t>no_match</t>
        </is>
      </c>
      <c r="D72" s="11" t="n">
        <v>0.05</v>
      </c>
      <c r="E72" s="11" t="n">
        <v>0</v>
      </c>
      <c r="F72" s="11" t="n">
        <v>97</v>
      </c>
      <c r="G72" s="11" t="n">
        <v>0</v>
      </c>
      <c r="H72" s="12">
        <f>G72/F72</f>
        <v/>
      </c>
      <c r="I72" s="12">
        <f>G72/E72</f>
        <v/>
      </c>
      <c r="J72" s="11" t="n">
        <v>0</v>
      </c>
      <c r="K72" s="11" t="n">
        <v>908</v>
      </c>
      <c r="L72" s="11" t="n">
        <v>0</v>
      </c>
      <c r="M72" s="12">
        <f>L72/K72</f>
        <v/>
      </c>
      <c r="N72" s="12">
        <f>L72/J72</f>
        <v/>
      </c>
      <c r="O72" s="11" t="n">
        <v>9</v>
      </c>
      <c r="P72" s="11" t="n">
        <v>0</v>
      </c>
      <c r="Q72" s="12">
        <f>P72/O72</f>
        <v/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v>0</v>
      </c>
      <c r="AI72" s="11" t="n">
        <v>0</v>
      </c>
      <c r="AJ72" s="11" t="n">
        <v>0</v>
      </c>
      <c r="AK72" s="11" t="n">
        <v>0</v>
      </c>
      <c r="AL72" s="11" t="n">
        <v>0</v>
      </c>
      <c r="AM72" s="11" t="n">
        <v>0</v>
      </c>
    </row>
    <row r="73">
      <c r="A73" s="11" t="inlineStr">
        <is>
          <t>pancreatic intraductal papillary-mucinous adenoma</t>
        </is>
      </c>
      <c r="B73" s="11" t="n">
        <v>0</v>
      </c>
      <c r="C73" s="11" t="inlineStr">
        <is>
          <t>no_match</t>
        </is>
      </c>
      <c r="D73" s="11" t="n">
        <v>0.05</v>
      </c>
      <c r="E73" s="11" t="n">
        <v>0</v>
      </c>
      <c r="F73" s="11" t="n">
        <v>222</v>
      </c>
      <c r="G73" s="11" t="n">
        <v>0</v>
      </c>
      <c r="H73" s="12">
        <f>G73/F73</f>
        <v/>
      </c>
      <c r="I73" s="12">
        <f>G73/E73</f>
        <v/>
      </c>
      <c r="J73" s="11" t="n">
        <v>0</v>
      </c>
      <c r="K73" s="11" t="n">
        <v>292</v>
      </c>
      <c r="L73" s="11" t="n">
        <v>0</v>
      </c>
      <c r="M73" s="12">
        <f>L73/K73</f>
        <v/>
      </c>
      <c r="N73" s="12">
        <f>L73/J73</f>
        <v/>
      </c>
      <c r="O73" s="11" t="n">
        <v>5</v>
      </c>
      <c r="P73" s="11" t="n">
        <v>0</v>
      </c>
      <c r="Q73" s="12">
        <f>P73/O73</f>
        <v/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</row>
    <row r="74">
      <c r="A74" s="11" t="inlineStr">
        <is>
          <t>pancreatic invasive intraductal papillary-mucinous carcinoma</t>
        </is>
      </c>
      <c r="B74" s="11" t="n">
        <v>0</v>
      </c>
      <c r="C74" s="11" t="inlineStr">
        <is>
          <t>no_match</t>
        </is>
      </c>
      <c r="D74" s="11" t="n">
        <v>0.05</v>
      </c>
      <c r="E74" s="11" t="n">
        <v>0</v>
      </c>
      <c r="F74" s="11" t="n">
        <v>116</v>
      </c>
      <c r="G74" s="11" t="n">
        <v>0</v>
      </c>
      <c r="H74" s="12">
        <f>G74/F74</f>
        <v/>
      </c>
      <c r="I74" s="12">
        <f>G74/E74</f>
        <v/>
      </c>
      <c r="J74" s="11" t="n">
        <v>0</v>
      </c>
      <c r="K74" s="11" t="n">
        <v>643</v>
      </c>
      <c r="L74" s="11" t="n">
        <v>0</v>
      </c>
      <c r="M74" s="12">
        <f>L74/K74</f>
        <v/>
      </c>
      <c r="N74" s="12">
        <f>L74/J74</f>
        <v/>
      </c>
      <c r="O74" s="11" t="n">
        <v>6</v>
      </c>
      <c r="P74" s="11" t="n">
        <v>0</v>
      </c>
      <c r="Q74" s="12">
        <f>P74/O74</f>
        <v/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v>0</v>
      </c>
      <c r="AI74" s="11" t="n">
        <v>0</v>
      </c>
      <c r="AJ74" s="11" t="n">
        <v>0</v>
      </c>
      <c r="AK74" s="11" t="n">
        <v>0</v>
      </c>
      <c r="AL74" s="11" t="n">
        <v>0</v>
      </c>
      <c r="AM74" s="11" t="n">
        <v>0</v>
      </c>
    </row>
    <row r="75">
      <c r="A75" s="11" t="inlineStr">
        <is>
          <t>pancreatic non-invasive intraductal papillary-mucinous carcinoma</t>
        </is>
      </c>
      <c r="B75" s="11" t="n">
        <v>0</v>
      </c>
      <c r="C75" s="11" t="inlineStr">
        <is>
          <t>no_match</t>
        </is>
      </c>
      <c r="D75" s="11" t="n">
        <v>0.05</v>
      </c>
      <c r="E75" s="11" t="n">
        <v>0</v>
      </c>
      <c r="F75" s="11" t="n">
        <v>187</v>
      </c>
      <c r="G75" s="11" t="n">
        <v>0</v>
      </c>
      <c r="H75" s="12">
        <f>G75/F75</f>
        <v/>
      </c>
      <c r="I75" s="12">
        <f>G75/E75</f>
        <v/>
      </c>
      <c r="J75" s="11" t="n">
        <v>0</v>
      </c>
      <c r="K75" s="11" t="n">
        <v>125</v>
      </c>
      <c r="L75" s="11" t="n">
        <v>0</v>
      </c>
      <c r="M75" s="12">
        <f>L75/K75</f>
        <v/>
      </c>
      <c r="N75" s="12">
        <f>L75/J75</f>
        <v/>
      </c>
      <c r="O75" s="11" t="n">
        <v>3</v>
      </c>
      <c r="P75" s="11" t="n">
        <v>0</v>
      </c>
      <c r="Q75" s="12">
        <f>P75/O75</f>
        <v/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1</v>
      </c>
      <c r="AK75" s="11" t="n">
        <v>0</v>
      </c>
      <c r="AL75" s="11" t="n">
        <v>0</v>
      </c>
      <c r="AM75" s="11" t="n">
        <v>0</v>
      </c>
    </row>
    <row r="76">
      <c r="A76" s="11" t="inlineStr">
        <is>
          <t>Pompe disease, infantile-onset form</t>
        </is>
      </c>
      <c r="B76" s="11" t="n">
        <v>0</v>
      </c>
      <c r="C76" s="11" t="inlineStr">
        <is>
          <t>no_match</t>
        </is>
      </c>
      <c r="D76" s="11" t="n">
        <v>0.05</v>
      </c>
      <c r="E76" s="11" t="n">
        <v>0</v>
      </c>
      <c r="F76" s="11" t="n">
        <v>218</v>
      </c>
      <c r="G76" s="11" t="n">
        <v>0</v>
      </c>
      <c r="H76" s="12">
        <f>G76/F76</f>
        <v/>
      </c>
      <c r="I76" s="12">
        <f>G76/E76</f>
        <v/>
      </c>
      <c r="J76" s="11" t="n">
        <v>0</v>
      </c>
      <c r="K76" s="11" t="n">
        <v>22</v>
      </c>
      <c r="L76" s="11" t="n">
        <v>0</v>
      </c>
      <c r="M76" s="12">
        <f>L76/K76</f>
        <v/>
      </c>
      <c r="N76" s="12">
        <f>L76/J76</f>
        <v/>
      </c>
      <c r="O76" s="11" t="n">
        <v>0</v>
      </c>
      <c r="P76" s="11" t="n">
        <v>0</v>
      </c>
      <c r="Q76" s="12">
        <f>P76/O76</f>
        <v/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0</v>
      </c>
      <c r="AE76" s="11" t="n">
        <v>0</v>
      </c>
      <c r="AF76" s="11" t="n">
        <v>0</v>
      </c>
      <c r="AG76" s="11" t="n">
        <v>0</v>
      </c>
      <c r="AH76" s="11" t="n">
        <v>0</v>
      </c>
      <c r="AI76" s="11" t="n">
        <v>0</v>
      </c>
      <c r="AJ76" s="11" t="n">
        <v>0</v>
      </c>
      <c r="AK76" s="11" t="n">
        <v>0</v>
      </c>
      <c r="AL76" s="11" t="n">
        <v>0</v>
      </c>
      <c r="AM76" s="11" t="n">
        <v>0</v>
      </c>
    </row>
    <row r="77">
      <c r="A77" s="11" t="inlineStr">
        <is>
          <t>precursor B lymphoblastic lymphoma leukemia</t>
        </is>
      </c>
      <c r="B77" s="11" t="n">
        <v>0</v>
      </c>
      <c r="C77" s="11" t="inlineStr">
        <is>
          <t>no_match</t>
        </is>
      </c>
      <c r="D77" s="11" t="n">
        <v>0.05</v>
      </c>
      <c r="E77" s="11" t="n">
        <v>0</v>
      </c>
      <c r="F77" s="11" t="n">
        <v>227</v>
      </c>
      <c r="G77" s="11" t="n">
        <v>0</v>
      </c>
      <c r="H77" s="12">
        <f>G77/F77</f>
        <v/>
      </c>
      <c r="I77" s="12">
        <f>G77/E77</f>
        <v/>
      </c>
      <c r="J77" s="11" t="n">
        <v>0</v>
      </c>
      <c r="K77" s="11" t="n">
        <v>362</v>
      </c>
      <c r="L77" s="11" t="n">
        <v>0</v>
      </c>
      <c r="M77" s="12">
        <f>L77/K77</f>
        <v/>
      </c>
      <c r="N77" s="12">
        <f>L77/J77</f>
        <v/>
      </c>
      <c r="O77" s="11" t="n">
        <v>10</v>
      </c>
      <c r="P77" s="11" t="n">
        <v>0</v>
      </c>
      <c r="Q77" s="12">
        <f>P77/O77</f>
        <v/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</row>
    <row r="78">
      <c r="A78" s="11" t="inlineStr">
        <is>
          <t>Rhinovirus infection</t>
        </is>
      </c>
      <c r="B78" s="11" t="n">
        <v>0</v>
      </c>
      <c r="C78" s="11" t="inlineStr">
        <is>
          <t>no_match</t>
        </is>
      </c>
      <c r="D78" s="11" t="n">
        <v>0.05</v>
      </c>
      <c r="E78" s="11" t="n">
        <v>0</v>
      </c>
      <c r="F78" s="11" t="n">
        <v>191</v>
      </c>
      <c r="G78" s="11" t="n">
        <v>0</v>
      </c>
      <c r="H78" s="12">
        <f>G78/F78</f>
        <v/>
      </c>
      <c r="I78" s="12">
        <f>G78/E78</f>
        <v/>
      </c>
      <c r="J78" s="11" t="n">
        <v>0</v>
      </c>
      <c r="K78" s="11" t="n">
        <v>193</v>
      </c>
      <c r="L78" s="11" t="n">
        <v>0</v>
      </c>
      <c r="M78" s="12">
        <f>L78/K78</f>
        <v/>
      </c>
      <c r="N78" s="12">
        <f>L78/J78</f>
        <v/>
      </c>
      <c r="O78" s="11" t="n">
        <v>5</v>
      </c>
      <c r="P78" s="11" t="n">
        <v>0</v>
      </c>
      <c r="Q78" s="12">
        <f>P78/O78</f>
        <v/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v>0</v>
      </c>
      <c r="AI78" s="11" t="n">
        <v>0</v>
      </c>
      <c r="AJ78" s="11" t="n">
        <v>0</v>
      </c>
      <c r="AK78" s="11" t="n">
        <v>0</v>
      </c>
      <c r="AL78" s="11" t="n">
        <v>0</v>
      </c>
      <c r="AM78" s="11" t="n">
        <v>0</v>
      </c>
    </row>
    <row r="79">
      <c r="A79" s="11" t="inlineStr">
        <is>
          <t>Rotavirus infection of children</t>
        </is>
      </c>
      <c r="B79" s="11" t="n">
        <v>0</v>
      </c>
      <c r="C79" s="11" t="inlineStr">
        <is>
          <t>no_match</t>
        </is>
      </c>
      <c r="D79" s="11" t="n">
        <v>0.05</v>
      </c>
      <c r="E79" s="11" t="n">
        <v>0</v>
      </c>
      <c r="F79" s="11" t="n">
        <v>290</v>
      </c>
      <c r="G79" s="11" t="n">
        <v>0</v>
      </c>
      <c r="H79" s="12">
        <f>G79/F79</f>
        <v/>
      </c>
      <c r="I79" s="12">
        <f>G79/E79</f>
        <v/>
      </c>
      <c r="J79" s="11" t="n">
        <v>0</v>
      </c>
      <c r="K79" s="11" t="n">
        <v>475</v>
      </c>
      <c r="L79" s="11" t="n">
        <v>0</v>
      </c>
      <c r="M79" s="12">
        <f>L79/K79</f>
        <v/>
      </c>
      <c r="N79" s="12">
        <f>L79/J79</f>
        <v/>
      </c>
      <c r="O79" s="11" t="n">
        <v>14</v>
      </c>
      <c r="P79" s="11" t="n">
        <v>0</v>
      </c>
      <c r="Q79" s="12">
        <f>P79/O79</f>
        <v/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1</v>
      </c>
      <c r="AL79" s="11" t="n">
        <v>0</v>
      </c>
      <c r="AM79" s="11" t="n">
        <v>1</v>
      </c>
    </row>
    <row r="80">
      <c r="A80" s="11" t="inlineStr">
        <is>
          <t>Senescence</t>
        </is>
      </c>
      <c r="B80" s="11" t="n">
        <v>0</v>
      </c>
      <c r="C80" s="11" t="inlineStr">
        <is>
          <t>no_match</t>
        </is>
      </c>
      <c r="D80" s="11" t="n">
        <v>0.05</v>
      </c>
      <c r="E80" s="11" t="n">
        <v>0</v>
      </c>
      <c r="F80" s="11" t="n">
        <v>152</v>
      </c>
      <c r="G80" s="11" t="n">
        <v>0</v>
      </c>
      <c r="H80" s="12">
        <f>G80/F80</f>
        <v/>
      </c>
      <c r="I80" s="12">
        <f>G80/E80</f>
        <v/>
      </c>
      <c r="J80" s="11" t="n">
        <v>0</v>
      </c>
      <c r="K80" s="11" t="n">
        <v>11</v>
      </c>
      <c r="L80" s="11" t="n">
        <v>0</v>
      </c>
      <c r="M80" s="12">
        <f>L80/K80</f>
        <v/>
      </c>
      <c r="N80" s="12">
        <f>L80/J80</f>
        <v/>
      </c>
      <c r="O80" s="11" t="n">
        <v>0</v>
      </c>
      <c r="P80" s="11" t="n">
        <v>0</v>
      </c>
      <c r="Q80" s="12">
        <f>P80/O80</f>
        <v/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  <c r="AJ80" s="11" t="n">
        <v>0</v>
      </c>
      <c r="AK80" s="11" t="n">
        <v>0</v>
      </c>
      <c r="AL80" s="11" t="n">
        <v>0</v>
      </c>
      <c r="AM80" s="11" t="n">
        <v>0</v>
      </c>
    </row>
    <row r="81">
      <c r="A81" s="11" t="inlineStr">
        <is>
          <t>Simian Acquired Immune Deficiency Syndrome</t>
        </is>
      </c>
      <c r="B81" s="11" t="n">
        <v>0</v>
      </c>
      <c r="C81" s="11" t="inlineStr">
        <is>
          <t>no_match</t>
        </is>
      </c>
      <c r="D81" s="11" t="n">
        <v>0.05</v>
      </c>
      <c r="E81" s="11" t="n">
        <v>0</v>
      </c>
      <c r="F81" s="11" t="n">
        <v>86</v>
      </c>
      <c r="G81" s="11" t="n">
        <v>0</v>
      </c>
      <c r="H81" s="12">
        <f>G81/F81</f>
        <v/>
      </c>
      <c r="I81" s="12">
        <f>G81/E81</f>
        <v/>
      </c>
      <c r="J81" s="11" t="n">
        <v>0</v>
      </c>
      <c r="K81" s="11" t="n">
        <v>918</v>
      </c>
      <c r="L81" s="11" t="n">
        <v>0</v>
      </c>
      <c r="M81" s="12">
        <f>L81/K81</f>
        <v/>
      </c>
      <c r="N81" s="12">
        <f>L81/J81</f>
        <v/>
      </c>
      <c r="O81" s="11" t="n">
        <v>5</v>
      </c>
      <c r="P81" s="11" t="n">
        <v>0</v>
      </c>
      <c r="Q81" s="12">
        <f>P81/O81</f>
        <v/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</row>
    <row r="82">
      <c r="A82" s="11" t="inlineStr">
        <is>
          <t>sporadic breast cancer</t>
        </is>
      </c>
      <c r="B82" s="11" t="n">
        <v>0</v>
      </c>
      <c r="C82" s="11" t="inlineStr">
        <is>
          <t>no_match</t>
        </is>
      </c>
      <c r="D82" s="11" t="n">
        <v>0.05</v>
      </c>
      <c r="E82" s="11" t="n">
        <v>0</v>
      </c>
      <c r="F82" s="11" t="n">
        <v>250</v>
      </c>
      <c r="G82" s="11" t="n">
        <v>0</v>
      </c>
      <c r="H82" s="12">
        <f>G82/F82</f>
        <v/>
      </c>
      <c r="I82" s="12">
        <f>G82/E82</f>
        <v/>
      </c>
      <c r="J82" s="11" t="n">
        <v>0</v>
      </c>
      <c r="K82" s="11" t="n">
        <v>583</v>
      </c>
      <c r="L82" s="11" t="n">
        <v>0</v>
      </c>
      <c r="M82" s="12">
        <f>L82/K82</f>
        <v/>
      </c>
      <c r="N82" s="12">
        <f>L82/J82</f>
        <v/>
      </c>
      <c r="O82" s="11" t="n">
        <v>14</v>
      </c>
      <c r="P82" s="11" t="n">
        <v>0</v>
      </c>
      <c r="Q82" s="12">
        <f>P82/O82</f>
        <v/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v>0</v>
      </c>
      <c r="AI82" s="11" t="n">
        <v>0</v>
      </c>
      <c r="AJ82" s="11" t="n">
        <v>6</v>
      </c>
      <c r="AK82" s="11" t="n">
        <v>0</v>
      </c>
      <c r="AL82" s="11" t="n">
        <v>1</v>
      </c>
      <c r="AM82" s="11" t="n">
        <v>4</v>
      </c>
    </row>
    <row r="83">
      <c r="A83" s="11" t="inlineStr">
        <is>
          <t>Urothelial carcinoma in situ</t>
        </is>
      </c>
      <c r="B83" s="11" t="n">
        <v>0</v>
      </c>
      <c r="C83" s="11" t="inlineStr">
        <is>
          <t>no_match</t>
        </is>
      </c>
      <c r="D83" s="11" t="n">
        <v>0.05</v>
      </c>
      <c r="E83" s="11" t="n">
        <v>0</v>
      </c>
      <c r="F83" s="11" t="n">
        <v>100</v>
      </c>
      <c r="G83" s="11" t="n">
        <v>0</v>
      </c>
      <c r="H83" s="12">
        <f>G83/F83</f>
        <v/>
      </c>
      <c r="I83" s="12">
        <f>G83/E83</f>
        <v/>
      </c>
      <c r="J83" s="11" t="n">
        <v>0</v>
      </c>
      <c r="K83" s="11" t="n">
        <v>628</v>
      </c>
      <c r="L83" s="11" t="n">
        <v>0</v>
      </c>
      <c r="M83" s="12">
        <f>L83/K83</f>
        <v/>
      </c>
      <c r="N83" s="12">
        <f>L83/J83</f>
        <v/>
      </c>
      <c r="O83" s="11" t="n">
        <v>9</v>
      </c>
      <c r="P83" s="11" t="n">
        <v>0</v>
      </c>
      <c r="Q83" s="12">
        <f>P83/O83</f>
        <v/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</row>
    <row r="84">
      <c r="A84" s="1" t="inlineStr">
        <is>
          <t>multiple myeloma</t>
        </is>
      </c>
      <c r="B84" s="1" t="inlineStr">
        <is>
          <t>EFO_0001378</t>
        </is>
      </c>
      <c r="C84" s="1" t="inlineStr">
        <is>
          <t>name</t>
        </is>
      </c>
      <c r="D84" s="1" t="n">
        <v>0.05</v>
      </c>
      <c r="E84" s="15" t="n">
        <v>62</v>
      </c>
      <c r="F84" s="15" t="n">
        <v>152</v>
      </c>
      <c r="G84" s="15" t="n">
        <v>26</v>
      </c>
      <c r="H84" s="16">
        <f>G84/F84</f>
        <v/>
      </c>
      <c r="I84" s="16">
        <f>G84/E84</f>
        <v/>
      </c>
      <c r="J84" s="17" t="n">
        <v>40</v>
      </c>
      <c r="K84" s="17" t="n">
        <v>433</v>
      </c>
      <c r="L84" s="17" t="n">
        <v>10</v>
      </c>
      <c r="M84" s="16">
        <f>L84/K84</f>
        <v/>
      </c>
      <c r="N84" s="16">
        <f>L84/J84</f>
        <v/>
      </c>
      <c r="O84" s="18" t="n">
        <v>9</v>
      </c>
      <c r="P84" s="18" t="n">
        <v>3</v>
      </c>
      <c r="Q84" s="16">
        <f>P84/O84</f>
        <v/>
      </c>
      <c r="R84" s="1" t="n">
        <v>2564</v>
      </c>
      <c r="S84" s="1" t="n">
        <v>33</v>
      </c>
      <c r="T84" s="1" t="n">
        <v>6</v>
      </c>
      <c r="U84" s="1" t="n">
        <v>39</v>
      </c>
      <c r="V84" s="1" t="n">
        <v>54</v>
      </c>
      <c r="W84" s="1" t="n">
        <v>21</v>
      </c>
      <c r="X84" s="1" t="n">
        <v>2</v>
      </c>
      <c r="Y84" s="1" t="n">
        <v>15</v>
      </c>
      <c r="Z84" s="1" t="n">
        <v>39</v>
      </c>
      <c r="AA84" s="1" t="n">
        <v>2</v>
      </c>
      <c r="AB84" s="1" t="n">
        <v>5</v>
      </c>
      <c r="AC84" s="1" t="n">
        <v>16</v>
      </c>
      <c r="AD84" s="1" t="n">
        <v>1</v>
      </c>
      <c r="AE84" s="1" t="n">
        <v>21</v>
      </c>
      <c r="AF84" s="1" t="n">
        <v>1</v>
      </c>
      <c r="AG84" s="1" t="n">
        <v>13</v>
      </c>
      <c r="AH84" s="1" t="n">
        <v>9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</row>
    <row r="85">
      <c r="A85" s="1" t="inlineStr">
        <is>
          <t>type 2 diabetes mellitus</t>
        </is>
      </c>
      <c r="B85" s="1" t="inlineStr">
        <is>
          <t>MONDO_0005148</t>
        </is>
      </c>
      <c r="C85" s="1" t="inlineStr">
        <is>
          <t>name</t>
        </is>
      </c>
      <c r="D85" s="1" t="n">
        <v>0.05</v>
      </c>
      <c r="E85" s="15" t="n">
        <v>21</v>
      </c>
      <c r="F85" s="15" t="n">
        <v>311</v>
      </c>
      <c r="G85" s="15" t="n">
        <v>14</v>
      </c>
      <c r="H85" s="16">
        <f>G85/F85</f>
        <v/>
      </c>
      <c r="I85" s="16">
        <f>G85/E85</f>
        <v/>
      </c>
      <c r="J85" s="17" t="n">
        <v>56</v>
      </c>
      <c r="K85" s="17" t="n">
        <v>721</v>
      </c>
      <c r="L85" s="17" t="n">
        <v>31</v>
      </c>
      <c r="M85" s="16">
        <f>L85/K85</f>
        <v/>
      </c>
      <c r="N85" s="16">
        <f>L85/J85</f>
        <v/>
      </c>
      <c r="O85" s="18" t="n">
        <v>27</v>
      </c>
      <c r="P85" s="18" t="n">
        <v>3</v>
      </c>
      <c r="Q85" s="16">
        <f>P85/O85</f>
        <v/>
      </c>
      <c r="R85" s="1" t="n">
        <v>2321</v>
      </c>
      <c r="S85" s="1" t="n">
        <v>42</v>
      </c>
      <c r="T85" s="1" t="n">
        <v>4</v>
      </c>
      <c r="U85" s="1" t="n">
        <v>36</v>
      </c>
      <c r="V85" s="1" t="n">
        <v>29</v>
      </c>
      <c r="W85" s="1" t="n">
        <v>50</v>
      </c>
      <c r="X85" s="1" t="n">
        <v>20</v>
      </c>
      <c r="Y85" s="1" t="n">
        <v>9</v>
      </c>
      <c r="Z85" s="1" t="n">
        <v>58</v>
      </c>
      <c r="AA85" s="1" t="n">
        <v>3</v>
      </c>
      <c r="AB85" s="1" t="n">
        <v>10</v>
      </c>
      <c r="AC85" s="1" t="n">
        <v>10</v>
      </c>
      <c r="AD85" s="1" t="n">
        <v>4</v>
      </c>
      <c r="AE85" s="1" t="n">
        <v>18</v>
      </c>
      <c r="AF85" s="1" t="n">
        <v>6</v>
      </c>
      <c r="AG85" s="1" t="n">
        <v>12</v>
      </c>
      <c r="AH85" s="1" t="n">
        <v>9</v>
      </c>
      <c r="AI85" s="1" t="n">
        <v>2</v>
      </c>
      <c r="AJ85" s="1" t="n">
        <v>46</v>
      </c>
      <c r="AK85" s="1" t="n">
        <v>5</v>
      </c>
      <c r="AL85" s="1" t="n">
        <v>19</v>
      </c>
      <c r="AM85" s="1" t="n">
        <v>17</v>
      </c>
    </row>
    <row r="86">
      <c r="A86" s="1" t="inlineStr">
        <is>
          <t>prostate cancer</t>
        </is>
      </c>
      <c r="B86" s="1" t="inlineStr">
        <is>
          <t>MONDO_0008315</t>
        </is>
      </c>
      <c r="C86" s="1" t="inlineStr">
        <is>
          <t>name</t>
        </is>
      </c>
      <c r="D86" s="1" t="n">
        <v>0.05</v>
      </c>
      <c r="E86" s="15" t="n">
        <v>61</v>
      </c>
      <c r="F86" s="15" t="n">
        <v>180</v>
      </c>
      <c r="G86" s="15" t="n">
        <v>35</v>
      </c>
      <c r="H86" s="16">
        <f>G86/F86</f>
        <v/>
      </c>
      <c r="I86" s="16">
        <f>G86/E86</f>
        <v/>
      </c>
      <c r="J86" s="17" t="n">
        <v>71</v>
      </c>
      <c r="K86" s="17" t="n">
        <v>390</v>
      </c>
      <c r="L86" s="17" t="n">
        <v>26</v>
      </c>
      <c r="M86" s="16">
        <f>L86/K86</f>
        <v/>
      </c>
      <c r="N86" s="16">
        <f>L86/J86</f>
        <v/>
      </c>
      <c r="O86" s="18" t="n">
        <v>4</v>
      </c>
      <c r="P86" s="18" t="n">
        <v>2</v>
      </c>
      <c r="Q86" s="16">
        <f>P86/O86</f>
        <v/>
      </c>
      <c r="R86" s="1" t="n">
        <v>3429</v>
      </c>
      <c r="S86" s="1" t="n">
        <v>59</v>
      </c>
      <c r="T86" s="1" t="n">
        <v>7</v>
      </c>
      <c r="U86" s="1" t="n">
        <v>71</v>
      </c>
      <c r="V86" s="1" t="n">
        <v>108</v>
      </c>
      <c r="W86" s="1" t="n">
        <v>48</v>
      </c>
      <c r="X86" s="1" t="n">
        <v>10</v>
      </c>
      <c r="Y86" s="1" t="n">
        <v>34</v>
      </c>
      <c r="Z86" s="1" t="n">
        <v>80</v>
      </c>
      <c r="AA86" s="1" t="n">
        <v>1</v>
      </c>
      <c r="AB86" s="1" t="n">
        <v>12</v>
      </c>
      <c r="AC86" s="1" t="n">
        <v>28</v>
      </c>
      <c r="AD86" s="1" t="n">
        <v>2</v>
      </c>
      <c r="AE86" s="1" t="n">
        <v>46</v>
      </c>
      <c r="AF86" s="1" t="n">
        <v>5</v>
      </c>
      <c r="AG86" s="1" t="n">
        <v>19</v>
      </c>
      <c r="AH86" s="1" t="n">
        <v>17</v>
      </c>
      <c r="AI86" s="1" t="n">
        <v>0</v>
      </c>
      <c r="AJ86" s="1" t="n">
        <v>11</v>
      </c>
      <c r="AK86" s="1" t="n">
        <v>9</v>
      </c>
      <c r="AL86" s="1" t="n">
        <v>3</v>
      </c>
      <c r="AM86" s="1" t="n">
        <v>3</v>
      </c>
    </row>
    <row r="87">
      <c r="A87" s="1" t="inlineStr">
        <is>
          <t>rheumatoid arthritis</t>
        </is>
      </c>
      <c r="B87" s="1" t="inlineStr">
        <is>
          <t>EFO_0000685</t>
        </is>
      </c>
      <c r="C87" s="1" t="inlineStr">
        <is>
          <t>name</t>
        </is>
      </c>
      <c r="D87" s="1" t="n">
        <v>0.05</v>
      </c>
      <c r="E87" s="15" t="n">
        <v>25</v>
      </c>
      <c r="F87" s="15" t="n">
        <v>272</v>
      </c>
      <c r="G87" s="15" t="n">
        <v>16</v>
      </c>
      <c r="H87" s="16">
        <f>G87/F87</f>
        <v/>
      </c>
      <c r="I87" s="16">
        <f>G87/E87</f>
        <v/>
      </c>
      <c r="J87" s="17" t="n">
        <v>45</v>
      </c>
      <c r="K87" s="17" t="n">
        <v>164</v>
      </c>
      <c r="L87" s="17" t="n">
        <v>8</v>
      </c>
      <c r="M87" s="16">
        <f>L87/K87</f>
        <v/>
      </c>
      <c r="N87" s="16">
        <f>L87/J87</f>
        <v/>
      </c>
      <c r="O87" s="18" t="n">
        <v>4</v>
      </c>
      <c r="P87" s="18" t="n">
        <v>2</v>
      </c>
      <c r="Q87" s="16">
        <f>P87/O87</f>
        <v/>
      </c>
      <c r="R87" s="1" t="n">
        <v>2397</v>
      </c>
      <c r="S87" s="1" t="n">
        <v>22</v>
      </c>
      <c r="T87" s="1" t="n">
        <v>1</v>
      </c>
      <c r="U87" s="1" t="n">
        <v>12</v>
      </c>
      <c r="V87" s="1" t="n">
        <v>21</v>
      </c>
      <c r="W87" s="1" t="n">
        <v>17</v>
      </c>
      <c r="X87" s="1" t="n">
        <v>21</v>
      </c>
      <c r="Y87" s="1" t="n">
        <v>4</v>
      </c>
      <c r="Z87" s="1" t="n">
        <v>28</v>
      </c>
      <c r="AA87" s="1" t="n">
        <v>0</v>
      </c>
      <c r="AB87" s="1" t="n">
        <v>2</v>
      </c>
      <c r="AC87" s="1" t="n">
        <v>12</v>
      </c>
      <c r="AD87" s="1" t="n">
        <v>0</v>
      </c>
      <c r="AE87" s="1" t="n">
        <v>11</v>
      </c>
      <c r="AF87" s="1" t="n">
        <v>9</v>
      </c>
      <c r="AG87" s="1" t="n">
        <v>3</v>
      </c>
      <c r="AH87" s="1" t="n">
        <v>3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1</v>
      </c>
    </row>
    <row r="88">
      <c r="A88" s="1" t="inlineStr">
        <is>
          <t>breast cancer</t>
        </is>
      </c>
      <c r="B88" s="1" t="inlineStr">
        <is>
          <t>MONDO_0007254</t>
        </is>
      </c>
      <c r="C88" s="1" t="inlineStr">
        <is>
          <t>name</t>
        </is>
      </c>
      <c r="D88" s="1" t="n">
        <v>0.05</v>
      </c>
      <c r="E88" s="15" t="n">
        <v>78</v>
      </c>
      <c r="F88" s="15" t="n">
        <v>378</v>
      </c>
      <c r="G88" s="15" t="n">
        <v>78</v>
      </c>
      <c r="H88" s="16">
        <f>G88/F88</f>
        <v/>
      </c>
      <c r="I88" s="16">
        <f>G88/E88</f>
        <v/>
      </c>
      <c r="J88" s="17" t="n">
        <v>83</v>
      </c>
      <c r="K88" s="17" t="n">
        <v>20</v>
      </c>
      <c r="L88" s="17" t="n">
        <v>5</v>
      </c>
      <c r="M88" s="16">
        <f>L88/K88</f>
        <v/>
      </c>
      <c r="N88" s="16">
        <f>L88/J88</f>
        <v/>
      </c>
      <c r="O88" s="18" t="n">
        <v>1</v>
      </c>
      <c r="P88" s="18" t="n">
        <v>1</v>
      </c>
      <c r="Q88" s="16">
        <f>P88/O88</f>
        <v/>
      </c>
      <c r="R88" s="1" t="n">
        <v>4617</v>
      </c>
      <c r="S88" s="1" t="n">
        <v>82</v>
      </c>
      <c r="T88" s="1" t="n">
        <v>15</v>
      </c>
      <c r="U88" s="1" t="n">
        <v>139</v>
      </c>
      <c r="V88" s="1" t="n">
        <v>202</v>
      </c>
      <c r="W88" s="1" t="n">
        <v>116</v>
      </c>
      <c r="X88" s="1" t="n">
        <v>37</v>
      </c>
      <c r="Y88" s="1" t="n">
        <v>65</v>
      </c>
      <c r="Z88" s="1" t="n">
        <v>132</v>
      </c>
      <c r="AA88" s="1" t="n">
        <v>6</v>
      </c>
      <c r="AB88" s="1" t="n">
        <v>33</v>
      </c>
      <c r="AC88" s="1" t="n">
        <v>72</v>
      </c>
      <c r="AD88" s="1" t="n">
        <v>10</v>
      </c>
      <c r="AE88" s="1" t="n">
        <v>84</v>
      </c>
      <c r="AF88" s="1" t="n">
        <v>13</v>
      </c>
      <c r="AG88" s="1" t="n">
        <v>53</v>
      </c>
      <c r="AH88" s="1" t="n">
        <v>41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</row>
    <row r="89">
      <c r="A89" s="1" t="inlineStr">
        <is>
          <t>chronic obstructive pulmonary disease</t>
        </is>
      </c>
      <c r="B89" s="1" t="inlineStr">
        <is>
          <t>EFO_0000341</t>
        </is>
      </c>
      <c r="C89" s="1" t="inlineStr">
        <is>
          <t>name</t>
        </is>
      </c>
      <c r="D89" s="1" t="n">
        <v>0.05</v>
      </c>
      <c r="E89" s="15" t="n">
        <v>15</v>
      </c>
      <c r="F89" s="15" t="n">
        <v>202</v>
      </c>
      <c r="G89" s="15" t="n">
        <v>11</v>
      </c>
      <c r="H89" s="16">
        <f>G89/F89</f>
        <v/>
      </c>
      <c r="I89" s="16">
        <f>G89/E89</f>
        <v/>
      </c>
      <c r="J89" s="17" t="n">
        <v>29</v>
      </c>
      <c r="K89" s="17" t="n">
        <v>165</v>
      </c>
      <c r="L89" s="17" t="n">
        <v>6</v>
      </c>
      <c r="M89" s="16">
        <f>L89/K89</f>
        <v/>
      </c>
      <c r="N89" s="16">
        <f>L89/J89</f>
        <v/>
      </c>
      <c r="O89" s="18" t="n">
        <v>7</v>
      </c>
      <c r="P89" s="18" t="n">
        <v>1</v>
      </c>
      <c r="Q89" s="16">
        <f>P89/O89</f>
        <v/>
      </c>
      <c r="R89" s="1" t="n">
        <v>1577</v>
      </c>
      <c r="S89" s="1" t="n">
        <v>16</v>
      </c>
      <c r="T89" s="1" t="n">
        <v>2</v>
      </c>
      <c r="U89" s="1" t="n">
        <v>6</v>
      </c>
      <c r="V89" s="1" t="n">
        <v>17</v>
      </c>
      <c r="W89" s="1" t="n">
        <v>19</v>
      </c>
      <c r="X89" s="1" t="n">
        <v>12</v>
      </c>
      <c r="Y89" s="1" t="n">
        <v>0</v>
      </c>
      <c r="Z89" s="1" t="n">
        <v>24</v>
      </c>
      <c r="AA89" s="1" t="n">
        <v>0</v>
      </c>
      <c r="AB89" s="1" t="n">
        <v>2</v>
      </c>
      <c r="AC89" s="1" t="n">
        <v>10</v>
      </c>
      <c r="AD89" s="1" t="n">
        <v>0</v>
      </c>
      <c r="AE89" s="1" t="n">
        <v>7</v>
      </c>
      <c r="AF89" s="1" t="n">
        <v>3</v>
      </c>
      <c r="AG89" s="1" t="n">
        <v>7</v>
      </c>
      <c r="AH89" s="1" t="n">
        <v>3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</row>
    <row r="90">
      <c r="A90" s="1" t="inlineStr">
        <is>
          <t>glaucoma</t>
        </is>
      </c>
      <c r="B90" s="1" t="inlineStr">
        <is>
          <t>MONDO_0005041</t>
        </is>
      </c>
      <c r="C90" s="1" t="inlineStr">
        <is>
          <t>name</t>
        </is>
      </c>
      <c r="D90" s="1" t="n">
        <v>0.05</v>
      </c>
      <c r="E90" s="15" t="n">
        <v>10</v>
      </c>
      <c r="F90" s="15" t="n">
        <v>147</v>
      </c>
      <c r="G90" s="15" t="n">
        <v>4</v>
      </c>
      <c r="H90" s="16">
        <f>G90/F90</f>
        <v/>
      </c>
      <c r="I90" s="16">
        <f>G90/E90</f>
        <v/>
      </c>
      <c r="J90" s="17" t="n">
        <v>23</v>
      </c>
      <c r="K90" s="17" t="n">
        <v>170</v>
      </c>
      <c r="L90" s="17" t="n">
        <v>3</v>
      </c>
      <c r="M90" s="16">
        <f>L90/K90</f>
        <v/>
      </c>
      <c r="N90" s="16">
        <f>L90/J90</f>
        <v/>
      </c>
      <c r="O90" s="18" t="n">
        <v>5</v>
      </c>
      <c r="P90" s="18" t="n">
        <v>1</v>
      </c>
      <c r="Q90" s="16">
        <f>P90/O90</f>
        <v/>
      </c>
      <c r="R90" s="1" t="n">
        <v>824</v>
      </c>
      <c r="S90" s="1" t="n">
        <v>6</v>
      </c>
      <c r="T90" s="1" t="n">
        <v>0</v>
      </c>
      <c r="U90" s="1" t="n">
        <v>2</v>
      </c>
      <c r="V90" s="1" t="n">
        <v>0</v>
      </c>
      <c r="W90" s="1" t="n">
        <v>5</v>
      </c>
      <c r="X90" s="1" t="n">
        <v>6</v>
      </c>
      <c r="Y90" s="1" t="n">
        <v>2</v>
      </c>
      <c r="Z90" s="1" t="n">
        <v>4</v>
      </c>
      <c r="AA90" s="1" t="n">
        <v>0</v>
      </c>
      <c r="AB90" s="1" t="n">
        <v>0</v>
      </c>
      <c r="AC90" s="1" t="n">
        <v>0</v>
      </c>
      <c r="AD90" s="1" t="n">
        <v>1</v>
      </c>
      <c r="AE90" s="1" t="n">
        <v>1</v>
      </c>
      <c r="AF90" s="1" t="n">
        <v>3</v>
      </c>
      <c r="AG90" s="1" t="n">
        <v>2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</row>
    <row r="91">
      <c r="A91" s="1" t="inlineStr">
        <is>
          <t>hypertension</t>
        </is>
      </c>
      <c r="B91" s="1" t="inlineStr">
        <is>
          <t>EFO_0000537</t>
        </is>
      </c>
      <c r="C91" s="1" t="inlineStr">
        <is>
          <t>name</t>
        </is>
      </c>
      <c r="D91" s="1" t="n">
        <v>0.05</v>
      </c>
      <c r="E91" s="15" t="n">
        <v>27</v>
      </c>
      <c r="F91" s="15" t="n">
        <v>207</v>
      </c>
      <c r="G91" s="15" t="n">
        <v>15</v>
      </c>
      <c r="H91" s="16">
        <f>G91/F91</f>
        <v/>
      </c>
      <c r="I91" s="16">
        <f>G91/E91</f>
        <v/>
      </c>
      <c r="J91" s="17" t="n">
        <v>67</v>
      </c>
      <c r="K91" s="17" t="n">
        <v>114</v>
      </c>
      <c r="L91" s="17" t="n">
        <v>9</v>
      </c>
      <c r="M91" s="16">
        <f>L91/K91</f>
        <v/>
      </c>
      <c r="N91" s="16">
        <f>L91/J91</f>
        <v/>
      </c>
      <c r="O91" s="18" t="n">
        <v>5</v>
      </c>
      <c r="P91" s="18" t="n">
        <v>1</v>
      </c>
      <c r="Q91" s="16">
        <f>P91/O91</f>
        <v/>
      </c>
      <c r="R91" s="1" t="n">
        <v>2820</v>
      </c>
      <c r="S91" s="1" t="n">
        <v>23</v>
      </c>
      <c r="T91" s="1" t="n">
        <v>1</v>
      </c>
      <c r="U91" s="1" t="n">
        <v>7</v>
      </c>
      <c r="V91" s="1" t="n">
        <v>7</v>
      </c>
      <c r="W91" s="1" t="n">
        <v>11</v>
      </c>
      <c r="X91" s="1" t="n">
        <v>13</v>
      </c>
      <c r="Y91" s="1" t="n">
        <v>0</v>
      </c>
      <c r="Z91" s="1" t="n">
        <v>22</v>
      </c>
      <c r="AA91" s="1" t="n">
        <v>0</v>
      </c>
      <c r="AB91" s="1" t="n">
        <v>0</v>
      </c>
      <c r="AC91" s="1" t="n">
        <v>2</v>
      </c>
      <c r="AD91" s="1" t="n">
        <v>0</v>
      </c>
      <c r="AE91" s="1" t="n">
        <v>3</v>
      </c>
      <c r="AF91" s="1" t="n">
        <v>8</v>
      </c>
      <c r="AG91" s="1" t="n">
        <v>1</v>
      </c>
      <c r="AH91" s="1" t="n">
        <v>3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</row>
    <row r="92">
      <c r="A92" s="1" t="inlineStr">
        <is>
          <t>inflammatory bowel disease</t>
        </is>
      </c>
      <c r="B92" s="1" t="inlineStr">
        <is>
          <t>EFO_0003767</t>
        </is>
      </c>
      <c r="C92" s="1" t="inlineStr">
        <is>
          <t>name</t>
        </is>
      </c>
      <c r="D92" s="1" t="n">
        <v>0.05</v>
      </c>
      <c r="E92" s="15" t="n">
        <v>7</v>
      </c>
      <c r="F92" s="15" t="n">
        <v>345</v>
      </c>
      <c r="G92" s="15" t="n">
        <v>6</v>
      </c>
      <c r="H92" s="16">
        <f>G92/F92</f>
        <v/>
      </c>
      <c r="I92" s="16">
        <f>G92/E92</f>
        <v/>
      </c>
      <c r="J92" s="17" t="n">
        <v>11</v>
      </c>
      <c r="K92" s="17" t="n">
        <v>109</v>
      </c>
      <c r="L92" s="17" t="n">
        <v>1</v>
      </c>
      <c r="M92" s="16">
        <f>L92/K92</f>
        <v/>
      </c>
      <c r="N92" s="16">
        <f>L92/J92</f>
        <v/>
      </c>
      <c r="O92" s="18" t="n">
        <v>8</v>
      </c>
      <c r="P92" s="18" t="n">
        <v>1</v>
      </c>
      <c r="Q92" s="16">
        <f>P92/O92</f>
        <v/>
      </c>
      <c r="R92" s="1" t="n">
        <v>538</v>
      </c>
      <c r="S92" s="1" t="n">
        <v>6</v>
      </c>
      <c r="T92" s="1" t="n">
        <v>0</v>
      </c>
      <c r="U92" s="1" t="n">
        <v>1</v>
      </c>
      <c r="V92" s="1" t="n">
        <v>5</v>
      </c>
      <c r="W92" s="1" t="n">
        <v>0</v>
      </c>
      <c r="X92" s="1" t="n">
        <v>0</v>
      </c>
      <c r="Y92" s="1" t="n">
        <v>0</v>
      </c>
      <c r="Z92" s="1" t="n">
        <v>2</v>
      </c>
      <c r="AA92" s="1" t="n">
        <v>0</v>
      </c>
      <c r="AB92" s="1" t="n">
        <v>0</v>
      </c>
      <c r="AC92" s="1" t="n">
        <v>2</v>
      </c>
      <c r="AD92" s="1" t="n">
        <v>0</v>
      </c>
      <c r="AE92" s="1" t="n">
        <v>2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</row>
    <row r="93">
      <c r="A93" s="1" t="inlineStr">
        <is>
          <t>multiple sclerosis</t>
        </is>
      </c>
      <c r="B93" s="1" t="inlineStr">
        <is>
          <t>MONDO_0005301</t>
        </is>
      </c>
      <c r="C93" s="1" t="inlineStr">
        <is>
          <t>name</t>
        </is>
      </c>
      <c r="D93" s="1" t="n">
        <v>0.05</v>
      </c>
      <c r="E93" s="15" t="n">
        <v>16</v>
      </c>
      <c r="F93" s="15" t="n">
        <v>141</v>
      </c>
      <c r="G93" s="15" t="n">
        <v>7</v>
      </c>
      <c r="H93" s="16">
        <f>G93/F93</f>
        <v/>
      </c>
      <c r="I93" s="16">
        <f>G93/E93</f>
        <v/>
      </c>
      <c r="J93" s="17" t="n">
        <v>43</v>
      </c>
      <c r="K93" s="17" t="n">
        <v>247</v>
      </c>
      <c r="L93" s="17" t="n">
        <v>12</v>
      </c>
      <c r="M93" s="16">
        <f>L93/K93</f>
        <v/>
      </c>
      <c r="N93" s="16">
        <f>L93/J93</f>
        <v/>
      </c>
      <c r="O93" s="18" t="n">
        <v>6</v>
      </c>
      <c r="P93" s="18" t="n">
        <v>1</v>
      </c>
      <c r="Q93" s="16">
        <f>P93/O93</f>
        <v/>
      </c>
      <c r="R93" s="1" t="n">
        <v>1885</v>
      </c>
      <c r="S93" s="1" t="n">
        <v>18</v>
      </c>
      <c r="T93" s="1" t="n">
        <v>1</v>
      </c>
      <c r="U93" s="1" t="n">
        <v>2</v>
      </c>
      <c r="V93" s="1" t="n">
        <v>12</v>
      </c>
      <c r="W93" s="1" t="n">
        <v>11</v>
      </c>
      <c r="X93" s="1" t="n">
        <v>5</v>
      </c>
      <c r="Y93" s="1" t="n">
        <v>2</v>
      </c>
      <c r="Z93" s="1" t="n">
        <v>14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5</v>
      </c>
      <c r="AF93" s="1" t="n">
        <v>4</v>
      </c>
      <c r="AG93" s="1" t="n">
        <v>4</v>
      </c>
      <c r="AH93" s="1" t="n">
        <v>2</v>
      </c>
      <c r="AI93" s="1" t="n">
        <v>2</v>
      </c>
      <c r="AJ93" s="1" t="n">
        <v>13</v>
      </c>
      <c r="AK93" s="1" t="n">
        <v>1</v>
      </c>
      <c r="AL93" s="1" t="n">
        <v>7</v>
      </c>
      <c r="AM93" s="1" t="n">
        <v>3</v>
      </c>
    </row>
    <row r="94">
      <c r="A94" s="1" t="inlineStr">
        <is>
          <t>obesity</t>
        </is>
      </c>
      <c r="B94" s="1" t="inlineStr">
        <is>
          <t>EFO_0001073</t>
        </is>
      </c>
      <c r="C94" s="1" t="inlineStr">
        <is>
          <t>name</t>
        </is>
      </c>
      <c r="D94" s="1" t="n">
        <v>0.05</v>
      </c>
      <c r="E94" s="15" t="n">
        <v>12</v>
      </c>
      <c r="F94" s="15" t="n">
        <v>184</v>
      </c>
      <c r="G94" s="15" t="n">
        <v>6</v>
      </c>
      <c r="H94" s="16">
        <f>G94/F94</f>
        <v/>
      </c>
      <c r="I94" s="16">
        <f>G94/E94</f>
        <v/>
      </c>
      <c r="J94" s="17" t="n">
        <v>34</v>
      </c>
      <c r="K94" s="17" t="n">
        <v>918</v>
      </c>
      <c r="L94" s="17" t="n">
        <v>25</v>
      </c>
      <c r="M94" s="16">
        <f>L94/K94</f>
        <v/>
      </c>
      <c r="N94" s="16">
        <f>L94/J94</f>
        <v/>
      </c>
      <c r="O94" s="18" t="n">
        <v>16</v>
      </c>
      <c r="P94" s="18" t="n">
        <v>1</v>
      </c>
      <c r="Q94" s="16">
        <f>P94/O94</f>
        <v/>
      </c>
      <c r="R94" s="1" t="n">
        <v>1702</v>
      </c>
      <c r="S94" s="1" t="n">
        <v>30</v>
      </c>
      <c r="T94" s="1" t="n">
        <v>4</v>
      </c>
      <c r="U94" s="1" t="n">
        <v>19</v>
      </c>
      <c r="V94" s="1" t="n">
        <v>27</v>
      </c>
      <c r="W94" s="1" t="n">
        <v>14</v>
      </c>
      <c r="X94" s="1" t="n">
        <v>4</v>
      </c>
      <c r="Y94" s="1" t="n">
        <v>6</v>
      </c>
      <c r="Z94" s="1" t="n">
        <v>36</v>
      </c>
      <c r="AA94" s="1" t="n">
        <v>0</v>
      </c>
      <c r="AB94" s="1" t="n">
        <v>3</v>
      </c>
      <c r="AC94" s="1" t="n">
        <v>8</v>
      </c>
      <c r="AD94" s="1" t="n">
        <v>2</v>
      </c>
      <c r="AE94" s="1" t="n">
        <v>3</v>
      </c>
      <c r="AF94" s="1" t="n">
        <v>1</v>
      </c>
      <c r="AG94" s="1" t="n">
        <v>6</v>
      </c>
      <c r="AH94" s="1" t="n">
        <v>3</v>
      </c>
      <c r="AI94" s="1" t="n">
        <v>0</v>
      </c>
      <c r="AJ94" s="1" t="n">
        <v>5</v>
      </c>
      <c r="AK94" s="1" t="n">
        <v>7</v>
      </c>
      <c r="AL94" s="1" t="n">
        <v>3</v>
      </c>
      <c r="AM94" s="1" t="n">
        <v>1</v>
      </c>
    </row>
    <row r="95">
      <c r="A95" s="1" t="inlineStr">
        <is>
          <t>osteoarthritis</t>
        </is>
      </c>
      <c r="B95" s="1" t="inlineStr">
        <is>
          <t>MONDO_0005178</t>
        </is>
      </c>
      <c r="C95" s="1" t="inlineStr">
        <is>
          <t>name</t>
        </is>
      </c>
      <c r="D95" s="1" t="n">
        <v>0.05</v>
      </c>
      <c r="E95" s="15" t="n">
        <v>16</v>
      </c>
      <c r="F95" s="15" t="n">
        <v>78</v>
      </c>
      <c r="G95" s="15" t="n">
        <v>2</v>
      </c>
      <c r="H95" s="16">
        <f>G95/F95</f>
        <v/>
      </c>
      <c r="I95" s="16">
        <f>G95/E95</f>
        <v/>
      </c>
      <c r="J95" s="17" t="n">
        <v>35</v>
      </c>
      <c r="K95" s="17" t="n">
        <v>541</v>
      </c>
      <c r="L95" s="17" t="n">
        <v>19</v>
      </c>
      <c r="M95" s="16">
        <f>L95/K95</f>
        <v/>
      </c>
      <c r="N95" s="16">
        <f>L95/J95</f>
        <v/>
      </c>
      <c r="O95" s="18" t="n">
        <v>3</v>
      </c>
      <c r="P95" s="18" t="n">
        <v>1</v>
      </c>
      <c r="Q95" s="16">
        <f>P95/O95</f>
        <v/>
      </c>
      <c r="R95" s="1" t="n">
        <v>1689</v>
      </c>
      <c r="S95" s="1" t="n">
        <v>20</v>
      </c>
      <c r="T95" s="1" t="n">
        <v>1</v>
      </c>
      <c r="U95" s="1" t="n">
        <v>3</v>
      </c>
      <c r="V95" s="1" t="n">
        <v>7</v>
      </c>
      <c r="W95" s="1" t="n">
        <v>16</v>
      </c>
      <c r="X95" s="1" t="n">
        <v>27</v>
      </c>
      <c r="Y95" s="1" t="n">
        <v>0</v>
      </c>
      <c r="Z95" s="1" t="n">
        <v>23</v>
      </c>
      <c r="AA95" s="1" t="n">
        <v>1</v>
      </c>
      <c r="AB95" s="1" t="n">
        <v>0</v>
      </c>
      <c r="AC95" s="1" t="n">
        <v>4</v>
      </c>
      <c r="AD95" s="1" t="n">
        <v>0</v>
      </c>
      <c r="AE95" s="1" t="n">
        <v>4</v>
      </c>
      <c r="AF95" s="1" t="n">
        <v>15</v>
      </c>
      <c r="AG95" s="1" t="n">
        <v>6</v>
      </c>
      <c r="AH95" s="1" t="n">
        <v>1</v>
      </c>
      <c r="AI95" s="1" t="n">
        <v>10</v>
      </c>
      <c r="AJ95" s="1" t="n">
        <v>84</v>
      </c>
      <c r="AK95" s="1" t="n">
        <v>13</v>
      </c>
      <c r="AL95" s="1" t="n">
        <v>53</v>
      </c>
      <c r="AM95" s="1" t="n">
        <v>41</v>
      </c>
    </row>
    <row r="96">
      <c r="A96" s="1" t="inlineStr">
        <is>
          <t>Psoriasis vulgaris</t>
        </is>
      </c>
      <c r="B96" s="1" t="inlineStr">
        <is>
          <t>EFO_1001494</t>
        </is>
      </c>
      <c r="C96" s="1" t="inlineStr">
        <is>
          <t>name</t>
        </is>
      </c>
      <c r="D96" s="1" t="n">
        <v>0.05</v>
      </c>
      <c r="E96" s="15" t="n">
        <v>7</v>
      </c>
      <c r="F96" s="15" t="n">
        <v>312</v>
      </c>
      <c r="G96" s="15" t="n">
        <v>7</v>
      </c>
      <c r="H96" s="16">
        <f>G96/F96</f>
        <v/>
      </c>
      <c r="I96" s="16">
        <f>G96/E96</f>
        <v/>
      </c>
      <c r="J96" s="17" t="n">
        <v>6</v>
      </c>
      <c r="K96" s="17" t="n">
        <v>237</v>
      </c>
      <c r="L96" s="17" t="n">
        <v>1</v>
      </c>
      <c r="M96" s="16">
        <f>L96/K96</f>
        <v/>
      </c>
      <c r="N96" s="16">
        <f>L96/J96</f>
        <v/>
      </c>
      <c r="O96" s="18" t="n">
        <v>11</v>
      </c>
      <c r="P96" s="18" t="n">
        <v>1</v>
      </c>
      <c r="Q96" s="16">
        <f>P96/O96</f>
        <v/>
      </c>
      <c r="R96" s="1" t="n">
        <v>658</v>
      </c>
      <c r="S96" s="1" t="n">
        <v>7</v>
      </c>
      <c r="T96" s="1" t="n">
        <v>1</v>
      </c>
      <c r="U96" s="1" t="n">
        <v>3</v>
      </c>
      <c r="V96" s="1" t="n">
        <v>4</v>
      </c>
      <c r="W96" s="1" t="n">
        <v>2</v>
      </c>
      <c r="X96" s="1" t="n">
        <v>7</v>
      </c>
      <c r="Y96" s="1" t="n">
        <v>0</v>
      </c>
      <c r="Z96" s="1" t="n">
        <v>11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3</v>
      </c>
      <c r="AG96" s="1" t="n">
        <v>2</v>
      </c>
      <c r="AH96" s="1" t="n">
        <v>1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</row>
    <row r="97">
      <c r="A97" s="1" t="inlineStr">
        <is>
          <t>renal cell carcinoma</t>
        </is>
      </c>
      <c r="B97" s="1" t="inlineStr">
        <is>
          <t>EFO_0000681</t>
        </is>
      </c>
      <c r="C97" s="1" t="inlineStr">
        <is>
          <t>name</t>
        </is>
      </c>
      <c r="D97" s="1" t="n">
        <v>0.05</v>
      </c>
      <c r="E97" s="15" t="n">
        <v>32</v>
      </c>
      <c r="F97" s="15" t="n">
        <v>181</v>
      </c>
      <c r="G97" s="15" t="n">
        <v>16</v>
      </c>
      <c r="H97" s="16">
        <f>G97/F97</f>
        <v/>
      </c>
      <c r="I97" s="16">
        <f>G97/E97</f>
        <v/>
      </c>
      <c r="J97" s="17" t="n">
        <v>19</v>
      </c>
      <c r="K97" s="17" t="n">
        <v>418</v>
      </c>
      <c r="L97" s="17" t="n">
        <v>7</v>
      </c>
      <c r="M97" s="16">
        <f>L97/K97</f>
        <v/>
      </c>
      <c r="N97" s="16">
        <f>L97/J97</f>
        <v/>
      </c>
      <c r="O97" s="18" t="n">
        <v>7</v>
      </c>
      <c r="P97" s="18" t="n">
        <v>1</v>
      </c>
      <c r="Q97" s="16">
        <f>P97/O97</f>
        <v/>
      </c>
      <c r="R97" s="1" t="n">
        <v>1279</v>
      </c>
      <c r="S97" s="1" t="n">
        <v>22</v>
      </c>
      <c r="T97" s="1" t="n">
        <v>1</v>
      </c>
      <c r="U97" s="1" t="n">
        <v>22</v>
      </c>
      <c r="V97" s="1" t="n">
        <v>18</v>
      </c>
      <c r="W97" s="1" t="n">
        <v>6</v>
      </c>
      <c r="X97" s="1" t="n">
        <v>5</v>
      </c>
      <c r="Y97" s="1" t="n">
        <v>9</v>
      </c>
      <c r="Z97" s="1" t="n">
        <v>19</v>
      </c>
      <c r="AA97" s="1" t="n">
        <v>0</v>
      </c>
      <c r="AB97" s="1" t="n">
        <v>1</v>
      </c>
      <c r="AC97" s="1" t="n">
        <v>5</v>
      </c>
      <c r="AD97" s="1" t="n">
        <v>0</v>
      </c>
      <c r="AE97" s="1" t="n">
        <v>10</v>
      </c>
      <c r="AF97" s="1" t="n">
        <v>3</v>
      </c>
      <c r="AG97" s="1" t="n">
        <v>3</v>
      </c>
      <c r="AH97" s="1" t="n">
        <v>2</v>
      </c>
      <c r="AI97" s="1" t="n">
        <v>0</v>
      </c>
      <c r="AJ97" s="1" t="n">
        <v>3</v>
      </c>
      <c r="AK97" s="1" t="n">
        <v>1</v>
      </c>
      <c r="AL97" s="1" t="n">
        <v>2</v>
      </c>
      <c r="AM97" s="1" t="n">
        <v>0</v>
      </c>
    </row>
    <row r="98">
      <c r="A98" s="1" t="inlineStr">
        <is>
          <t>severe acute respiratory syndrome</t>
        </is>
      </c>
      <c r="B98" s="1" t="inlineStr">
        <is>
          <t>EFO_0000694</t>
        </is>
      </c>
      <c r="C98" s="1" t="inlineStr">
        <is>
          <t>name</t>
        </is>
      </c>
      <c r="D98" s="1" t="n">
        <v>0.05</v>
      </c>
      <c r="E98" s="15" t="n">
        <v>9</v>
      </c>
      <c r="F98" s="15" t="n">
        <v>304</v>
      </c>
      <c r="G98" s="15" t="n">
        <v>7</v>
      </c>
      <c r="H98" s="16">
        <f>G98/F98</f>
        <v/>
      </c>
      <c r="I98" s="16">
        <f>G98/E98</f>
        <v/>
      </c>
      <c r="J98" s="17" t="n">
        <v>14</v>
      </c>
      <c r="K98" s="17" t="n">
        <v>247</v>
      </c>
      <c r="L98" s="17" t="n">
        <v>5</v>
      </c>
      <c r="M98" s="16">
        <f>L98/K98</f>
        <v/>
      </c>
      <c r="N98" s="16">
        <f>L98/J98</f>
        <v/>
      </c>
      <c r="O98" s="18" t="n">
        <v>10</v>
      </c>
      <c r="P98" s="18" t="n">
        <v>1</v>
      </c>
      <c r="Q98" s="16">
        <f>P98/O98</f>
        <v/>
      </c>
      <c r="R98" s="1" t="n">
        <v>694</v>
      </c>
      <c r="S98" s="1" t="n">
        <v>11</v>
      </c>
      <c r="T98" s="1" t="n">
        <v>0</v>
      </c>
      <c r="U98" s="1" t="n">
        <v>4</v>
      </c>
      <c r="V98" s="1" t="n">
        <v>4</v>
      </c>
      <c r="W98" s="1" t="n">
        <v>6</v>
      </c>
      <c r="X98" s="1" t="n">
        <v>0</v>
      </c>
      <c r="Y98" s="1" t="n">
        <v>1</v>
      </c>
      <c r="Z98" s="1" t="n">
        <v>3</v>
      </c>
      <c r="AA98" s="1" t="n">
        <v>0</v>
      </c>
      <c r="AB98" s="1" t="n">
        <v>1</v>
      </c>
      <c r="AC98" s="1" t="n">
        <v>4</v>
      </c>
      <c r="AD98" s="1" t="n">
        <v>0</v>
      </c>
      <c r="AE98" s="1" t="n">
        <v>3</v>
      </c>
      <c r="AF98" s="1" t="n">
        <v>0</v>
      </c>
      <c r="AG98" s="1" t="n">
        <v>0</v>
      </c>
      <c r="AH98" s="1" t="n">
        <v>2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</row>
    <row r="99">
      <c r="A99" s="1" t="inlineStr">
        <is>
          <t>systemic lupus erythematosus</t>
        </is>
      </c>
      <c r="B99" s="1" t="inlineStr">
        <is>
          <t>MONDO_0007915</t>
        </is>
      </c>
      <c r="C99" s="1" t="inlineStr">
        <is>
          <t>name</t>
        </is>
      </c>
      <c r="D99" s="1" t="n">
        <v>0.05</v>
      </c>
      <c r="E99" s="15" t="n">
        <v>15</v>
      </c>
      <c r="F99" s="15" t="n">
        <v>267</v>
      </c>
      <c r="G99" s="15" t="n">
        <v>9</v>
      </c>
      <c r="H99" s="16">
        <f>G99/F99</f>
        <v/>
      </c>
      <c r="I99" s="16">
        <f>G99/E99</f>
        <v/>
      </c>
      <c r="J99" s="17" t="n">
        <v>20</v>
      </c>
      <c r="K99" s="17" t="n">
        <v>268</v>
      </c>
      <c r="L99" s="17" t="n">
        <v>8</v>
      </c>
      <c r="M99" s="16">
        <f>L99/K99</f>
        <v/>
      </c>
      <c r="N99" s="16">
        <f>L99/J99</f>
        <v/>
      </c>
      <c r="O99" s="18" t="n">
        <v>11</v>
      </c>
      <c r="P99" s="18" t="n">
        <v>1</v>
      </c>
      <c r="Q99" s="16">
        <f>P99/O99</f>
        <v/>
      </c>
      <c r="R99" s="1" t="n">
        <v>1071</v>
      </c>
      <c r="S99" s="1" t="n">
        <v>16</v>
      </c>
      <c r="T99" s="1" t="n">
        <v>2</v>
      </c>
      <c r="U99" s="1" t="n">
        <v>6</v>
      </c>
      <c r="V99" s="1" t="n">
        <v>10</v>
      </c>
      <c r="W99" s="1" t="n">
        <v>3</v>
      </c>
      <c r="X99" s="1" t="n">
        <v>3</v>
      </c>
      <c r="Y99" s="1" t="n">
        <v>0</v>
      </c>
      <c r="Z99" s="1" t="n">
        <v>13</v>
      </c>
      <c r="AA99" s="1" t="n">
        <v>0</v>
      </c>
      <c r="AB99" s="1" t="n">
        <v>1</v>
      </c>
      <c r="AC99" s="1" t="n">
        <v>2</v>
      </c>
      <c r="AD99" s="1" t="n">
        <v>0</v>
      </c>
      <c r="AE99" s="1" t="n">
        <v>4</v>
      </c>
      <c r="AF99" s="1" t="n">
        <v>3</v>
      </c>
      <c r="AG99" s="1" t="n">
        <v>0</v>
      </c>
      <c r="AH99" s="1" t="n">
        <v>1</v>
      </c>
      <c r="AI99" s="1" t="n">
        <v>0</v>
      </c>
      <c r="AJ99" s="1" t="n">
        <v>0</v>
      </c>
      <c r="AK99" s="1" t="n">
        <v>3</v>
      </c>
      <c r="AL99" s="1" t="n">
        <v>1</v>
      </c>
      <c r="AM99" s="1" t="n">
        <v>1</v>
      </c>
    </row>
    <row r="100">
      <c r="A100" s="1" t="inlineStr">
        <is>
          <t>tuberculosis</t>
        </is>
      </c>
      <c r="B100" s="1" t="inlineStr">
        <is>
          <t>MONDO_0018076</t>
        </is>
      </c>
      <c r="C100" s="1" t="inlineStr">
        <is>
          <t>name</t>
        </is>
      </c>
      <c r="D100" s="1" t="n">
        <v>0.05</v>
      </c>
      <c r="E100" s="15" t="n">
        <v>9</v>
      </c>
      <c r="F100" s="15" t="n">
        <v>326</v>
      </c>
      <c r="G100" s="15" t="n">
        <v>8</v>
      </c>
      <c r="H100" s="16">
        <f>G100/F100</f>
        <v/>
      </c>
      <c r="I100" s="16">
        <f>G100/E100</f>
        <v/>
      </c>
      <c r="J100" s="17" t="n">
        <v>12</v>
      </c>
      <c r="K100" s="17" t="n">
        <v>424</v>
      </c>
      <c r="L100" s="17" t="n">
        <v>3</v>
      </c>
      <c r="M100" s="16">
        <f>L100/K100</f>
        <v/>
      </c>
      <c r="N100" s="16">
        <f>L100/J100</f>
        <v/>
      </c>
      <c r="O100" s="18" t="n">
        <v>26</v>
      </c>
      <c r="P100" s="18" t="n">
        <v>1</v>
      </c>
      <c r="Q100" s="16">
        <f>P100/O100</f>
        <v/>
      </c>
      <c r="R100" s="1" t="n">
        <v>589</v>
      </c>
      <c r="S100" s="1" t="n">
        <v>10</v>
      </c>
      <c r="T100" s="1" t="n">
        <v>0</v>
      </c>
      <c r="U100" s="1" t="n">
        <v>3</v>
      </c>
      <c r="V100" s="1" t="n">
        <v>6</v>
      </c>
      <c r="W100" s="1" t="n">
        <v>2</v>
      </c>
      <c r="X100" s="1" t="n">
        <v>0</v>
      </c>
      <c r="Y100" s="1" t="n">
        <v>0</v>
      </c>
      <c r="Z100" s="1" t="n">
        <v>4</v>
      </c>
      <c r="AA100" s="1" t="n">
        <v>0</v>
      </c>
      <c r="AB100" s="1" t="n">
        <v>3</v>
      </c>
      <c r="AC100" s="1" t="n">
        <v>2</v>
      </c>
      <c r="AD100" s="1" t="n">
        <v>0</v>
      </c>
      <c r="AE100" s="1" t="n">
        <v>0</v>
      </c>
      <c r="AF100" s="1" t="n">
        <v>0</v>
      </c>
      <c r="AG100" s="1" t="n">
        <v>2</v>
      </c>
      <c r="AH100" s="1" t="n">
        <v>0</v>
      </c>
      <c r="AI100" s="1" t="n">
        <v>0</v>
      </c>
      <c r="AJ100" s="1" t="n">
        <v>7</v>
      </c>
      <c r="AK100" s="1" t="n">
        <v>3</v>
      </c>
      <c r="AL100" s="1" t="n">
        <v>7</v>
      </c>
      <c r="AM100" s="1" t="n">
        <v>3</v>
      </c>
    </row>
    <row r="101">
      <c r="A101" s="1" t="inlineStr">
        <is>
          <t>abdominal aortic aneurysm</t>
        </is>
      </c>
      <c r="B101" s="1" t="inlineStr">
        <is>
          <t>EFO_0004214</t>
        </is>
      </c>
      <c r="C101" s="1" t="inlineStr">
        <is>
          <t>name</t>
        </is>
      </c>
      <c r="D101" s="1" t="n">
        <v>0.05</v>
      </c>
      <c r="E101" s="15" t="n">
        <v>2</v>
      </c>
      <c r="F101" s="15" t="n">
        <v>0</v>
      </c>
      <c r="G101" s="15" t="n">
        <v>0</v>
      </c>
      <c r="H101" s="16">
        <f>G101/F101</f>
        <v/>
      </c>
      <c r="I101" s="16">
        <f>G101/E101</f>
        <v/>
      </c>
      <c r="J101" s="17" t="n">
        <v>4</v>
      </c>
      <c r="K101" s="17" t="n">
        <v>0</v>
      </c>
      <c r="L101" s="17" t="n">
        <v>0</v>
      </c>
      <c r="M101" s="16">
        <f>L101/K101</f>
        <v/>
      </c>
      <c r="N101" s="16">
        <f>L101/J101</f>
        <v/>
      </c>
      <c r="O101" s="18" t="n">
        <v>0</v>
      </c>
      <c r="P101" s="18" t="n">
        <v>0</v>
      </c>
      <c r="Q101" s="16">
        <f>P101/O101</f>
        <v/>
      </c>
      <c r="R101" s="1" t="n">
        <v>140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</row>
    <row r="102">
      <c r="A102" s="1" t="inlineStr">
        <is>
          <t>acne</t>
        </is>
      </c>
      <c r="B102" s="1" t="inlineStr">
        <is>
          <t>EFO_0003894</t>
        </is>
      </c>
      <c r="C102" s="1" t="inlineStr">
        <is>
          <t>name</t>
        </is>
      </c>
      <c r="D102" s="1" t="n">
        <v>0.05</v>
      </c>
      <c r="E102" s="15" t="n">
        <v>7</v>
      </c>
      <c r="F102" s="15" t="n">
        <v>289</v>
      </c>
      <c r="G102" s="15" t="n">
        <v>6</v>
      </c>
      <c r="H102" s="16">
        <f>G102/F102</f>
        <v/>
      </c>
      <c r="I102" s="16">
        <f>G102/E102</f>
        <v/>
      </c>
      <c r="J102" s="17" t="n">
        <v>11</v>
      </c>
      <c r="K102" s="17" t="n">
        <v>137</v>
      </c>
      <c r="L102" s="17" t="n">
        <v>2</v>
      </c>
      <c r="M102" s="16">
        <f>L102/K102</f>
        <v/>
      </c>
      <c r="N102" s="16">
        <f>L102/J102</f>
        <v/>
      </c>
      <c r="O102" s="18" t="n">
        <v>7</v>
      </c>
      <c r="P102" s="18" t="n">
        <v>0</v>
      </c>
      <c r="Q102" s="16">
        <f>P102/O102</f>
        <v/>
      </c>
      <c r="R102" s="1" t="n">
        <v>394</v>
      </c>
      <c r="S102" s="1" t="n">
        <v>8</v>
      </c>
      <c r="T102" s="1" t="n">
        <v>1</v>
      </c>
      <c r="U102" s="1" t="n">
        <v>5</v>
      </c>
      <c r="V102" s="1" t="n">
        <v>8</v>
      </c>
      <c r="W102" s="1" t="n">
        <v>5</v>
      </c>
      <c r="X102" s="1" t="n">
        <v>11</v>
      </c>
      <c r="Y102" s="1" t="n">
        <v>1</v>
      </c>
      <c r="Z102" s="1" t="n">
        <v>15</v>
      </c>
      <c r="AA102" s="1" t="n">
        <v>0</v>
      </c>
      <c r="AB102" s="1" t="n">
        <v>0</v>
      </c>
      <c r="AC102" s="1" t="n">
        <v>2</v>
      </c>
      <c r="AD102" s="1" t="n">
        <v>0</v>
      </c>
      <c r="AE102" s="1" t="n">
        <v>2</v>
      </c>
      <c r="AF102" s="1" t="n">
        <v>5</v>
      </c>
      <c r="AG102" s="1" t="n">
        <v>5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</row>
    <row r="103">
      <c r="A103" s="1" t="inlineStr">
        <is>
          <t>actinic keratosis</t>
        </is>
      </c>
      <c r="B103" s="1" t="inlineStr">
        <is>
          <t>EFO_0002496</t>
        </is>
      </c>
      <c r="C103" s="1" t="inlineStr">
        <is>
          <t>name</t>
        </is>
      </c>
      <c r="D103" s="1" t="n">
        <v>0.05</v>
      </c>
      <c r="E103" s="15" t="n">
        <v>5</v>
      </c>
      <c r="F103" s="15" t="n">
        <v>379</v>
      </c>
      <c r="G103" s="15" t="n">
        <v>5</v>
      </c>
      <c r="H103" s="16">
        <f>G103/F103</f>
        <v/>
      </c>
      <c r="I103" s="16">
        <f>G103/E103</f>
        <v/>
      </c>
      <c r="J103" s="17" t="n">
        <v>11</v>
      </c>
      <c r="K103" s="17" t="n">
        <v>33</v>
      </c>
      <c r="L103" s="17" t="n">
        <v>1</v>
      </c>
      <c r="M103" s="16">
        <f>L103/K103</f>
        <v/>
      </c>
      <c r="N103" s="16">
        <f>L103/J103</f>
        <v/>
      </c>
      <c r="O103" s="18" t="n">
        <v>2</v>
      </c>
      <c r="P103" s="18" t="n">
        <v>0</v>
      </c>
      <c r="Q103" s="16">
        <f>P103/O103</f>
        <v/>
      </c>
      <c r="R103" s="1" t="n">
        <v>478</v>
      </c>
      <c r="S103" s="1" t="n">
        <v>6</v>
      </c>
      <c r="T103" s="1" t="n">
        <v>1</v>
      </c>
      <c r="U103" s="1" t="n">
        <v>1</v>
      </c>
      <c r="V103" s="1" t="n">
        <v>5</v>
      </c>
      <c r="W103" s="1" t="n">
        <v>2</v>
      </c>
      <c r="X103" s="1" t="n">
        <v>4</v>
      </c>
      <c r="Y103" s="1" t="n">
        <v>0</v>
      </c>
      <c r="Z103" s="1" t="n">
        <v>7</v>
      </c>
      <c r="AA103" s="1" t="n">
        <v>1</v>
      </c>
      <c r="AB103" s="1" t="n">
        <v>0</v>
      </c>
      <c r="AC103" s="1" t="n">
        <v>2</v>
      </c>
      <c r="AD103" s="1" t="n">
        <v>0</v>
      </c>
      <c r="AE103" s="1" t="n">
        <v>1</v>
      </c>
      <c r="AF103" s="1" t="n">
        <v>1</v>
      </c>
      <c r="AG103" s="1" t="n">
        <v>1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</row>
    <row r="104">
      <c r="A104" s="1" t="inlineStr">
        <is>
          <t>Acute Lung Injury</t>
        </is>
      </c>
      <c r="B104" s="1" t="inlineStr">
        <is>
          <t>EFO_0004610</t>
        </is>
      </c>
      <c r="C104" s="1" t="inlineStr">
        <is>
          <t>name</t>
        </is>
      </c>
      <c r="D104" s="1" t="n">
        <v>0.05</v>
      </c>
      <c r="E104" s="15" t="n">
        <v>4</v>
      </c>
      <c r="F104" s="15" t="n">
        <v>217</v>
      </c>
      <c r="G104" s="15" t="n">
        <v>2</v>
      </c>
      <c r="H104" s="16">
        <f>G104/F104</f>
        <v/>
      </c>
      <c r="I104" s="16">
        <f>G104/E104</f>
        <v/>
      </c>
      <c r="J104" s="17" t="n">
        <v>5</v>
      </c>
      <c r="K104" s="17" t="n">
        <v>29</v>
      </c>
      <c r="L104" s="17" t="n">
        <v>1</v>
      </c>
      <c r="M104" s="16">
        <f>L104/K104</f>
        <v/>
      </c>
      <c r="N104" s="16">
        <f>L104/J104</f>
        <v/>
      </c>
      <c r="O104" s="18" t="n">
        <v>0</v>
      </c>
      <c r="P104" s="18" t="n">
        <v>0</v>
      </c>
      <c r="Q104" s="16">
        <f>P104/O104</f>
        <v/>
      </c>
      <c r="R104" s="1" t="n">
        <v>231</v>
      </c>
      <c r="S104" s="1" t="n">
        <v>3</v>
      </c>
      <c r="T104" s="1" t="n">
        <v>0</v>
      </c>
      <c r="U104" s="1" t="n">
        <v>1</v>
      </c>
      <c r="V104" s="1" t="n">
        <v>1</v>
      </c>
      <c r="W104" s="1" t="n">
        <v>0</v>
      </c>
      <c r="X104" s="1" t="n">
        <v>0</v>
      </c>
      <c r="Y104" s="1" t="n">
        <v>0</v>
      </c>
      <c r="Z104" s="1" t="n">
        <v>1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1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</row>
    <row r="105">
      <c r="A105" s="1" t="inlineStr">
        <is>
          <t>acute myeloid leukemia</t>
        </is>
      </c>
      <c r="B105" s="1" t="inlineStr">
        <is>
          <t>EFO_0000222</t>
        </is>
      </c>
      <c r="C105" s="1" t="inlineStr">
        <is>
          <t>name</t>
        </is>
      </c>
      <c r="D105" s="1" t="n">
        <v>0.05</v>
      </c>
      <c r="E105" s="15" t="n">
        <v>52</v>
      </c>
      <c r="F105" s="15" t="n">
        <v>87</v>
      </c>
      <c r="G105" s="15" t="n">
        <v>12</v>
      </c>
      <c r="H105" s="16">
        <f>G105/F105</f>
        <v/>
      </c>
      <c r="I105" s="16">
        <f>G105/E105</f>
        <v/>
      </c>
      <c r="J105" s="17" t="n">
        <v>41</v>
      </c>
      <c r="K105" s="17" t="n">
        <v>10</v>
      </c>
      <c r="L105" s="17" t="n">
        <v>2</v>
      </c>
      <c r="M105" s="16">
        <f>L105/K105</f>
        <v/>
      </c>
      <c r="N105" s="16">
        <f>L105/J105</f>
        <v/>
      </c>
      <c r="O105" s="18" t="n">
        <v>0</v>
      </c>
      <c r="P105" s="18" t="n">
        <v>0</v>
      </c>
      <c r="Q105" s="16">
        <f>P105/O105</f>
        <v/>
      </c>
      <c r="R105" s="1" t="n">
        <v>2215</v>
      </c>
      <c r="S105" s="1" t="n">
        <v>14</v>
      </c>
      <c r="T105" s="1" t="n">
        <v>1</v>
      </c>
      <c r="U105" s="1" t="n">
        <v>32</v>
      </c>
      <c r="V105" s="1" t="n">
        <v>21</v>
      </c>
      <c r="W105" s="1" t="n">
        <v>16</v>
      </c>
      <c r="X105" s="1" t="n">
        <v>7</v>
      </c>
      <c r="Y105" s="1" t="n">
        <v>10</v>
      </c>
      <c r="Z105" s="1" t="n">
        <v>23</v>
      </c>
      <c r="AA105" s="1" t="n">
        <v>1</v>
      </c>
      <c r="AB105" s="1" t="n">
        <v>5</v>
      </c>
      <c r="AC105" s="1" t="n">
        <v>11</v>
      </c>
      <c r="AD105" s="1" t="n">
        <v>3</v>
      </c>
      <c r="AE105" s="1" t="n">
        <v>9</v>
      </c>
      <c r="AF105" s="1" t="n">
        <v>2</v>
      </c>
      <c r="AG105" s="1" t="n">
        <v>8</v>
      </c>
      <c r="AH105" s="1" t="n">
        <v>5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</row>
    <row r="106">
      <c r="A106" s="1" t="inlineStr">
        <is>
          <t>acute myocardial infarction</t>
        </is>
      </c>
      <c r="B106" s="1" t="inlineStr">
        <is>
          <t>EFO_0008583</t>
        </is>
      </c>
      <c r="C106" s="1" t="inlineStr">
        <is>
          <t>name</t>
        </is>
      </c>
      <c r="D106" s="1" t="n">
        <v>0.05</v>
      </c>
      <c r="E106" s="15" t="n">
        <v>5</v>
      </c>
      <c r="F106" s="15" t="n">
        <v>319</v>
      </c>
      <c r="G106" s="15" t="n">
        <v>4</v>
      </c>
      <c r="H106" s="16">
        <f>G106/F106</f>
        <v/>
      </c>
      <c r="I106" s="16">
        <f>G106/E106</f>
        <v/>
      </c>
      <c r="J106" s="17" t="n">
        <v>7</v>
      </c>
      <c r="K106" s="17" t="n">
        <v>13</v>
      </c>
      <c r="L106" s="17" t="n">
        <v>0</v>
      </c>
      <c r="M106" s="16">
        <f>L106/K106</f>
        <v/>
      </c>
      <c r="N106" s="16">
        <f>L106/J106</f>
        <v/>
      </c>
      <c r="O106" s="18" t="n">
        <v>0</v>
      </c>
      <c r="P106" s="18" t="n">
        <v>0</v>
      </c>
      <c r="Q106" s="16">
        <f>P106/O106</f>
        <v/>
      </c>
      <c r="R106" s="1" t="n">
        <v>552</v>
      </c>
      <c r="S106" s="1" t="n">
        <v>4</v>
      </c>
      <c r="T106" s="1" t="n">
        <v>0</v>
      </c>
      <c r="U106" s="1" t="n">
        <v>0</v>
      </c>
      <c r="V106" s="1" t="n">
        <v>3</v>
      </c>
      <c r="W106" s="1" t="n">
        <v>4</v>
      </c>
      <c r="X106" s="1" t="n">
        <v>1</v>
      </c>
      <c r="Y106" s="1" t="n">
        <v>0</v>
      </c>
      <c r="Z106" s="1" t="n">
        <v>3</v>
      </c>
      <c r="AA106" s="1" t="n">
        <v>0</v>
      </c>
      <c r="AB106" s="1" t="n">
        <v>0</v>
      </c>
      <c r="AC106" s="1" t="n">
        <v>2</v>
      </c>
      <c r="AD106" s="1" t="n">
        <v>0</v>
      </c>
      <c r="AE106" s="1" t="n">
        <v>0</v>
      </c>
      <c r="AF106" s="1" t="n">
        <v>0</v>
      </c>
      <c r="AG106" s="1" t="n">
        <v>2</v>
      </c>
      <c r="AH106" s="1" t="n">
        <v>1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</row>
    <row r="107">
      <c r="A107" s="1" t="inlineStr">
        <is>
          <t>adenoma</t>
        </is>
      </c>
      <c r="B107" s="1" t="inlineStr">
        <is>
          <t>EFO_0000232</t>
        </is>
      </c>
      <c r="C107" s="1" t="inlineStr">
        <is>
          <t>name</t>
        </is>
      </c>
      <c r="D107" s="1" t="n">
        <v>0.05</v>
      </c>
      <c r="E107" s="15" t="n">
        <v>1</v>
      </c>
      <c r="F107" s="15" t="n">
        <v>317</v>
      </c>
      <c r="G107" s="15" t="n">
        <v>1</v>
      </c>
      <c r="H107" s="16">
        <f>G107/F107</f>
        <v/>
      </c>
      <c r="I107" s="16">
        <f>G107/E107</f>
        <v/>
      </c>
      <c r="J107" s="17" t="n">
        <v>2</v>
      </c>
      <c r="K107" s="17" t="n">
        <v>4</v>
      </c>
      <c r="L107" s="17" t="n">
        <v>0</v>
      </c>
      <c r="M107" s="16">
        <f>L107/K107</f>
        <v/>
      </c>
      <c r="N107" s="16">
        <f>L107/J107</f>
        <v/>
      </c>
      <c r="O107" s="18" t="n">
        <v>0</v>
      </c>
      <c r="P107" s="18" t="n">
        <v>0</v>
      </c>
      <c r="Q107" s="16">
        <f>P107/O107</f>
        <v/>
      </c>
      <c r="R107" s="1" t="n">
        <v>198</v>
      </c>
      <c r="S107" s="1" t="n">
        <v>1</v>
      </c>
      <c r="T107" s="1" t="n">
        <v>0</v>
      </c>
      <c r="U107" s="1" t="n">
        <v>0</v>
      </c>
      <c r="V107" s="1" t="n">
        <v>1</v>
      </c>
      <c r="W107" s="1" t="n">
        <v>0</v>
      </c>
      <c r="X107" s="1" t="n">
        <v>0</v>
      </c>
      <c r="Y107" s="1" t="n">
        <v>0</v>
      </c>
      <c r="Z107" s="1" t="n">
        <v>1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</row>
    <row r="108">
      <c r="A108" s="1" t="inlineStr">
        <is>
          <t>adrenoleukodystrophy</t>
        </is>
      </c>
      <c r="B108" s="1" t="inlineStr">
        <is>
          <t>MONDO_0018544</t>
        </is>
      </c>
      <c r="C108" s="1" t="inlineStr">
        <is>
          <t>name</t>
        </is>
      </c>
      <c r="D108" s="1" t="n">
        <v>0.05</v>
      </c>
      <c r="E108" s="15" t="n">
        <v>0</v>
      </c>
      <c r="F108" s="15" t="n">
        <v>174</v>
      </c>
      <c r="G108" s="15" t="n">
        <v>0</v>
      </c>
      <c r="H108" s="16">
        <f>G108/F108</f>
        <v/>
      </c>
      <c r="I108" s="16">
        <f>G108/E108</f>
        <v/>
      </c>
      <c r="J108" s="17" t="n">
        <v>0</v>
      </c>
      <c r="K108" s="17" t="n">
        <v>75</v>
      </c>
      <c r="L108" s="17" t="n">
        <v>0</v>
      </c>
      <c r="M108" s="16">
        <f>L108/K108</f>
        <v/>
      </c>
      <c r="N108" s="16">
        <f>L108/J108</f>
        <v/>
      </c>
      <c r="O108" s="18" t="n">
        <v>3</v>
      </c>
      <c r="P108" s="18" t="n">
        <v>0</v>
      </c>
      <c r="Q108" s="16">
        <f>P108/O108</f>
        <v/>
      </c>
      <c r="R108" s="1" t="n">
        <v>4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2</v>
      </c>
      <c r="AL108" s="1" t="n">
        <v>0</v>
      </c>
      <c r="AM108" s="1" t="n">
        <v>0</v>
      </c>
    </row>
    <row r="109">
      <c r="A109" s="1" t="inlineStr">
        <is>
          <t>alcohol abuse</t>
        </is>
      </c>
      <c r="B109" s="1" t="inlineStr">
        <is>
          <t>MONDO_0002046</t>
        </is>
      </c>
      <c r="C109" s="1" t="inlineStr">
        <is>
          <t>name</t>
        </is>
      </c>
      <c r="D109" s="1" t="n">
        <v>0.05</v>
      </c>
      <c r="E109" s="15" t="n">
        <v>2</v>
      </c>
      <c r="F109" s="15" t="n">
        <v>0</v>
      </c>
      <c r="G109" s="15" t="n">
        <v>0</v>
      </c>
      <c r="H109" s="16">
        <f>G109/F109</f>
        <v/>
      </c>
      <c r="I109" s="16">
        <f>G109/E109</f>
        <v/>
      </c>
      <c r="J109" s="17" t="n">
        <v>7</v>
      </c>
      <c r="K109" s="17" t="n">
        <v>7</v>
      </c>
      <c r="L109" s="17" t="n">
        <v>0</v>
      </c>
      <c r="M109" s="16">
        <f>L109/K109</f>
        <v/>
      </c>
      <c r="N109" s="16">
        <f>L109/J109</f>
        <v/>
      </c>
      <c r="O109" s="18" t="n">
        <v>0</v>
      </c>
      <c r="P109" s="18" t="n">
        <v>0</v>
      </c>
      <c r="Q109" s="16">
        <f>P109/O109</f>
        <v/>
      </c>
      <c r="R109" s="1" t="n">
        <v>131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</row>
    <row r="110">
      <c r="A110" s="1" t="inlineStr">
        <is>
          <t>allergic asthma</t>
        </is>
      </c>
      <c r="B110" s="1" t="inlineStr">
        <is>
          <t>MONDO_0004784</t>
        </is>
      </c>
      <c r="C110" s="1" t="inlineStr">
        <is>
          <t>name</t>
        </is>
      </c>
      <c r="D110" s="1" t="n">
        <v>0.05</v>
      </c>
      <c r="E110" s="15" t="n">
        <v>0</v>
      </c>
      <c r="F110" s="15" t="n">
        <v>84</v>
      </c>
      <c r="G110" s="15" t="n">
        <v>0</v>
      </c>
      <c r="H110" s="16">
        <f>G110/F110</f>
        <v/>
      </c>
      <c r="I110" s="16">
        <f>G110/E110</f>
        <v/>
      </c>
      <c r="J110" s="17" t="n">
        <v>2</v>
      </c>
      <c r="K110" s="17" t="n">
        <v>128</v>
      </c>
      <c r="L110" s="17" t="n">
        <v>2</v>
      </c>
      <c r="M110" s="16">
        <f>L110/K110</f>
        <v/>
      </c>
      <c r="N110" s="16">
        <f>L110/J110</f>
        <v/>
      </c>
      <c r="O110" s="18" t="n">
        <v>1</v>
      </c>
      <c r="P110" s="18" t="n">
        <v>0</v>
      </c>
      <c r="Q110" s="16">
        <f>P110/O110</f>
        <v/>
      </c>
      <c r="R110" s="1" t="n">
        <v>162</v>
      </c>
      <c r="S110" s="1" t="n">
        <v>2</v>
      </c>
      <c r="T110" s="1" t="n">
        <v>0</v>
      </c>
      <c r="U110" s="1" t="n">
        <v>1</v>
      </c>
      <c r="V110" s="1" t="n">
        <v>0</v>
      </c>
      <c r="W110" s="1" t="n">
        <v>1</v>
      </c>
      <c r="X110" s="1" t="n">
        <v>0</v>
      </c>
      <c r="Y110" s="1" t="n">
        <v>0</v>
      </c>
      <c r="Z110" s="1" t="n">
        <v>1</v>
      </c>
      <c r="AA110" s="1" t="n">
        <v>0</v>
      </c>
      <c r="AB110" s="1" t="n">
        <v>0</v>
      </c>
      <c r="AC110" s="1" t="n">
        <v>1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</row>
    <row r="111">
      <c r="A111" s="1" t="inlineStr">
        <is>
          <t>allergic contact dermatitis</t>
        </is>
      </c>
      <c r="B111" s="1" t="inlineStr">
        <is>
          <t>EFO_1000668</t>
        </is>
      </c>
      <c r="C111" s="1" t="inlineStr">
        <is>
          <t>name</t>
        </is>
      </c>
      <c r="D111" s="1" t="n">
        <v>0.05</v>
      </c>
      <c r="E111" s="15" t="n">
        <v>0</v>
      </c>
      <c r="F111" s="15" t="n">
        <v>311</v>
      </c>
      <c r="G111" s="15" t="n">
        <v>0</v>
      </c>
      <c r="H111" s="16">
        <f>G111/F111</f>
        <v/>
      </c>
      <c r="I111" s="16">
        <f>G111/E111</f>
        <v/>
      </c>
      <c r="J111" s="17" t="n">
        <v>0</v>
      </c>
      <c r="K111" s="17" t="n">
        <v>114</v>
      </c>
      <c r="L111" s="17" t="n">
        <v>0</v>
      </c>
      <c r="M111" s="16">
        <f>L111/K111</f>
        <v/>
      </c>
      <c r="N111" s="16">
        <f>L111/J111</f>
        <v/>
      </c>
      <c r="O111" s="18" t="n">
        <v>4</v>
      </c>
      <c r="P111" s="18" t="n">
        <v>0</v>
      </c>
      <c r="Q111" s="16">
        <f>P111/O111</f>
        <v/>
      </c>
      <c r="R111" s="1" t="n">
        <v>17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</row>
    <row r="112">
      <c r="A112" s="1" t="inlineStr">
        <is>
          <t>alpha 1-antitrypsin deficiency</t>
        </is>
      </c>
      <c r="B112" s="1" t="inlineStr">
        <is>
          <t>MONDO_0013282</t>
        </is>
      </c>
      <c r="C112" s="1" t="inlineStr">
        <is>
          <t>name</t>
        </is>
      </c>
      <c r="D112" s="1" t="n">
        <v>0.05</v>
      </c>
      <c r="E112" s="15" t="n">
        <v>1</v>
      </c>
      <c r="F112" s="15" t="n">
        <v>291</v>
      </c>
      <c r="G112" s="15" t="n">
        <v>1</v>
      </c>
      <c r="H112" s="16">
        <f>G112/F112</f>
        <v/>
      </c>
      <c r="I112" s="16">
        <f>G112/E112</f>
        <v/>
      </c>
      <c r="J112" s="17" t="n">
        <v>1</v>
      </c>
      <c r="K112" s="17" t="n">
        <v>60</v>
      </c>
      <c r="L112" s="17" t="n">
        <v>0</v>
      </c>
      <c r="M112" s="16">
        <f>L112/K112</f>
        <v/>
      </c>
      <c r="N112" s="16">
        <f>L112/J112</f>
        <v/>
      </c>
      <c r="O112" s="18" t="n">
        <v>4</v>
      </c>
      <c r="P112" s="18" t="n">
        <v>0</v>
      </c>
      <c r="Q112" s="16">
        <f>P112/O112</f>
        <v/>
      </c>
      <c r="R112" s="1" t="n">
        <v>4</v>
      </c>
      <c r="S112" s="1" t="n">
        <v>1</v>
      </c>
      <c r="T112" s="1" t="n">
        <v>0</v>
      </c>
      <c r="U112" s="1" t="n">
        <v>1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1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</row>
    <row r="113">
      <c r="A113" s="1" t="inlineStr">
        <is>
          <t>amyotrophic lateral sclerosis</t>
        </is>
      </c>
      <c r="B113" s="1" t="inlineStr">
        <is>
          <t>MONDO_0004976</t>
        </is>
      </c>
      <c r="C113" s="1" t="inlineStr">
        <is>
          <t>name</t>
        </is>
      </c>
      <c r="D113" s="1" t="n">
        <v>0.05</v>
      </c>
      <c r="E113" s="15" t="n">
        <v>12</v>
      </c>
      <c r="F113" s="15" t="n">
        <v>331</v>
      </c>
      <c r="G113" s="15" t="n">
        <v>8</v>
      </c>
      <c r="H113" s="16">
        <f>G113/F113</f>
        <v/>
      </c>
      <c r="I113" s="16">
        <f>G113/E113</f>
        <v/>
      </c>
      <c r="J113" s="17" t="n">
        <v>25</v>
      </c>
      <c r="K113" s="17" t="n">
        <v>0</v>
      </c>
      <c r="L113" s="17" t="n">
        <v>0</v>
      </c>
      <c r="M113" s="16">
        <f>L113/K113</f>
        <v/>
      </c>
      <c r="N113" s="16">
        <f>L113/J113</f>
        <v/>
      </c>
      <c r="O113" s="18" t="n">
        <v>0</v>
      </c>
      <c r="P113" s="18" t="n">
        <v>0</v>
      </c>
      <c r="Q113" s="16">
        <f>P113/O113</f>
        <v/>
      </c>
      <c r="R113" s="1" t="n">
        <v>925</v>
      </c>
      <c r="S113" s="1" t="n">
        <v>8</v>
      </c>
      <c r="T113" s="1" t="n">
        <v>0</v>
      </c>
      <c r="U113" s="1" t="n">
        <v>4</v>
      </c>
      <c r="V113" s="1" t="n">
        <v>4</v>
      </c>
      <c r="W113" s="1" t="n">
        <v>0</v>
      </c>
      <c r="X113" s="1" t="n">
        <v>0</v>
      </c>
      <c r="Y113" s="1" t="n">
        <v>0</v>
      </c>
      <c r="Z113" s="1" t="n">
        <v>6</v>
      </c>
      <c r="AA113" s="1" t="n">
        <v>0</v>
      </c>
      <c r="AB113" s="1" t="n">
        <v>1</v>
      </c>
      <c r="AC113" s="1" t="n">
        <v>0</v>
      </c>
      <c r="AD113" s="1" t="n">
        <v>0</v>
      </c>
      <c r="AE113" s="1" t="n">
        <v>1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</row>
    <row r="114">
      <c r="A114" s="1" t="inlineStr">
        <is>
          <t>Anaplasmosis</t>
        </is>
      </c>
      <c r="B114" s="1" t="inlineStr">
        <is>
          <t>MONDO_0025303</t>
        </is>
      </c>
      <c r="C114" s="1" t="inlineStr">
        <is>
          <t>name</t>
        </is>
      </c>
      <c r="D114" s="1" t="n">
        <v>0.05</v>
      </c>
      <c r="E114" s="15" t="n">
        <v>0</v>
      </c>
      <c r="F114" s="15" t="n">
        <v>90</v>
      </c>
      <c r="G114" s="15" t="n">
        <v>0</v>
      </c>
      <c r="H114" s="16">
        <f>G114/F114</f>
        <v/>
      </c>
      <c r="I114" s="16">
        <f>G114/E114</f>
        <v/>
      </c>
      <c r="J114" s="17" t="n">
        <v>0</v>
      </c>
      <c r="K114" s="17" t="n">
        <v>108</v>
      </c>
      <c r="L114" s="17" t="n">
        <v>0</v>
      </c>
      <c r="M114" s="16">
        <f>L114/K114</f>
        <v/>
      </c>
      <c r="N114" s="16">
        <f>L114/J114</f>
        <v/>
      </c>
      <c r="O114" s="18" t="n">
        <v>1</v>
      </c>
      <c r="P114" s="18" t="n">
        <v>0</v>
      </c>
      <c r="Q114" s="16">
        <f>P114/O114</f>
        <v/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</row>
    <row r="115">
      <c r="A115" s="1" t="inlineStr">
        <is>
          <t>androgen insensitivity syndrome</t>
        </is>
      </c>
      <c r="B115" s="1" t="inlineStr">
        <is>
          <t>MONDO_0019154</t>
        </is>
      </c>
      <c r="C115" s="1" t="inlineStr">
        <is>
          <t>name</t>
        </is>
      </c>
      <c r="D115" s="1" t="n">
        <v>0.05</v>
      </c>
      <c r="E115" s="15" t="n">
        <v>0</v>
      </c>
      <c r="F115" s="15" t="n">
        <v>0</v>
      </c>
      <c r="G115" s="15" t="n">
        <v>0</v>
      </c>
      <c r="H115" s="16">
        <f>G115/F115</f>
        <v/>
      </c>
      <c r="I115" s="16">
        <f>G115/E115</f>
        <v/>
      </c>
      <c r="J115" s="17" t="n">
        <v>0</v>
      </c>
      <c r="K115" s="17" t="n">
        <v>0</v>
      </c>
      <c r="L115" s="17" t="n">
        <v>0</v>
      </c>
      <c r="M115" s="16">
        <f>L115/K115</f>
        <v/>
      </c>
      <c r="N115" s="16">
        <f>L115/J115</f>
        <v/>
      </c>
      <c r="O115" s="18" t="n">
        <v>0</v>
      </c>
      <c r="P115" s="18" t="n">
        <v>0</v>
      </c>
      <c r="Q115" s="16">
        <f>P115/O115</f>
        <v/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</row>
    <row r="116">
      <c r="A116" s="1" t="inlineStr">
        <is>
          <t>anemia</t>
        </is>
      </c>
      <c r="B116" s="1" t="inlineStr">
        <is>
          <t>MONDO_0002280</t>
        </is>
      </c>
      <c r="C116" s="1" t="inlineStr">
        <is>
          <t>name</t>
        </is>
      </c>
      <c r="D116" s="1" t="n">
        <v>0.05</v>
      </c>
      <c r="E116" s="15" t="n">
        <v>3</v>
      </c>
      <c r="F116" s="15" t="n">
        <v>259</v>
      </c>
      <c r="G116" s="15" t="n">
        <v>3</v>
      </c>
      <c r="H116" s="16">
        <f>G116/F116</f>
        <v/>
      </c>
      <c r="I116" s="16">
        <f>G116/E116</f>
        <v/>
      </c>
      <c r="J116" s="17" t="n">
        <v>5</v>
      </c>
      <c r="K116" s="17" t="n">
        <v>190</v>
      </c>
      <c r="L116" s="17" t="n">
        <v>2</v>
      </c>
      <c r="M116" s="16">
        <f>L116/K116</f>
        <v/>
      </c>
      <c r="N116" s="16">
        <f>L116/J116</f>
        <v/>
      </c>
      <c r="O116" s="18" t="n">
        <v>9</v>
      </c>
      <c r="P116" s="18" t="n">
        <v>0</v>
      </c>
      <c r="Q116" s="16">
        <f>P116/O116</f>
        <v/>
      </c>
      <c r="R116" s="1" t="n">
        <v>243</v>
      </c>
      <c r="S116" s="1" t="n">
        <v>5</v>
      </c>
      <c r="T116" s="1" t="n">
        <v>0</v>
      </c>
      <c r="U116" s="1" t="n">
        <v>0</v>
      </c>
      <c r="V116" s="1" t="n">
        <v>2</v>
      </c>
      <c r="W116" s="1" t="n">
        <v>0</v>
      </c>
      <c r="X116" s="1" t="n">
        <v>1</v>
      </c>
      <c r="Y116" s="1" t="n">
        <v>0</v>
      </c>
      <c r="Z116" s="1" t="n">
        <v>0</v>
      </c>
      <c r="AA116" s="1" t="n">
        <v>0</v>
      </c>
      <c r="AB116" s="1" t="n">
        <v>2</v>
      </c>
      <c r="AC116" s="1" t="n">
        <v>0</v>
      </c>
      <c r="AD116" s="1" t="n">
        <v>0</v>
      </c>
      <c r="AE116" s="1" t="n">
        <v>0</v>
      </c>
      <c r="AF116" s="1" t="n">
        <v>1</v>
      </c>
      <c r="AG116" s="1" t="n">
        <v>0</v>
      </c>
      <c r="AH116" s="1" t="n">
        <v>0</v>
      </c>
      <c r="AI116" s="1" t="n">
        <v>0</v>
      </c>
      <c r="AJ116" s="1" t="n">
        <v>10</v>
      </c>
      <c r="AK116" s="1" t="n">
        <v>3</v>
      </c>
      <c r="AL116" s="1" t="n">
        <v>3</v>
      </c>
      <c r="AM116" s="1" t="n">
        <v>2</v>
      </c>
    </row>
    <row r="117">
      <c r="A117" s="1" t="inlineStr">
        <is>
          <t>ankylosing spondylitis</t>
        </is>
      </c>
      <c r="B117" s="1" t="inlineStr">
        <is>
          <t>EFO_0003898</t>
        </is>
      </c>
      <c r="C117" s="1" t="inlineStr">
        <is>
          <t>name</t>
        </is>
      </c>
      <c r="D117" s="1" t="n">
        <v>0.05</v>
      </c>
      <c r="E117" s="15" t="n">
        <v>9</v>
      </c>
      <c r="F117" s="15" t="n">
        <v>272</v>
      </c>
      <c r="G117" s="15" t="n">
        <v>7</v>
      </c>
      <c r="H117" s="16">
        <f>G117/F117</f>
        <v/>
      </c>
      <c r="I117" s="16">
        <f>G117/E117</f>
        <v/>
      </c>
      <c r="J117" s="17" t="n">
        <v>12</v>
      </c>
      <c r="K117" s="17" t="n">
        <v>7</v>
      </c>
      <c r="L117" s="17" t="n">
        <v>0</v>
      </c>
      <c r="M117" s="16">
        <f>L117/K117</f>
        <v/>
      </c>
      <c r="N117" s="16">
        <f>L117/J117</f>
        <v/>
      </c>
      <c r="O117" s="18" t="n">
        <v>0</v>
      </c>
      <c r="P117" s="18" t="n">
        <v>0</v>
      </c>
      <c r="Q117" s="16">
        <f>P117/O117</f>
        <v/>
      </c>
      <c r="R117" s="1" t="n">
        <v>634</v>
      </c>
      <c r="S117" s="1" t="n">
        <v>7</v>
      </c>
      <c r="T117" s="1" t="n">
        <v>0</v>
      </c>
      <c r="U117" s="1" t="n">
        <v>0</v>
      </c>
      <c r="V117" s="1" t="n">
        <v>4</v>
      </c>
      <c r="W117" s="1" t="n">
        <v>5</v>
      </c>
      <c r="X117" s="1" t="n">
        <v>3</v>
      </c>
      <c r="Y117" s="1" t="n">
        <v>0</v>
      </c>
      <c r="Z117" s="1" t="n">
        <v>5</v>
      </c>
      <c r="AA117" s="1" t="n">
        <v>0</v>
      </c>
      <c r="AB117" s="1" t="n">
        <v>0</v>
      </c>
      <c r="AC117" s="1" t="n">
        <v>2</v>
      </c>
      <c r="AD117" s="1" t="n">
        <v>0</v>
      </c>
      <c r="AE117" s="1" t="n">
        <v>0</v>
      </c>
      <c r="AF117" s="1" t="n">
        <v>3</v>
      </c>
      <c r="AG117" s="1" t="n">
        <v>1</v>
      </c>
      <c r="AH117" s="1" t="n">
        <v>1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</row>
    <row r="118">
      <c r="A118" s="1" t="inlineStr">
        <is>
          <t>aplastic anemia</t>
        </is>
      </c>
      <c r="B118" s="1" t="inlineStr">
        <is>
          <t>MONDO_0015909</t>
        </is>
      </c>
      <c r="C118" s="1" t="inlineStr">
        <is>
          <t>name</t>
        </is>
      </c>
      <c r="D118" s="1" t="n">
        <v>0.05</v>
      </c>
      <c r="E118" s="15" t="n">
        <v>0</v>
      </c>
      <c r="F118" s="15" t="n">
        <v>220</v>
      </c>
      <c r="G118" s="15" t="n">
        <v>0</v>
      </c>
      <c r="H118" s="16">
        <f>G118/F118</f>
        <v/>
      </c>
      <c r="I118" s="16">
        <f>G118/E118</f>
        <v/>
      </c>
      <c r="J118" s="17" t="n">
        <v>0</v>
      </c>
      <c r="K118" s="17" t="n">
        <v>23</v>
      </c>
      <c r="L118" s="17" t="n">
        <v>0</v>
      </c>
      <c r="M118" s="16">
        <f>L118/K118</f>
        <v/>
      </c>
      <c r="N118" s="16">
        <f>L118/J118</f>
        <v/>
      </c>
      <c r="O118" s="18" t="n">
        <v>2</v>
      </c>
      <c r="P118" s="18" t="n">
        <v>0</v>
      </c>
      <c r="Q118" s="16">
        <f>P118/O118</f>
        <v/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</row>
    <row r="119">
      <c r="A119" s="1" t="inlineStr">
        <is>
          <t>appendicitis</t>
        </is>
      </c>
      <c r="B119" s="1" t="inlineStr">
        <is>
          <t>EFO_0007149</t>
        </is>
      </c>
      <c r="C119" s="1" t="inlineStr">
        <is>
          <t>name</t>
        </is>
      </c>
      <c r="D119" s="1" t="n">
        <v>0.05</v>
      </c>
      <c r="E119" s="15" t="n">
        <v>1</v>
      </c>
      <c r="F119" s="15" t="n">
        <v>245</v>
      </c>
      <c r="G119" s="15" t="n">
        <v>0</v>
      </c>
      <c r="H119" s="16">
        <f>G119/F119</f>
        <v/>
      </c>
      <c r="I119" s="16">
        <f>G119/E119</f>
        <v/>
      </c>
      <c r="J119" s="17" t="n">
        <v>3</v>
      </c>
      <c r="K119" s="17" t="n">
        <v>73</v>
      </c>
      <c r="L119" s="17" t="n">
        <v>1</v>
      </c>
      <c r="M119" s="16">
        <f>L119/K119</f>
        <v/>
      </c>
      <c r="N119" s="16">
        <f>L119/J119</f>
        <v/>
      </c>
      <c r="O119" s="18" t="n">
        <v>3</v>
      </c>
      <c r="P119" s="18" t="n">
        <v>0</v>
      </c>
      <c r="Q119" s="16">
        <f>P119/O119</f>
        <v/>
      </c>
      <c r="R119" s="1" t="n">
        <v>149</v>
      </c>
      <c r="S119" s="1" t="n">
        <v>1</v>
      </c>
      <c r="T119" s="1" t="n">
        <v>0</v>
      </c>
      <c r="U119" s="1" t="n">
        <v>0</v>
      </c>
      <c r="V119" s="1" t="n">
        <v>1</v>
      </c>
      <c r="W119" s="1" t="n">
        <v>0</v>
      </c>
      <c r="X119" s="1" t="n">
        <v>0</v>
      </c>
      <c r="Y119" s="1" t="n">
        <v>0</v>
      </c>
      <c r="Z119" s="1" t="n">
        <v>1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</row>
    <row r="120">
      <c r="A120" s="1" t="inlineStr">
        <is>
          <t>arthritis</t>
        </is>
      </c>
      <c r="B120" s="1" t="inlineStr">
        <is>
          <t>EFO_0005856</t>
        </is>
      </c>
      <c r="C120" s="1" t="inlineStr">
        <is>
          <t>name</t>
        </is>
      </c>
      <c r="D120" s="1" t="n">
        <v>0.05</v>
      </c>
      <c r="E120" s="15" t="n">
        <v>2</v>
      </c>
      <c r="F120" s="15" t="n">
        <v>81</v>
      </c>
      <c r="G120" s="15" t="n">
        <v>0</v>
      </c>
      <c r="H120" s="16">
        <f>G120/F120</f>
        <v/>
      </c>
      <c r="I120" s="16">
        <f>G120/E120</f>
        <v/>
      </c>
      <c r="J120" s="17" t="n">
        <v>6</v>
      </c>
      <c r="K120" s="17" t="n">
        <v>72</v>
      </c>
      <c r="L120" s="17" t="n">
        <v>2</v>
      </c>
      <c r="M120" s="16">
        <f>L120/K120</f>
        <v/>
      </c>
      <c r="N120" s="16">
        <f>L120/J120</f>
        <v/>
      </c>
      <c r="O120" s="18" t="n">
        <v>1</v>
      </c>
      <c r="P120" s="18" t="n">
        <v>0</v>
      </c>
      <c r="Q120" s="16">
        <f>P120/O120</f>
        <v/>
      </c>
      <c r="R120" s="1" t="n">
        <v>435</v>
      </c>
      <c r="S120" s="1" t="n">
        <v>2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2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2</v>
      </c>
      <c r="AG120" s="1" t="n">
        <v>0</v>
      </c>
      <c r="AH120" s="1" t="n">
        <v>0</v>
      </c>
      <c r="AI120" s="1" t="n">
        <v>1</v>
      </c>
      <c r="AJ120" s="1" t="n">
        <v>3</v>
      </c>
      <c r="AK120" s="1" t="n">
        <v>3</v>
      </c>
      <c r="AL120" s="1" t="n">
        <v>0</v>
      </c>
      <c r="AM120" s="1" t="n">
        <v>1</v>
      </c>
    </row>
    <row r="121">
      <c r="A121" s="1" t="inlineStr">
        <is>
          <t>arthropathy</t>
        </is>
      </c>
      <c r="B121" s="1" t="inlineStr">
        <is>
          <t>HP_0003040</t>
        </is>
      </c>
      <c r="C121" s="1" t="inlineStr">
        <is>
          <t>name</t>
        </is>
      </c>
      <c r="D121" s="1" t="n">
        <v>0.05</v>
      </c>
      <c r="E121" s="15" t="n">
        <v>1</v>
      </c>
      <c r="F121" s="15" t="n">
        <v>158</v>
      </c>
      <c r="G121" s="15" t="n">
        <v>0</v>
      </c>
      <c r="H121" s="16">
        <f>G121/F121</f>
        <v/>
      </c>
      <c r="I121" s="16">
        <f>G121/E121</f>
        <v/>
      </c>
      <c r="J121" s="17" t="n">
        <v>3</v>
      </c>
      <c r="K121" s="17" t="n">
        <v>96</v>
      </c>
      <c r="L121" s="17" t="n">
        <v>1</v>
      </c>
      <c r="M121" s="16">
        <f>L121/K121</f>
        <v/>
      </c>
      <c r="N121" s="16">
        <f>L121/J121</f>
        <v/>
      </c>
      <c r="O121" s="18" t="n">
        <v>2</v>
      </c>
      <c r="P121" s="18" t="n">
        <v>0</v>
      </c>
      <c r="Q121" s="16">
        <f>P121/O121</f>
        <v/>
      </c>
      <c r="R121" s="1" t="n">
        <v>66</v>
      </c>
      <c r="S121" s="1" t="n">
        <v>1</v>
      </c>
      <c r="T121" s="1" t="n">
        <v>0</v>
      </c>
      <c r="U121" s="1" t="n">
        <v>0</v>
      </c>
      <c r="V121" s="1" t="n">
        <v>1</v>
      </c>
      <c r="W121" s="1" t="n">
        <v>1</v>
      </c>
      <c r="X121" s="1" t="n">
        <v>0</v>
      </c>
      <c r="Y121" s="1" t="n">
        <v>0</v>
      </c>
      <c r="Z121" s="1" t="n">
        <v>1</v>
      </c>
      <c r="AA121" s="1" t="n">
        <v>0</v>
      </c>
      <c r="AB121" s="1" t="n">
        <v>0</v>
      </c>
      <c r="AC121" s="1" t="n">
        <v>1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</row>
    <row r="122">
      <c r="A122" s="1" t="inlineStr">
        <is>
          <t>asthma</t>
        </is>
      </c>
      <c r="B122" s="1" t="inlineStr">
        <is>
          <t>MONDO_0004979</t>
        </is>
      </c>
      <c r="C122" s="1" t="inlineStr">
        <is>
          <t>name</t>
        </is>
      </c>
      <c r="D122" s="1" t="n">
        <v>0.05</v>
      </c>
      <c r="E122" s="15" t="n">
        <v>13</v>
      </c>
      <c r="F122" s="15" t="n">
        <v>0</v>
      </c>
      <c r="G122" s="15" t="n">
        <v>0</v>
      </c>
      <c r="H122" s="16">
        <f>G122/F122</f>
        <v/>
      </c>
      <c r="I122" s="16">
        <f>G122/E122</f>
        <v/>
      </c>
      <c r="J122" s="17" t="n">
        <v>38</v>
      </c>
      <c r="K122" s="17" t="n">
        <v>3</v>
      </c>
      <c r="L122" s="17" t="n">
        <v>0</v>
      </c>
      <c r="M122" s="16">
        <f>L122/K122</f>
        <v/>
      </c>
      <c r="N122" s="16">
        <f>L122/J122</f>
        <v/>
      </c>
      <c r="O122" s="18" t="n">
        <v>0</v>
      </c>
      <c r="P122" s="18" t="n">
        <v>0</v>
      </c>
      <c r="Q122" s="16">
        <f>P122/O122</f>
        <v/>
      </c>
      <c r="R122" s="1" t="n">
        <v>1993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1</v>
      </c>
      <c r="AK122" s="1" t="n">
        <v>0</v>
      </c>
      <c r="AL122" s="1" t="n">
        <v>0</v>
      </c>
      <c r="AM122" s="1" t="n">
        <v>0</v>
      </c>
    </row>
    <row r="123">
      <c r="A123" s="1" t="inlineStr">
        <is>
          <t>astrocytoma</t>
        </is>
      </c>
      <c r="B123" s="1" t="inlineStr">
        <is>
          <t>EFO_0000272</t>
        </is>
      </c>
      <c r="C123" s="1" t="inlineStr">
        <is>
          <t>name</t>
        </is>
      </c>
      <c r="D123" s="1" t="n">
        <v>0.05</v>
      </c>
      <c r="E123" s="15" t="n">
        <v>8</v>
      </c>
      <c r="F123" s="15" t="n">
        <v>162</v>
      </c>
      <c r="G123" s="15" t="n">
        <v>1</v>
      </c>
      <c r="H123" s="16">
        <f>G123/F123</f>
        <v/>
      </c>
      <c r="I123" s="16">
        <f>G123/E123</f>
        <v/>
      </c>
      <c r="J123" s="17" t="n">
        <v>6</v>
      </c>
      <c r="K123" s="17" t="n">
        <v>52</v>
      </c>
      <c r="L123" s="17" t="n">
        <v>0</v>
      </c>
      <c r="M123" s="16">
        <f>L123/K123</f>
        <v/>
      </c>
      <c r="N123" s="16">
        <f>L123/J123</f>
        <v/>
      </c>
      <c r="O123" s="18" t="n">
        <v>1</v>
      </c>
      <c r="P123" s="18" t="n">
        <v>0</v>
      </c>
      <c r="Q123" s="16">
        <f>P123/O123</f>
        <v/>
      </c>
      <c r="R123" s="1" t="n">
        <v>267</v>
      </c>
      <c r="S123" s="1" t="n">
        <v>1</v>
      </c>
      <c r="T123" s="1" t="n">
        <v>0</v>
      </c>
      <c r="U123" s="1" t="n">
        <v>0</v>
      </c>
      <c r="V123" s="1" t="n">
        <v>0</v>
      </c>
      <c r="W123" s="1" t="n">
        <v>1</v>
      </c>
      <c r="X123" s="1" t="n">
        <v>0</v>
      </c>
      <c r="Y123" s="1" t="n">
        <v>0</v>
      </c>
      <c r="Z123" s="1" t="n">
        <v>1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2</v>
      </c>
      <c r="AK123" s="1" t="n">
        <v>0</v>
      </c>
      <c r="AL123" s="1" t="n">
        <v>0</v>
      </c>
      <c r="AM123" s="1" t="n">
        <v>0</v>
      </c>
    </row>
    <row r="124">
      <c r="A124" s="1" t="inlineStr">
        <is>
          <t>atherosclerosis</t>
        </is>
      </c>
      <c r="B124" s="1" t="inlineStr">
        <is>
          <t>EFO_0003914</t>
        </is>
      </c>
      <c r="C124" s="1" t="inlineStr">
        <is>
          <t>name</t>
        </is>
      </c>
      <c r="D124" s="1" t="n">
        <v>0.05</v>
      </c>
      <c r="E124" s="15" t="n">
        <v>9</v>
      </c>
      <c r="F124" s="15" t="n">
        <v>103</v>
      </c>
      <c r="G124" s="15" t="n">
        <v>1</v>
      </c>
      <c r="H124" s="16">
        <f>G124/F124</f>
        <v/>
      </c>
      <c r="I124" s="16">
        <f>G124/E124</f>
        <v/>
      </c>
      <c r="J124" s="17" t="n">
        <v>23</v>
      </c>
      <c r="K124" s="17" t="n">
        <v>0</v>
      </c>
      <c r="L124" s="17" t="n">
        <v>0</v>
      </c>
      <c r="M124" s="16">
        <f>L124/K124</f>
        <v/>
      </c>
      <c r="N124" s="16">
        <f>L124/J124</f>
        <v/>
      </c>
      <c r="O124" s="18" t="n">
        <v>0</v>
      </c>
      <c r="P124" s="18" t="n">
        <v>0</v>
      </c>
      <c r="Q124" s="16">
        <f>P124/O124</f>
        <v/>
      </c>
      <c r="R124" s="1" t="n">
        <v>745</v>
      </c>
      <c r="S124" s="1" t="n">
        <v>1</v>
      </c>
      <c r="T124" s="1" t="n">
        <v>0</v>
      </c>
      <c r="U124" s="1" t="n">
        <v>0</v>
      </c>
      <c r="V124" s="1" t="n">
        <v>0</v>
      </c>
      <c r="W124" s="1" t="n">
        <v>1</v>
      </c>
      <c r="X124" s="1" t="n">
        <v>0</v>
      </c>
      <c r="Y124" s="1" t="n">
        <v>0</v>
      </c>
      <c r="Z124" s="1" t="n">
        <v>1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1</v>
      </c>
      <c r="AM124" s="1" t="n">
        <v>0</v>
      </c>
    </row>
    <row r="125">
      <c r="A125" s="1" t="inlineStr">
        <is>
          <t>autism spectrum disorder</t>
        </is>
      </c>
      <c r="B125" s="1" t="inlineStr">
        <is>
          <t>EFO_0003756</t>
        </is>
      </c>
      <c r="C125" s="1" t="inlineStr">
        <is>
          <t>name</t>
        </is>
      </c>
      <c r="D125" s="1" t="n">
        <v>0.05</v>
      </c>
      <c r="E125" s="15" t="n">
        <v>3</v>
      </c>
      <c r="F125" s="15" t="n">
        <v>153</v>
      </c>
      <c r="G125" s="15" t="n">
        <v>0</v>
      </c>
      <c r="H125" s="16">
        <f>G125/F125</f>
        <v/>
      </c>
      <c r="I125" s="16">
        <f>G125/E125</f>
        <v/>
      </c>
      <c r="J125" s="17" t="n">
        <v>14</v>
      </c>
      <c r="K125" s="17" t="n">
        <v>12</v>
      </c>
      <c r="L125" s="17" t="n">
        <v>0</v>
      </c>
      <c r="M125" s="16">
        <f>L125/K125</f>
        <v/>
      </c>
      <c r="N125" s="16">
        <f>L125/J125</f>
        <v/>
      </c>
      <c r="O125" s="18" t="n">
        <v>0</v>
      </c>
      <c r="P125" s="18" t="n">
        <v>0</v>
      </c>
      <c r="Q125" s="16">
        <f>P125/O125</f>
        <v/>
      </c>
      <c r="R125" s="1" t="n">
        <v>366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</row>
    <row r="126">
      <c r="A126" s="1" t="inlineStr">
        <is>
          <t>autoimmune thrombocytopenic purpura</t>
        </is>
      </c>
      <c r="B126" s="1" t="inlineStr">
        <is>
          <t>EFO_0007160</t>
        </is>
      </c>
      <c r="C126" s="1" t="inlineStr">
        <is>
          <t>name</t>
        </is>
      </c>
      <c r="D126" s="1" t="n">
        <v>0.05</v>
      </c>
      <c r="E126" s="15" t="n">
        <v>11</v>
      </c>
      <c r="F126" s="15" t="n">
        <v>379</v>
      </c>
      <c r="G126" s="15" t="n">
        <v>11</v>
      </c>
      <c r="H126" s="16">
        <f>G126/F126</f>
        <v/>
      </c>
      <c r="I126" s="16">
        <f>G126/E126</f>
        <v/>
      </c>
      <c r="J126" s="17" t="n">
        <v>16</v>
      </c>
      <c r="K126" s="17" t="n">
        <v>28</v>
      </c>
      <c r="L126" s="17" t="n">
        <v>2</v>
      </c>
      <c r="M126" s="16">
        <f>L126/K126</f>
        <v/>
      </c>
      <c r="N126" s="16">
        <f>L126/J126</f>
        <v/>
      </c>
      <c r="O126" s="18" t="n">
        <v>3</v>
      </c>
      <c r="P126" s="18" t="n">
        <v>0</v>
      </c>
      <c r="Q126" s="16">
        <f>P126/O126</f>
        <v/>
      </c>
      <c r="R126" s="1" t="n">
        <v>605</v>
      </c>
      <c r="S126" s="1" t="n">
        <v>13</v>
      </c>
      <c r="T126" s="1" t="n">
        <v>0</v>
      </c>
      <c r="U126" s="1" t="n">
        <v>2</v>
      </c>
      <c r="V126" s="1" t="n">
        <v>18</v>
      </c>
      <c r="W126" s="1" t="n">
        <v>14</v>
      </c>
      <c r="X126" s="1" t="n">
        <v>7</v>
      </c>
      <c r="Y126" s="1" t="n">
        <v>4</v>
      </c>
      <c r="Z126" s="1" t="n">
        <v>9</v>
      </c>
      <c r="AA126" s="1" t="n">
        <v>0</v>
      </c>
      <c r="AB126" s="1" t="n">
        <v>6</v>
      </c>
      <c r="AC126" s="1" t="n">
        <v>6</v>
      </c>
      <c r="AD126" s="1" t="n">
        <v>0</v>
      </c>
      <c r="AE126" s="1" t="n">
        <v>1</v>
      </c>
      <c r="AF126" s="1" t="n">
        <v>3</v>
      </c>
      <c r="AG126" s="1" t="n">
        <v>6</v>
      </c>
      <c r="AH126" s="1" t="n">
        <v>6</v>
      </c>
      <c r="AI126" s="1" t="n">
        <v>0</v>
      </c>
      <c r="AJ126" s="1" t="n">
        <v>8</v>
      </c>
      <c r="AK126" s="1" t="n">
        <v>0</v>
      </c>
      <c r="AL126" s="1" t="n">
        <v>4</v>
      </c>
      <c r="AM126" s="1" t="n">
        <v>0</v>
      </c>
    </row>
    <row r="127">
      <c r="A127" s="1" t="inlineStr">
        <is>
          <t>Barrett's esophagus</t>
        </is>
      </c>
      <c r="B127" s="1" t="inlineStr">
        <is>
          <t>EFO_0000280</t>
        </is>
      </c>
      <c r="C127" s="1" t="inlineStr">
        <is>
          <t>name</t>
        </is>
      </c>
      <c r="D127" s="1" t="n">
        <v>0.05</v>
      </c>
      <c r="E127" s="15" t="n">
        <v>2</v>
      </c>
      <c r="F127" s="15" t="n">
        <v>290</v>
      </c>
      <c r="G127" s="15" t="n">
        <v>1</v>
      </c>
      <c r="H127" s="16">
        <f>G127/F127</f>
        <v/>
      </c>
      <c r="I127" s="16">
        <f>G127/E127</f>
        <v/>
      </c>
      <c r="J127" s="17" t="n">
        <v>7</v>
      </c>
      <c r="K127" s="17" t="n">
        <v>1</v>
      </c>
      <c r="L127" s="17" t="n">
        <v>0</v>
      </c>
      <c r="M127" s="16">
        <f>L127/K127</f>
        <v/>
      </c>
      <c r="N127" s="16">
        <f>L127/J127</f>
        <v/>
      </c>
      <c r="O127" s="18" t="n">
        <v>1</v>
      </c>
      <c r="P127" s="18" t="n">
        <v>0</v>
      </c>
      <c r="Q127" s="16">
        <f>P127/O127</f>
        <v/>
      </c>
      <c r="R127" s="1" t="n">
        <v>230</v>
      </c>
      <c r="S127" s="1" t="n">
        <v>1</v>
      </c>
      <c r="T127" s="1" t="n">
        <v>0</v>
      </c>
      <c r="U127" s="1" t="n">
        <v>0</v>
      </c>
      <c r="V127" s="1" t="n">
        <v>1</v>
      </c>
      <c r="W127" s="1" t="n">
        <v>0</v>
      </c>
      <c r="X127" s="1" t="n">
        <v>0</v>
      </c>
      <c r="Y127" s="1" t="n">
        <v>1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1</v>
      </c>
      <c r="AM127" s="1" t="n">
        <v>0</v>
      </c>
    </row>
    <row r="128">
      <c r="A128" s="1" t="inlineStr">
        <is>
          <t>bipolar disorder</t>
        </is>
      </c>
      <c r="B128" s="1" t="inlineStr">
        <is>
          <t>MONDO_0004985</t>
        </is>
      </c>
      <c r="C128" s="1" t="inlineStr">
        <is>
          <t>name</t>
        </is>
      </c>
      <c r="D128" s="1" t="n">
        <v>0.05</v>
      </c>
      <c r="E128" s="15" t="n">
        <v>9</v>
      </c>
      <c r="F128" s="15" t="n">
        <v>0</v>
      </c>
      <c r="G128" s="15" t="n">
        <v>0</v>
      </c>
      <c r="H128" s="16">
        <f>G128/F128</f>
        <v/>
      </c>
      <c r="I128" s="16">
        <f>G128/E128</f>
        <v/>
      </c>
      <c r="J128" s="17" t="n">
        <v>28</v>
      </c>
      <c r="K128" s="17" t="n">
        <v>80</v>
      </c>
      <c r="L128" s="17" t="n">
        <v>6</v>
      </c>
      <c r="M128" s="16">
        <f>L128/K128</f>
        <v/>
      </c>
      <c r="N128" s="16">
        <f>L128/J128</f>
        <v/>
      </c>
      <c r="O128" s="18" t="n">
        <v>0</v>
      </c>
      <c r="P128" s="18" t="n">
        <v>0</v>
      </c>
      <c r="Q128" s="16">
        <f>P128/O128</f>
        <v/>
      </c>
      <c r="R128" s="1" t="n">
        <v>1146</v>
      </c>
      <c r="S128" s="1" t="n">
        <v>6</v>
      </c>
      <c r="T128" s="1" t="n">
        <v>0</v>
      </c>
      <c r="U128" s="1" t="n">
        <v>1</v>
      </c>
      <c r="V128" s="1" t="n">
        <v>6</v>
      </c>
      <c r="W128" s="1" t="n">
        <v>7</v>
      </c>
      <c r="X128" s="1" t="n">
        <v>5</v>
      </c>
      <c r="Y128" s="1" t="n">
        <v>0</v>
      </c>
      <c r="Z128" s="1" t="n">
        <v>8</v>
      </c>
      <c r="AA128" s="1" t="n">
        <v>0</v>
      </c>
      <c r="AB128" s="1" t="n">
        <v>0</v>
      </c>
      <c r="AC128" s="1" t="n">
        <v>1</v>
      </c>
      <c r="AD128" s="1" t="n">
        <v>0</v>
      </c>
      <c r="AE128" s="1" t="n">
        <v>4</v>
      </c>
      <c r="AF128" s="1" t="n">
        <v>1</v>
      </c>
      <c r="AG128" s="1" t="n">
        <v>3</v>
      </c>
      <c r="AH128" s="1" t="n">
        <v>2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</row>
    <row r="129">
      <c r="A129" s="1" t="inlineStr">
        <is>
          <t>breast adenocarcinoma</t>
        </is>
      </c>
      <c r="B129" s="1" t="inlineStr">
        <is>
          <t>EFO_0000304</t>
        </is>
      </c>
      <c r="C129" s="1" t="inlineStr">
        <is>
          <t>name</t>
        </is>
      </c>
      <c r="D129" s="1" t="n">
        <v>0.05</v>
      </c>
      <c r="E129" s="15" t="n">
        <v>12</v>
      </c>
      <c r="F129" s="15" t="n">
        <v>260</v>
      </c>
      <c r="G129" s="15" t="n">
        <v>8</v>
      </c>
      <c r="H129" s="16">
        <f>G129/F129</f>
        <v/>
      </c>
      <c r="I129" s="16">
        <f>G129/E129</f>
        <v/>
      </c>
      <c r="J129" s="17" t="n">
        <v>9</v>
      </c>
      <c r="K129" s="17" t="n">
        <v>70</v>
      </c>
      <c r="L129" s="17" t="n">
        <v>2</v>
      </c>
      <c r="M129" s="16">
        <f>L129/K129</f>
        <v/>
      </c>
      <c r="N129" s="16">
        <f>L129/J129</f>
        <v/>
      </c>
      <c r="O129" s="18" t="n">
        <v>3</v>
      </c>
      <c r="P129" s="18" t="n">
        <v>0</v>
      </c>
      <c r="Q129" s="16">
        <f>P129/O129</f>
        <v/>
      </c>
      <c r="R129" s="1" t="n">
        <v>512</v>
      </c>
      <c r="S129" s="1" t="n">
        <v>10</v>
      </c>
      <c r="T129" s="1" t="n">
        <v>0</v>
      </c>
      <c r="U129" s="1" t="n">
        <v>4</v>
      </c>
      <c r="V129" s="1" t="n">
        <v>4</v>
      </c>
      <c r="W129" s="1" t="n">
        <v>11</v>
      </c>
      <c r="X129" s="1" t="n">
        <v>0</v>
      </c>
      <c r="Y129" s="1" t="n">
        <v>10</v>
      </c>
      <c r="Z129" s="1" t="n">
        <v>5</v>
      </c>
      <c r="AA129" s="1" t="n">
        <v>0</v>
      </c>
      <c r="AB129" s="1" t="n">
        <v>0</v>
      </c>
      <c r="AC129" s="1" t="n">
        <v>0</v>
      </c>
      <c r="AD129" s="1" t="n">
        <v>2</v>
      </c>
      <c r="AE129" s="1" t="n">
        <v>2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</row>
    <row r="130">
      <c r="A130" s="1" t="inlineStr">
        <is>
          <t>bronchopulmonary dysplasia</t>
        </is>
      </c>
      <c r="B130" s="1" t="inlineStr">
        <is>
          <t>MONDO_0019091</t>
        </is>
      </c>
      <c r="C130" s="1" t="inlineStr">
        <is>
          <t>name</t>
        </is>
      </c>
      <c r="D130" s="1" t="n">
        <v>0.05</v>
      </c>
      <c r="E130" s="15" t="n">
        <v>4</v>
      </c>
      <c r="F130" s="15" t="n">
        <v>146</v>
      </c>
      <c r="G130" s="15" t="n">
        <v>2</v>
      </c>
      <c r="H130" s="16">
        <f>G130/F130</f>
        <v/>
      </c>
      <c r="I130" s="16">
        <f>G130/E130</f>
        <v/>
      </c>
      <c r="J130" s="17" t="n">
        <v>6</v>
      </c>
      <c r="K130" s="17" t="n">
        <v>27</v>
      </c>
      <c r="L130" s="17" t="n">
        <v>1</v>
      </c>
      <c r="M130" s="16">
        <f>L130/K130</f>
        <v/>
      </c>
      <c r="N130" s="16">
        <f>L130/J130</f>
        <v/>
      </c>
      <c r="O130" s="18" t="n">
        <v>0</v>
      </c>
      <c r="P130" s="18" t="n">
        <v>0</v>
      </c>
      <c r="Q130" s="16">
        <f>P130/O130</f>
        <v/>
      </c>
      <c r="R130" s="1" t="n">
        <v>448</v>
      </c>
      <c r="S130" s="1" t="n">
        <v>3</v>
      </c>
      <c r="T130" s="1" t="n">
        <v>0</v>
      </c>
      <c r="U130" s="1" t="n">
        <v>1</v>
      </c>
      <c r="V130" s="1" t="n">
        <v>3</v>
      </c>
      <c r="W130" s="1" t="n">
        <v>2</v>
      </c>
      <c r="X130" s="1" t="n">
        <v>0</v>
      </c>
      <c r="Y130" s="1" t="n">
        <v>0</v>
      </c>
      <c r="Z130" s="1" t="n">
        <v>4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1</v>
      </c>
      <c r="AH130" s="1" t="n">
        <v>1</v>
      </c>
      <c r="AI130" s="1" t="n">
        <v>0</v>
      </c>
      <c r="AJ130" s="1" t="n">
        <v>1</v>
      </c>
      <c r="AK130" s="1" t="n">
        <v>0</v>
      </c>
      <c r="AL130" s="1" t="n">
        <v>2</v>
      </c>
      <c r="AM130" s="1" t="n">
        <v>1</v>
      </c>
    </row>
    <row r="131">
      <c r="A131" s="1" t="inlineStr">
        <is>
          <t>Cardiomyopathy</t>
        </is>
      </c>
      <c r="B131" s="1" t="inlineStr">
        <is>
          <t>EFO_0000318</t>
        </is>
      </c>
      <c r="C131" s="1" t="inlineStr">
        <is>
          <t>name</t>
        </is>
      </c>
      <c r="D131" s="1" t="n">
        <v>0.05</v>
      </c>
      <c r="E131" s="15" t="n">
        <v>2</v>
      </c>
      <c r="F131" s="15" t="n">
        <v>214</v>
      </c>
      <c r="G131" s="15" t="n">
        <v>1</v>
      </c>
      <c r="H131" s="16">
        <f>G131/F131</f>
        <v/>
      </c>
      <c r="I131" s="16">
        <f>G131/E131</f>
        <v/>
      </c>
      <c r="J131" s="17" t="n">
        <v>6</v>
      </c>
      <c r="K131" s="17" t="n">
        <v>11</v>
      </c>
      <c r="L131" s="17" t="n">
        <v>0</v>
      </c>
      <c r="M131" s="16">
        <f>L131/K131</f>
        <v/>
      </c>
      <c r="N131" s="16">
        <f>L131/J131</f>
        <v/>
      </c>
      <c r="O131" s="18" t="n">
        <v>1</v>
      </c>
      <c r="P131" s="18" t="n">
        <v>0</v>
      </c>
      <c r="Q131" s="16">
        <f>P131/O131</f>
        <v/>
      </c>
      <c r="R131" s="1" t="n">
        <v>194</v>
      </c>
      <c r="S131" s="1" t="n">
        <v>1</v>
      </c>
      <c r="T131" s="1" t="n">
        <v>0</v>
      </c>
      <c r="U131" s="1" t="n">
        <v>0</v>
      </c>
      <c r="V131" s="1" t="n">
        <v>0</v>
      </c>
      <c r="W131" s="1" t="n">
        <v>1</v>
      </c>
      <c r="X131" s="1" t="n">
        <v>0</v>
      </c>
      <c r="Y131" s="1" t="n">
        <v>0</v>
      </c>
      <c r="Z131" s="1" t="n">
        <v>1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1</v>
      </c>
      <c r="AM131" s="1" t="n">
        <v>0</v>
      </c>
    </row>
    <row r="132">
      <c r="A132" s="1" t="inlineStr">
        <is>
          <t>cerebral palsy</t>
        </is>
      </c>
      <c r="B132" s="1" t="inlineStr">
        <is>
          <t>EFO_1000632</t>
        </is>
      </c>
      <c r="C132" s="1" t="inlineStr">
        <is>
          <t>name</t>
        </is>
      </c>
      <c r="D132" s="1" t="n">
        <v>0.05</v>
      </c>
      <c r="E132" s="15" t="n">
        <v>0</v>
      </c>
      <c r="F132" s="15" t="n">
        <v>125</v>
      </c>
      <c r="G132" s="15" t="n">
        <v>0</v>
      </c>
      <c r="H132" s="16">
        <f>G132/F132</f>
        <v/>
      </c>
      <c r="I132" s="16">
        <f>G132/E132</f>
        <v/>
      </c>
      <c r="J132" s="17" t="n">
        <v>3</v>
      </c>
      <c r="K132" s="17" t="n">
        <v>14</v>
      </c>
      <c r="L132" s="17" t="n">
        <v>1</v>
      </c>
      <c r="M132" s="16">
        <f>L132/K132</f>
        <v/>
      </c>
      <c r="N132" s="16">
        <f>L132/J132</f>
        <v/>
      </c>
      <c r="O132" s="18" t="n">
        <v>0</v>
      </c>
      <c r="P132" s="18" t="n">
        <v>0</v>
      </c>
      <c r="Q132" s="16">
        <f>P132/O132</f>
        <v/>
      </c>
      <c r="R132" s="1" t="n">
        <v>287</v>
      </c>
      <c r="S132" s="1" t="n">
        <v>1</v>
      </c>
      <c r="T132" s="1" t="n">
        <v>0</v>
      </c>
      <c r="U132" s="1" t="n">
        <v>0</v>
      </c>
      <c r="V132" s="1" t="n">
        <v>1</v>
      </c>
      <c r="W132" s="1" t="n">
        <v>1</v>
      </c>
      <c r="X132" s="1" t="n">
        <v>3</v>
      </c>
      <c r="Y132" s="1" t="n">
        <v>0</v>
      </c>
      <c r="Z132" s="1" t="n">
        <v>3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1</v>
      </c>
      <c r="AF132" s="1" t="n">
        <v>1</v>
      </c>
      <c r="AG132" s="1" t="n">
        <v>0</v>
      </c>
      <c r="AH132" s="1" t="n">
        <v>0</v>
      </c>
      <c r="AI132" s="1" t="n">
        <v>0</v>
      </c>
      <c r="AJ132" s="1" t="n">
        <v>2</v>
      </c>
      <c r="AK132" s="1" t="n">
        <v>1</v>
      </c>
      <c r="AL132" s="1" t="n">
        <v>0</v>
      </c>
      <c r="AM132" s="1" t="n">
        <v>0</v>
      </c>
    </row>
    <row r="133">
      <c r="A133" s="1" t="inlineStr">
        <is>
          <t>cervical cancer</t>
        </is>
      </c>
      <c r="B133" s="1" t="inlineStr">
        <is>
          <t>MONDO_0002974</t>
        </is>
      </c>
      <c r="C133" s="1" t="inlineStr">
        <is>
          <t>name</t>
        </is>
      </c>
      <c r="D133" s="1" t="n">
        <v>0.05</v>
      </c>
      <c r="E133" s="15" t="n">
        <v>23</v>
      </c>
      <c r="F133" s="15" t="n">
        <v>179</v>
      </c>
      <c r="G133" s="15" t="n">
        <v>9</v>
      </c>
      <c r="H133" s="16">
        <f>G133/F133</f>
        <v/>
      </c>
      <c r="I133" s="16">
        <f>G133/E133</f>
        <v/>
      </c>
      <c r="J133" s="17" t="n">
        <v>15</v>
      </c>
      <c r="K133" s="17" t="n">
        <v>117</v>
      </c>
      <c r="L133" s="17" t="n">
        <v>2</v>
      </c>
      <c r="M133" s="16">
        <f>L133/K133</f>
        <v/>
      </c>
      <c r="N133" s="16">
        <f>L133/J133</f>
        <v/>
      </c>
      <c r="O133" s="18" t="n">
        <v>4</v>
      </c>
      <c r="P133" s="18" t="n">
        <v>0</v>
      </c>
      <c r="Q133" s="16">
        <f>P133/O133</f>
        <v/>
      </c>
      <c r="R133" s="1" t="n">
        <v>1023</v>
      </c>
      <c r="S133" s="1" t="n">
        <v>11</v>
      </c>
      <c r="T133" s="1" t="n">
        <v>0</v>
      </c>
      <c r="U133" s="1" t="n">
        <v>8</v>
      </c>
      <c r="V133" s="1" t="n">
        <v>15</v>
      </c>
      <c r="W133" s="1" t="n">
        <v>17</v>
      </c>
      <c r="X133" s="1" t="n">
        <v>0</v>
      </c>
      <c r="Y133" s="1" t="n">
        <v>4</v>
      </c>
      <c r="Z133" s="1" t="n">
        <v>13</v>
      </c>
      <c r="AA133" s="1" t="n">
        <v>0</v>
      </c>
      <c r="AB133" s="1" t="n">
        <v>4</v>
      </c>
      <c r="AC133" s="1" t="n">
        <v>5</v>
      </c>
      <c r="AD133" s="1" t="n">
        <v>0</v>
      </c>
      <c r="AE133" s="1" t="n">
        <v>4</v>
      </c>
      <c r="AF133" s="1" t="n">
        <v>0</v>
      </c>
      <c r="AG133" s="1" t="n">
        <v>5</v>
      </c>
      <c r="AH133" s="1" t="n">
        <v>5</v>
      </c>
      <c r="AI133" s="1" t="n">
        <v>0</v>
      </c>
      <c r="AJ133" s="1" t="n">
        <v>1</v>
      </c>
      <c r="AK133" s="1" t="n">
        <v>3</v>
      </c>
      <c r="AL133" s="1" t="n">
        <v>6</v>
      </c>
      <c r="AM133" s="1" t="n">
        <v>6</v>
      </c>
    </row>
    <row r="134">
      <c r="A134" s="1" t="inlineStr">
        <is>
          <t>chronic granulomatous disease</t>
        </is>
      </c>
      <c r="B134" s="1" t="inlineStr">
        <is>
          <t>MONDO_0018305</t>
        </is>
      </c>
      <c r="C134" s="1" t="inlineStr">
        <is>
          <t>name</t>
        </is>
      </c>
      <c r="D134" s="1" t="n">
        <v>0.05</v>
      </c>
      <c r="E134" s="15" t="n">
        <v>4</v>
      </c>
      <c r="F134" s="15" t="n">
        <v>318</v>
      </c>
      <c r="G134" s="15" t="n">
        <v>3</v>
      </c>
      <c r="H134" s="16">
        <f>G134/F134</f>
        <v/>
      </c>
      <c r="I134" s="16">
        <f>G134/E134</f>
        <v/>
      </c>
      <c r="J134" s="17" t="n">
        <v>3</v>
      </c>
      <c r="K134" s="17" t="n">
        <v>54</v>
      </c>
      <c r="L134" s="17" t="n">
        <v>0</v>
      </c>
      <c r="M134" s="16">
        <f>L134/K134</f>
        <v/>
      </c>
      <c r="N134" s="16">
        <f>L134/J134</f>
        <v/>
      </c>
      <c r="O134" s="18" t="n">
        <v>1</v>
      </c>
      <c r="P134" s="18" t="n">
        <v>0</v>
      </c>
      <c r="Q134" s="16">
        <f>P134/O134</f>
        <v/>
      </c>
      <c r="R134" s="1" t="n">
        <v>275</v>
      </c>
      <c r="S134" s="1" t="n">
        <v>3</v>
      </c>
      <c r="T134" s="1" t="n">
        <v>1</v>
      </c>
      <c r="U134" s="1" t="n">
        <v>5</v>
      </c>
      <c r="V134" s="1" t="n">
        <v>0</v>
      </c>
      <c r="W134" s="1" t="n">
        <v>0</v>
      </c>
      <c r="X134" s="1" t="n">
        <v>0</v>
      </c>
      <c r="Y134" s="1" t="n">
        <v>1</v>
      </c>
      <c r="Z134" s="1" t="n">
        <v>0</v>
      </c>
      <c r="AA134" s="1" t="n">
        <v>1</v>
      </c>
      <c r="AB134" s="1" t="n">
        <v>0</v>
      </c>
      <c r="AC134" s="1" t="n">
        <v>2</v>
      </c>
      <c r="AD134" s="1" t="n">
        <v>0</v>
      </c>
      <c r="AE134" s="1" t="n">
        <v>2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</row>
    <row r="135">
      <c r="A135" s="1" t="inlineStr">
        <is>
          <t>chronic lymphocytic leukemia</t>
        </is>
      </c>
      <c r="B135" s="1" t="inlineStr">
        <is>
          <t>EFO_0000095</t>
        </is>
      </c>
      <c r="C135" s="1" t="inlineStr">
        <is>
          <t>name</t>
        </is>
      </c>
      <c r="D135" s="1" t="n">
        <v>0.05</v>
      </c>
      <c r="E135" s="15" t="n">
        <v>25</v>
      </c>
      <c r="F135" s="15" t="n">
        <v>78</v>
      </c>
      <c r="G135" s="15" t="n">
        <v>5</v>
      </c>
      <c r="H135" s="16">
        <f>G135/F135</f>
        <v/>
      </c>
      <c r="I135" s="16">
        <f>G135/E135</f>
        <v/>
      </c>
      <c r="J135" s="17" t="n">
        <v>28</v>
      </c>
      <c r="K135" s="17" t="n">
        <v>86</v>
      </c>
      <c r="L135" s="17" t="n">
        <v>6</v>
      </c>
      <c r="M135" s="16">
        <f>L135/K135</f>
        <v/>
      </c>
      <c r="N135" s="16">
        <f>L135/J135</f>
        <v/>
      </c>
      <c r="O135" s="18" t="n">
        <v>1</v>
      </c>
      <c r="P135" s="18" t="n">
        <v>0</v>
      </c>
      <c r="Q135" s="16">
        <f>P135/O135</f>
        <v/>
      </c>
      <c r="R135" s="1" t="n">
        <v>1621</v>
      </c>
      <c r="S135" s="1" t="n">
        <v>11</v>
      </c>
      <c r="T135" s="1" t="n">
        <v>1</v>
      </c>
      <c r="U135" s="1" t="n">
        <v>3</v>
      </c>
      <c r="V135" s="1" t="n">
        <v>11</v>
      </c>
      <c r="W135" s="1" t="n">
        <v>1</v>
      </c>
      <c r="X135" s="1" t="n">
        <v>0</v>
      </c>
      <c r="Y135" s="1" t="n">
        <v>1</v>
      </c>
      <c r="Z135" s="1" t="n">
        <v>9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5</v>
      </c>
      <c r="AF135" s="1" t="n">
        <v>0</v>
      </c>
      <c r="AG135" s="1" t="n">
        <v>1</v>
      </c>
      <c r="AH135" s="1" t="n">
        <v>0</v>
      </c>
      <c r="AI135" s="1" t="n">
        <v>0</v>
      </c>
      <c r="AJ135" s="1" t="n">
        <v>1</v>
      </c>
      <c r="AK135" s="1" t="n">
        <v>1</v>
      </c>
      <c r="AL135" s="1" t="n">
        <v>1</v>
      </c>
      <c r="AM135" s="1" t="n">
        <v>0</v>
      </c>
    </row>
    <row r="136">
      <c r="A136" s="1" t="inlineStr">
        <is>
          <t>cleft lip</t>
        </is>
      </c>
      <c r="B136" s="1" t="inlineStr">
        <is>
          <t>EFO_0003959</t>
        </is>
      </c>
      <c r="C136" s="1" t="inlineStr">
        <is>
          <t>name</t>
        </is>
      </c>
      <c r="D136" s="1" t="n">
        <v>0.05</v>
      </c>
      <c r="E136" s="15" t="n">
        <v>0</v>
      </c>
      <c r="F136" s="15" t="n">
        <v>89</v>
      </c>
      <c r="G136" s="15" t="n">
        <v>0</v>
      </c>
      <c r="H136" s="16">
        <f>G136/F136</f>
        <v/>
      </c>
      <c r="I136" s="16">
        <f>G136/E136</f>
        <v/>
      </c>
      <c r="J136" s="17" t="n">
        <v>0</v>
      </c>
      <c r="K136" s="17" t="n">
        <v>26</v>
      </c>
      <c r="L136" s="17" t="n">
        <v>0</v>
      </c>
      <c r="M136" s="16">
        <f>L136/K136</f>
        <v/>
      </c>
      <c r="N136" s="16">
        <f>L136/J136</f>
        <v/>
      </c>
      <c r="O136" s="18" t="n">
        <v>0</v>
      </c>
      <c r="P136" s="18" t="n">
        <v>0</v>
      </c>
      <c r="Q136" s="16">
        <f>P136/O136</f>
        <v/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1</v>
      </c>
      <c r="AK136" s="1" t="n">
        <v>0</v>
      </c>
      <c r="AL136" s="1" t="n">
        <v>0</v>
      </c>
      <c r="AM136" s="1" t="n">
        <v>0</v>
      </c>
    </row>
    <row r="137">
      <c r="A137" s="1" t="inlineStr">
        <is>
          <t>colitis</t>
        </is>
      </c>
      <c r="B137" s="1" t="inlineStr">
        <is>
          <t>EFO_0003872</t>
        </is>
      </c>
      <c r="C137" s="1" t="inlineStr">
        <is>
          <t>name</t>
        </is>
      </c>
      <c r="D137" s="1" t="n">
        <v>0.05</v>
      </c>
      <c r="E137" s="15" t="n">
        <v>1</v>
      </c>
      <c r="F137" s="15" t="n">
        <v>305</v>
      </c>
      <c r="G137" s="15" t="n">
        <v>1</v>
      </c>
      <c r="H137" s="16">
        <f>G137/F137</f>
        <v/>
      </c>
      <c r="I137" s="16">
        <f>G137/E137</f>
        <v/>
      </c>
      <c r="J137" s="17" t="n">
        <v>5</v>
      </c>
      <c r="K137" s="17" t="n">
        <v>18</v>
      </c>
      <c r="L137" s="17" t="n">
        <v>0</v>
      </c>
      <c r="M137" s="16">
        <f>L137/K137</f>
        <v/>
      </c>
      <c r="N137" s="16">
        <f>L137/J137</f>
        <v/>
      </c>
      <c r="O137" s="18" t="n">
        <v>0</v>
      </c>
      <c r="P137" s="18" t="n">
        <v>0</v>
      </c>
      <c r="Q137" s="16">
        <f>P137/O137</f>
        <v/>
      </c>
      <c r="R137" s="1" t="n">
        <v>202</v>
      </c>
      <c r="S137" s="1" t="n">
        <v>1</v>
      </c>
      <c r="T137" s="1" t="n">
        <v>0</v>
      </c>
      <c r="U137" s="1" t="n">
        <v>0</v>
      </c>
      <c r="V137" s="1" t="n">
        <v>1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1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</row>
    <row r="138">
      <c r="A138" s="1" t="inlineStr">
        <is>
          <t>colon adenoma</t>
        </is>
      </c>
      <c r="B138" s="1" t="inlineStr">
        <is>
          <t>MONDO_0000527</t>
        </is>
      </c>
      <c r="C138" s="1" t="inlineStr">
        <is>
          <t>name</t>
        </is>
      </c>
      <c r="D138" s="1" t="n">
        <v>0.05</v>
      </c>
      <c r="E138" s="15" t="n">
        <v>1</v>
      </c>
      <c r="F138" s="15" t="n">
        <v>223</v>
      </c>
      <c r="G138" s="15" t="n">
        <v>0</v>
      </c>
      <c r="H138" s="16">
        <f>G138/F138</f>
        <v/>
      </c>
      <c r="I138" s="16">
        <f>G138/E138</f>
        <v/>
      </c>
      <c r="J138" s="17" t="n">
        <v>1</v>
      </c>
      <c r="K138" s="17" t="n">
        <v>173</v>
      </c>
      <c r="L138" s="17" t="n">
        <v>1</v>
      </c>
      <c r="M138" s="16">
        <f>L138/K138</f>
        <v/>
      </c>
      <c r="N138" s="16">
        <f>L138/J138</f>
        <v/>
      </c>
      <c r="O138" s="18" t="n">
        <v>4</v>
      </c>
      <c r="P138" s="18" t="n">
        <v>0</v>
      </c>
      <c r="Q138" s="16">
        <f>P138/O138</f>
        <v/>
      </c>
      <c r="R138" s="1" t="n">
        <v>42</v>
      </c>
      <c r="S138" s="1" t="n">
        <v>1</v>
      </c>
      <c r="T138" s="1" t="n">
        <v>0</v>
      </c>
      <c r="U138" s="1" t="n">
        <v>0</v>
      </c>
      <c r="V138" s="1" t="n">
        <v>0</v>
      </c>
      <c r="W138" s="1" t="n">
        <v>1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1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10</v>
      </c>
      <c r="AK138" s="1" t="n">
        <v>1</v>
      </c>
      <c r="AL138" s="1" t="n">
        <v>3</v>
      </c>
      <c r="AM138" s="1" t="n">
        <v>2</v>
      </c>
    </row>
    <row r="139">
      <c r="A139" s="1" t="inlineStr">
        <is>
          <t>colorectal adenocarcinoma</t>
        </is>
      </c>
      <c r="B139" s="1" t="inlineStr">
        <is>
          <t>EFO_0000365</t>
        </is>
      </c>
      <c r="C139" s="1" t="inlineStr">
        <is>
          <t>name</t>
        </is>
      </c>
      <c r="D139" s="1" t="n">
        <v>0.05</v>
      </c>
      <c r="E139" s="15" t="n">
        <v>19</v>
      </c>
      <c r="F139" s="15" t="n">
        <v>276</v>
      </c>
      <c r="G139" s="15" t="n">
        <v>16</v>
      </c>
      <c r="H139" s="16">
        <f>G139/F139</f>
        <v/>
      </c>
      <c r="I139" s="16">
        <f>G139/E139</f>
        <v/>
      </c>
      <c r="J139" s="17" t="n">
        <v>12</v>
      </c>
      <c r="K139" s="17" t="n">
        <v>21</v>
      </c>
      <c r="L139" s="17" t="n">
        <v>0</v>
      </c>
      <c r="M139" s="16">
        <f>L139/K139</f>
        <v/>
      </c>
      <c r="N139" s="16">
        <f>L139/J139</f>
        <v/>
      </c>
      <c r="O139" s="18" t="n">
        <v>1</v>
      </c>
      <c r="P139" s="18" t="n">
        <v>0</v>
      </c>
      <c r="Q139" s="16">
        <f>P139/O139</f>
        <v/>
      </c>
      <c r="R139" s="1" t="n">
        <v>743</v>
      </c>
      <c r="S139" s="1" t="n">
        <v>16</v>
      </c>
      <c r="T139" s="1" t="n">
        <v>0</v>
      </c>
      <c r="U139" s="1" t="n">
        <v>13</v>
      </c>
      <c r="V139" s="1" t="n">
        <v>20</v>
      </c>
      <c r="W139" s="1" t="n">
        <v>4</v>
      </c>
      <c r="X139" s="1" t="n">
        <v>0</v>
      </c>
      <c r="Y139" s="1" t="n">
        <v>10</v>
      </c>
      <c r="Z139" s="1" t="n">
        <v>13</v>
      </c>
      <c r="AA139" s="1" t="n">
        <v>0</v>
      </c>
      <c r="AB139" s="1" t="n">
        <v>0</v>
      </c>
      <c r="AC139" s="1" t="n">
        <v>3</v>
      </c>
      <c r="AD139" s="1" t="n">
        <v>0</v>
      </c>
      <c r="AE139" s="1" t="n">
        <v>5</v>
      </c>
      <c r="AF139" s="1" t="n">
        <v>0</v>
      </c>
      <c r="AG139" s="1" t="n">
        <v>3</v>
      </c>
      <c r="AH139" s="1" t="n">
        <v>3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</row>
    <row r="140">
      <c r="A140" s="1" t="inlineStr">
        <is>
          <t>colorectal cancer</t>
        </is>
      </c>
      <c r="B140" s="1" t="inlineStr">
        <is>
          <t>MONDO_0005575</t>
        </is>
      </c>
      <c r="C140" s="1" t="inlineStr">
        <is>
          <t>name</t>
        </is>
      </c>
      <c r="D140" s="1" t="n">
        <v>0.05</v>
      </c>
      <c r="E140" s="15" t="n">
        <v>46</v>
      </c>
      <c r="F140" s="15" t="n">
        <v>201</v>
      </c>
      <c r="G140" s="15" t="n">
        <v>26</v>
      </c>
      <c r="H140" s="16">
        <f>G140/F140</f>
        <v/>
      </c>
      <c r="I140" s="16">
        <f>G140/E140</f>
        <v/>
      </c>
      <c r="J140" s="17" t="n">
        <v>36</v>
      </c>
      <c r="K140" s="17" t="n">
        <v>121</v>
      </c>
      <c r="L140" s="17" t="n">
        <v>7</v>
      </c>
      <c r="M140" s="16">
        <f>L140/K140</f>
        <v/>
      </c>
      <c r="N140" s="16">
        <f>L140/J140</f>
        <v/>
      </c>
      <c r="O140" s="18" t="n">
        <v>3</v>
      </c>
      <c r="P140" s="18" t="n">
        <v>0</v>
      </c>
      <c r="Q140" s="16">
        <f>P140/O140</f>
        <v/>
      </c>
      <c r="R140" s="1" t="n">
        <v>2124</v>
      </c>
      <c r="S140" s="1" t="n">
        <v>33</v>
      </c>
      <c r="T140" s="1" t="n">
        <v>1</v>
      </c>
      <c r="U140" s="1" t="n">
        <v>37</v>
      </c>
      <c r="V140" s="1" t="n">
        <v>47</v>
      </c>
      <c r="W140" s="1" t="n">
        <v>20</v>
      </c>
      <c r="X140" s="1" t="n">
        <v>0</v>
      </c>
      <c r="Y140" s="1" t="n">
        <v>7</v>
      </c>
      <c r="Z140" s="1" t="n">
        <v>39</v>
      </c>
      <c r="AA140" s="1" t="n">
        <v>0</v>
      </c>
      <c r="AB140" s="1" t="n">
        <v>5</v>
      </c>
      <c r="AC140" s="1" t="n">
        <v>16</v>
      </c>
      <c r="AD140" s="1" t="n">
        <v>0</v>
      </c>
      <c r="AE140" s="1" t="n">
        <v>15</v>
      </c>
      <c r="AF140" s="1" t="n">
        <v>0</v>
      </c>
      <c r="AG140" s="1" t="n">
        <v>17</v>
      </c>
      <c r="AH140" s="1" t="n">
        <v>6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</row>
    <row r="141">
      <c r="A141" s="1" t="inlineStr">
        <is>
          <t>Crohn's disease</t>
        </is>
      </c>
      <c r="B141" s="1" t="inlineStr">
        <is>
          <t>EFO_0000384</t>
        </is>
      </c>
      <c r="C141" s="1" t="inlineStr">
        <is>
          <t>name</t>
        </is>
      </c>
      <c r="D141" s="1" t="n">
        <v>0.05</v>
      </c>
      <c r="E141" s="15" t="n">
        <v>12</v>
      </c>
      <c r="F141" s="15" t="n">
        <v>332</v>
      </c>
      <c r="G141" s="15" t="n">
        <v>9</v>
      </c>
      <c r="H141" s="16">
        <f>G141/F141</f>
        <v/>
      </c>
      <c r="I141" s="16">
        <f>G141/E141</f>
        <v/>
      </c>
      <c r="J141" s="17" t="n">
        <v>27</v>
      </c>
      <c r="K141" s="17" t="n">
        <v>102</v>
      </c>
      <c r="L141" s="17" t="n">
        <v>2</v>
      </c>
      <c r="M141" s="16">
        <f>L141/K141</f>
        <v/>
      </c>
      <c r="N141" s="16">
        <f>L141/J141</f>
        <v/>
      </c>
      <c r="O141" s="18" t="n">
        <v>4</v>
      </c>
      <c r="P141" s="18" t="n">
        <v>0</v>
      </c>
      <c r="Q141" s="16">
        <f>P141/O141</f>
        <v/>
      </c>
      <c r="R141" s="1" t="n">
        <v>1283</v>
      </c>
      <c r="S141" s="1" t="n">
        <v>11</v>
      </c>
      <c r="T141" s="1" t="n">
        <v>0</v>
      </c>
      <c r="U141" s="1" t="n">
        <v>5</v>
      </c>
      <c r="V141" s="1" t="n">
        <v>7</v>
      </c>
      <c r="W141" s="1" t="n">
        <v>5</v>
      </c>
      <c r="X141" s="1" t="n">
        <v>4</v>
      </c>
      <c r="Y141" s="1" t="n">
        <v>0</v>
      </c>
      <c r="Z141" s="1" t="n">
        <v>12</v>
      </c>
      <c r="AA141" s="1" t="n">
        <v>0</v>
      </c>
      <c r="AB141" s="1" t="n">
        <v>0</v>
      </c>
      <c r="AC141" s="1" t="n">
        <v>1</v>
      </c>
      <c r="AD141" s="1" t="n">
        <v>1</v>
      </c>
      <c r="AE141" s="1" t="n">
        <v>3</v>
      </c>
      <c r="AF141" s="1" t="n">
        <v>3</v>
      </c>
      <c r="AG141" s="1" t="n">
        <v>0</v>
      </c>
      <c r="AH141" s="1" t="n">
        <v>1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</row>
    <row r="142">
      <c r="A142" s="1" t="inlineStr">
        <is>
          <t>cystic fibrosis</t>
        </is>
      </c>
      <c r="B142" s="1" t="inlineStr">
        <is>
          <t>MONDO_0009061</t>
        </is>
      </c>
      <c r="C142" s="1" t="inlineStr">
        <is>
          <t>name</t>
        </is>
      </c>
      <c r="D142" s="1" t="n">
        <v>0.05</v>
      </c>
      <c r="E142" s="15" t="n">
        <v>5</v>
      </c>
      <c r="F142" s="15" t="n">
        <v>338</v>
      </c>
      <c r="G142" s="15" t="n">
        <v>4</v>
      </c>
      <c r="H142" s="16">
        <f>G142/F142</f>
        <v/>
      </c>
      <c r="I142" s="16">
        <f>G142/E142</f>
        <v/>
      </c>
      <c r="J142" s="17" t="n">
        <v>8</v>
      </c>
      <c r="K142" s="17" t="n">
        <v>90</v>
      </c>
      <c r="L142" s="17" t="n">
        <v>0</v>
      </c>
      <c r="M142" s="16">
        <f>L142/K142</f>
        <v/>
      </c>
      <c r="N142" s="16">
        <f>L142/J142</f>
        <v/>
      </c>
      <c r="O142" s="18" t="n">
        <v>3</v>
      </c>
      <c r="P142" s="18" t="n">
        <v>0</v>
      </c>
      <c r="Q142" s="16">
        <f>P142/O142</f>
        <v/>
      </c>
      <c r="R142" s="1" t="n">
        <v>555</v>
      </c>
      <c r="S142" s="1" t="n">
        <v>4</v>
      </c>
      <c r="T142" s="1" t="n">
        <v>0</v>
      </c>
      <c r="U142" s="1" t="n">
        <v>2</v>
      </c>
      <c r="V142" s="1" t="n">
        <v>4</v>
      </c>
      <c r="W142" s="1" t="n">
        <v>2</v>
      </c>
      <c r="X142" s="1" t="n">
        <v>0</v>
      </c>
      <c r="Y142" s="1" t="n">
        <v>0</v>
      </c>
      <c r="Z142" s="1" t="n">
        <v>6</v>
      </c>
      <c r="AA142" s="1" t="n">
        <v>0</v>
      </c>
      <c r="AB142" s="1" t="n">
        <v>0</v>
      </c>
      <c r="AC142" s="1" t="n">
        <v>1</v>
      </c>
      <c r="AD142" s="1" t="n">
        <v>0</v>
      </c>
      <c r="AE142" s="1" t="n">
        <v>1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</row>
    <row r="143">
      <c r="A143" s="1" t="inlineStr">
        <is>
          <t>cystitis</t>
        </is>
      </c>
      <c r="B143" s="1" t="inlineStr">
        <is>
          <t>EFO_1000025</t>
        </is>
      </c>
      <c r="C143" s="1" t="inlineStr">
        <is>
          <t>name</t>
        </is>
      </c>
      <c r="D143" s="1" t="n">
        <v>0.05</v>
      </c>
      <c r="E143" s="15" t="n">
        <v>0</v>
      </c>
      <c r="F143" s="15" t="n">
        <v>60</v>
      </c>
      <c r="G143" s="15" t="n">
        <v>0</v>
      </c>
      <c r="H143" s="16">
        <f>G143/F143</f>
        <v/>
      </c>
      <c r="I143" s="16">
        <f>G143/E143</f>
        <v/>
      </c>
      <c r="J143" s="17" t="n">
        <v>1</v>
      </c>
      <c r="K143" s="17" t="n">
        <v>0</v>
      </c>
      <c r="L143" s="17" t="n">
        <v>0</v>
      </c>
      <c r="M143" s="16">
        <f>L143/K143</f>
        <v/>
      </c>
      <c r="N143" s="16">
        <f>L143/J143</f>
        <v/>
      </c>
      <c r="O143" s="18" t="n">
        <v>0</v>
      </c>
      <c r="P143" s="18" t="n">
        <v>0</v>
      </c>
      <c r="Q143" s="16">
        <f>P143/O143</f>
        <v/>
      </c>
      <c r="R143" s="1" t="n">
        <v>21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</row>
    <row r="144">
      <c r="A144" s="1" t="inlineStr">
        <is>
          <t>dengue disease</t>
        </is>
      </c>
      <c r="B144" s="1" t="inlineStr">
        <is>
          <t>EFO_0005547</t>
        </is>
      </c>
      <c r="C144" s="1" t="inlineStr">
        <is>
          <t>name</t>
        </is>
      </c>
      <c r="D144" s="1" t="n">
        <v>0.05</v>
      </c>
      <c r="E144" s="15" t="n">
        <v>0</v>
      </c>
      <c r="F144" s="15" t="n">
        <v>296</v>
      </c>
      <c r="G144" s="15" t="n">
        <v>0</v>
      </c>
      <c r="H144" s="16">
        <f>G144/F144</f>
        <v/>
      </c>
      <c r="I144" s="16">
        <f>G144/E144</f>
        <v/>
      </c>
      <c r="J144" s="17" t="n">
        <v>3</v>
      </c>
      <c r="K144" s="17" t="n">
        <v>85</v>
      </c>
      <c r="L144" s="17" t="n">
        <v>1</v>
      </c>
      <c r="M144" s="16">
        <f>L144/K144</f>
        <v/>
      </c>
      <c r="N144" s="16">
        <f>L144/J144</f>
        <v/>
      </c>
      <c r="O144" s="18" t="n">
        <v>6</v>
      </c>
      <c r="P144" s="18" t="n">
        <v>0</v>
      </c>
      <c r="Q144" s="16">
        <f>P144/O144</f>
        <v/>
      </c>
      <c r="R144" s="1" t="n">
        <v>142</v>
      </c>
      <c r="S144" s="1" t="n">
        <v>1</v>
      </c>
      <c r="T144" s="1" t="n">
        <v>0</v>
      </c>
      <c r="U144" s="1" t="n">
        <v>0</v>
      </c>
      <c r="V144" s="1" t="n">
        <v>1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1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</row>
    <row r="145">
      <c r="A145" s="1" t="inlineStr">
        <is>
          <t>dengue hemorrhagic fever</t>
        </is>
      </c>
      <c r="B145" s="1" t="inlineStr">
        <is>
          <t>EFO_0004227</t>
        </is>
      </c>
      <c r="C145" s="1" t="inlineStr">
        <is>
          <t>name</t>
        </is>
      </c>
      <c r="D145" s="1" t="n">
        <v>0.05</v>
      </c>
      <c r="E145" s="15" t="n">
        <v>0</v>
      </c>
      <c r="F145" s="15" t="n">
        <v>313</v>
      </c>
      <c r="G145" s="15" t="n">
        <v>0</v>
      </c>
      <c r="H145" s="16">
        <f>G145/F145</f>
        <v/>
      </c>
      <c r="I145" s="16">
        <f>G145/E145</f>
        <v/>
      </c>
      <c r="J145" s="17" t="n">
        <v>0</v>
      </c>
      <c r="K145" s="17" t="n">
        <v>128</v>
      </c>
      <c r="L145" s="17" t="n">
        <v>0</v>
      </c>
      <c r="M145" s="16">
        <f>L145/K145</f>
        <v/>
      </c>
      <c r="N145" s="16">
        <f>L145/J145</f>
        <v/>
      </c>
      <c r="O145" s="18" t="n">
        <v>8</v>
      </c>
      <c r="P145" s="18" t="n">
        <v>0</v>
      </c>
      <c r="Q145" s="16">
        <f>P145/O145</f>
        <v/>
      </c>
      <c r="R145" s="1" t="n">
        <v>10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1</v>
      </c>
      <c r="AJ145" s="1" t="n">
        <v>1</v>
      </c>
      <c r="AK145" s="1" t="n">
        <v>3</v>
      </c>
      <c r="AL145" s="1" t="n">
        <v>2</v>
      </c>
      <c r="AM145" s="1" t="n">
        <v>0</v>
      </c>
    </row>
    <row r="146">
      <c r="A146" s="1" t="inlineStr">
        <is>
          <t>dermatomyositis</t>
        </is>
      </c>
      <c r="B146" s="1" t="inlineStr">
        <is>
          <t>EFO_0000398</t>
        </is>
      </c>
      <c r="C146" s="1" t="inlineStr">
        <is>
          <t>name</t>
        </is>
      </c>
      <c r="D146" s="1" t="n">
        <v>0.05</v>
      </c>
      <c r="E146" s="15" t="n">
        <v>2</v>
      </c>
      <c r="F146" s="15" t="n">
        <v>186</v>
      </c>
      <c r="G146" s="15" t="n">
        <v>0</v>
      </c>
      <c r="H146" s="16">
        <f>G146/F146</f>
        <v/>
      </c>
      <c r="I146" s="16">
        <f>G146/E146</f>
        <v/>
      </c>
      <c r="J146" s="17" t="n">
        <v>5</v>
      </c>
      <c r="K146" s="17" t="n">
        <v>86</v>
      </c>
      <c r="L146" s="17" t="n">
        <v>0</v>
      </c>
      <c r="M146" s="16">
        <f>L146/K146</f>
        <v/>
      </c>
      <c r="N146" s="16">
        <f>L146/J146</f>
        <v/>
      </c>
      <c r="O146" s="18" t="n">
        <v>1</v>
      </c>
      <c r="P146" s="18" t="n">
        <v>0</v>
      </c>
      <c r="Q146" s="16">
        <f>P146/O146</f>
        <v/>
      </c>
      <c r="R146" s="1" t="n">
        <v>293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</row>
    <row r="147">
      <c r="A147" s="1" t="inlineStr">
        <is>
          <t>diabetes mellitus</t>
        </is>
      </c>
      <c r="B147" s="1" t="inlineStr">
        <is>
          <t>EFO_0000400</t>
        </is>
      </c>
      <c r="C147" s="1" t="inlineStr">
        <is>
          <t>name</t>
        </is>
      </c>
      <c r="D147" s="1" t="n">
        <v>0.05</v>
      </c>
      <c r="E147" s="15" t="n">
        <v>19</v>
      </c>
      <c r="F147" s="15" t="n">
        <v>377</v>
      </c>
      <c r="G147" s="15" t="n">
        <v>19</v>
      </c>
      <c r="H147" s="16">
        <f>G147/F147</f>
        <v/>
      </c>
      <c r="I147" s="16">
        <f>G147/E147</f>
        <v/>
      </c>
      <c r="J147" s="17" t="n">
        <v>46</v>
      </c>
      <c r="K147" s="17" t="n">
        <v>0</v>
      </c>
      <c r="L147" s="17" t="n">
        <v>0</v>
      </c>
      <c r="M147" s="16">
        <f>L147/K147</f>
        <v/>
      </c>
      <c r="N147" s="16">
        <f>L147/J147</f>
        <v/>
      </c>
      <c r="O147" s="18" t="n">
        <v>0</v>
      </c>
      <c r="P147" s="18" t="n">
        <v>0</v>
      </c>
      <c r="Q147" s="16">
        <f>P147/O147</f>
        <v/>
      </c>
      <c r="R147" s="1" t="n">
        <v>2122</v>
      </c>
      <c r="S147" s="1" t="n">
        <v>19</v>
      </c>
      <c r="T147" s="1" t="n">
        <v>1</v>
      </c>
      <c r="U147" s="1" t="n">
        <v>8</v>
      </c>
      <c r="V147" s="1" t="n">
        <v>6</v>
      </c>
      <c r="W147" s="1" t="n">
        <v>13</v>
      </c>
      <c r="X147" s="1" t="n">
        <v>18</v>
      </c>
      <c r="Y147" s="1" t="n">
        <v>1</v>
      </c>
      <c r="Z147" s="1" t="n">
        <v>22</v>
      </c>
      <c r="AA147" s="1" t="n">
        <v>0</v>
      </c>
      <c r="AB147" s="1" t="n">
        <v>4</v>
      </c>
      <c r="AC147" s="1" t="n">
        <v>3</v>
      </c>
      <c r="AD147" s="1" t="n">
        <v>0</v>
      </c>
      <c r="AE147" s="1" t="n">
        <v>5</v>
      </c>
      <c r="AF147" s="1" t="n">
        <v>7</v>
      </c>
      <c r="AG147" s="1" t="n">
        <v>3</v>
      </c>
      <c r="AH147" s="1" t="n">
        <v>1</v>
      </c>
      <c r="AI147" s="1" t="n">
        <v>2</v>
      </c>
      <c r="AJ147" s="1" t="n">
        <v>2</v>
      </c>
      <c r="AK147" s="1" t="n">
        <v>0</v>
      </c>
      <c r="AL147" s="1" t="n">
        <v>0</v>
      </c>
      <c r="AM147" s="1" t="n">
        <v>0</v>
      </c>
    </row>
    <row r="148">
      <c r="A148" s="1" t="inlineStr">
        <is>
          <t>Diabetic Nephropathy</t>
        </is>
      </c>
      <c r="B148" s="1" t="inlineStr">
        <is>
          <t>EFO_0000401</t>
        </is>
      </c>
      <c r="C148" s="1" t="inlineStr">
        <is>
          <t>name</t>
        </is>
      </c>
      <c r="D148" s="1" t="n">
        <v>0.05</v>
      </c>
      <c r="E148" s="15" t="n">
        <v>9</v>
      </c>
      <c r="F148" s="15" t="n">
        <v>322</v>
      </c>
      <c r="G148" s="15" t="n">
        <v>9</v>
      </c>
      <c r="H148" s="16">
        <f>G148/F148</f>
        <v/>
      </c>
      <c r="I148" s="16">
        <f>G148/E148</f>
        <v/>
      </c>
      <c r="J148" s="17" t="n">
        <v>11</v>
      </c>
      <c r="K148" s="17" t="n">
        <v>5</v>
      </c>
      <c r="L148" s="17" t="n">
        <v>0</v>
      </c>
      <c r="M148" s="16">
        <f>L148/K148</f>
        <v/>
      </c>
      <c r="N148" s="16">
        <f>L148/J148</f>
        <v/>
      </c>
      <c r="O148" s="18" t="n">
        <v>0</v>
      </c>
      <c r="P148" s="18" t="n">
        <v>0</v>
      </c>
      <c r="Q148" s="16">
        <f>P148/O148</f>
        <v/>
      </c>
      <c r="R148" s="1" t="n">
        <v>507</v>
      </c>
      <c r="S148" s="1" t="n">
        <v>9</v>
      </c>
      <c r="T148" s="1" t="n">
        <v>0</v>
      </c>
      <c r="U148" s="1" t="n">
        <v>1</v>
      </c>
      <c r="V148" s="1" t="n">
        <v>7</v>
      </c>
      <c r="W148" s="1" t="n">
        <v>2</v>
      </c>
      <c r="X148" s="1" t="n">
        <v>1</v>
      </c>
      <c r="Y148" s="1" t="n">
        <v>0</v>
      </c>
      <c r="Z148" s="1" t="n">
        <v>8</v>
      </c>
      <c r="AA148" s="1" t="n">
        <v>0</v>
      </c>
      <c r="AB148" s="1" t="n">
        <v>0</v>
      </c>
      <c r="AC148" s="1" t="n">
        <v>2</v>
      </c>
      <c r="AD148" s="1" t="n">
        <v>0</v>
      </c>
      <c r="AE148" s="1" t="n">
        <v>0</v>
      </c>
      <c r="AF148" s="1" t="n">
        <v>1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2</v>
      </c>
      <c r="AM148" s="1" t="n">
        <v>0</v>
      </c>
    </row>
    <row r="149">
      <c r="A149" s="1" t="inlineStr">
        <is>
          <t>Diamond-Blackfan anemia</t>
        </is>
      </c>
      <c r="B149" s="1" t="inlineStr">
        <is>
          <t>MONDO_0015253</t>
        </is>
      </c>
      <c r="C149" s="1" t="inlineStr">
        <is>
          <t>name</t>
        </is>
      </c>
      <c r="D149" s="1" t="n">
        <v>0.05</v>
      </c>
      <c r="E149" s="15" t="n">
        <v>1</v>
      </c>
      <c r="F149" s="15" t="n">
        <v>187</v>
      </c>
      <c r="G149" s="15" t="n">
        <v>0</v>
      </c>
      <c r="H149" s="16">
        <f>G149/F149</f>
        <v/>
      </c>
      <c r="I149" s="16">
        <f>G149/E149</f>
        <v/>
      </c>
      <c r="J149" s="17" t="n">
        <v>4</v>
      </c>
      <c r="K149" s="17" t="n">
        <v>97</v>
      </c>
      <c r="L149" s="17" t="n">
        <v>1</v>
      </c>
      <c r="M149" s="16">
        <f>L149/K149</f>
        <v/>
      </c>
      <c r="N149" s="16">
        <f>L149/J149</f>
        <v/>
      </c>
      <c r="O149" s="18" t="n">
        <v>0</v>
      </c>
      <c r="P149" s="18" t="n">
        <v>0</v>
      </c>
      <c r="Q149" s="16">
        <f>P149/O149</f>
        <v/>
      </c>
      <c r="R149" s="1" t="n">
        <v>145</v>
      </c>
      <c r="S149" s="1" t="n">
        <v>1</v>
      </c>
      <c r="T149" s="1" t="n">
        <v>0</v>
      </c>
      <c r="U149" s="1" t="n">
        <v>1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1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</row>
    <row r="150">
      <c r="A150" s="1" t="inlineStr">
        <is>
          <t>dilated cardiomyopathy</t>
        </is>
      </c>
      <c r="B150" s="1" t="inlineStr">
        <is>
          <t>EFO_0000407</t>
        </is>
      </c>
      <c r="C150" s="1" t="inlineStr">
        <is>
          <t>name</t>
        </is>
      </c>
      <c r="D150" s="1" t="n">
        <v>0.05</v>
      </c>
      <c r="E150" s="15" t="n">
        <v>2</v>
      </c>
      <c r="F150" s="15" t="n">
        <v>73</v>
      </c>
      <c r="G150" s="15" t="n">
        <v>0</v>
      </c>
      <c r="H150" s="16">
        <f>G150/F150</f>
        <v/>
      </c>
      <c r="I150" s="16">
        <f>G150/E150</f>
        <v/>
      </c>
      <c r="J150" s="17" t="n">
        <v>3</v>
      </c>
      <c r="K150" s="17" t="n">
        <v>99</v>
      </c>
      <c r="L150" s="17" t="n">
        <v>1</v>
      </c>
      <c r="M150" s="16">
        <f>L150/K150</f>
        <v/>
      </c>
      <c r="N150" s="16">
        <f>L150/J150</f>
        <v/>
      </c>
      <c r="O150" s="18" t="n">
        <v>2</v>
      </c>
      <c r="P150" s="18" t="n">
        <v>0</v>
      </c>
      <c r="Q150" s="16">
        <f>P150/O150</f>
        <v/>
      </c>
      <c r="R150" s="1" t="n">
        <v>140</v>
      </c>
      <c r="S150" s="1" t="n">
        <v>1</v>
      </c>
      <c r="T150" s="1" t="n">
        <v>0</v>
      </c>
      <c r="U150" s="1" t="n">
        <v>0</v>
      </c>
      <c r="V150" s="1" t="n">
        <v>1</v>
      </c>
      <c r="W150" s="1" t="n">
        <v>0</v>
      </c>
      <c r="X150" s="1" t="n">
        <v>0</v>
      </c>
      <c r="Y150" s="1" t="n">
        <v>0</v>
      </c>
      <c r="Z150" s="1" t="n">
        <v>1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</row>
    <row r="151">
      <c r="A151" s="1" t="inlineStr">
        <is>
          <t>discoid lupus erythematosus</t>
        </is>
      </c>
      <c r="B151" s="1" t="inlineStr">
        <is>
          <t>MONDO_0019558</t>
        </is>
      </c>
      <c r="C151" s="1" t="inlineStr">
        <is>
          <t>name</t>
        </is>
      </c>
      <c r="D151" s="1" t="n">
        <v>0.05</v>
      </c>
      <c r="E151" s="15" t="n">
        <v>2</v>
      </c>
      <c r="F151" s="15" t="n">
        <v>357</v>
      </c>
      <c r="G151" s="15" t="n">
        <v>2</v>
      </c>
      <c r="H151" s="16">
        <f>G151/F151</f>
        <v/>
      </c>
      <c r="I151" s="16">
        <f>G151/E151</f>
        <v/>
      </c>
      <c r="J151" s="17" t="n">
        <v>1</v>
      </c>
      <c r="K151" s="17" t="n">
        <v>6</v>
      </c>
      <c r="L151" s="17" t="n">
        <v>0</v>
      </c>
      <c r="M151" s="16">
        <f>L151/K151</f>
        <v/>
      </c>
      <c r="N151" s="16">
        <f>L151/J151</f>
        <v/>
      </c>
      <c r="O151" s="18" t="n">
        <v>0</v>
      </c>
      <c r="P151" s="18" t="n">
        <v>0</v>
      </c>
      <c r="Q151" s="16">
        <f>P151/O151</f>
        <v/>
      </c>
      <c r="R151" s="1" t="n">
        <v>84</v>
      </c>
      <c r="S151" s="1" t="n">
        <v>2</v>
      </c>
      <c r="T151" s="1" t="n">
        <v>2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2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</row>
    <row r="152">
      <c r="A152" s="1" t="inlineStr">
        <is>
          <t>Down syndrome</t>
        </is>
      </c>
      <c r="B152" s="1" t="inlineStr">
        <is>
          <t>EFO_0001064</t>
        </is>
      </c>
      <c r="C152" s="1" t="inlineStr">
        <is>
          <t>name</t>
        </is>
      </c>
      <c r="D152" s="1" t="n">
        <v>0.05</v>
      </c>
      <c r="E152" s="15" t="n">
        <v>1</v>
      </c>
      <c r="F152" s="15" t="n">
        <v>120</v>
      </c>
      <c r="G152" s="15" t="n">
        <v>0</v>
      </c>
      <c r="H152" s="16">
        <f>G152/F152</f>
        <v/>
      </c>
      <c r="I152" s="16">
        <f>G152/E152</f>
        <v/>
      </c>
      <c r="J152" s="17" t="n">
        <v>1</v>
      </c>
      <c r="K152" s="17" t="n">
        <v>4</v>
      </c>
      <c r="L152" s="17" t="n">
        <v>0</v>
      </c>
      <c r="M152" s="16">
        <f>L152/K152</f>
        <v/>
      </c>
      <c r="N152" s="16">
        <f>L152/J152</f>
        <v/>
      </c>
      <c r="O152" s="18" t="n">
        <v>1</v>
      </c>
      <c r="P152" s="18" t="n">
        <v>0</v>
      </c>
      <c r="Q152" s="16">
        <f>P152/O152</f>
        <v/>
      </c>
      <c r="R152" s="1" t="n">
        <v>86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2</v>
      </c>
      <c r="AK152" s="1" t="n">
        <v>5</v>
      </c>
      <c r="AL152" s="1" t="n">
        <v>5</v>
      </c>
      <c r="AM152" s="1" t="n">
        <v>0</v>
      </c>
    </row>
    <row r="153">
      <c r="A153" s="1" t="inlineStr">
        <is>
          <t>Duchenne muscular dystrophy</t>
        </is>
      </c>
      <c r="B153" s="1" t="inlineStr">
        <is>
          <t>MONDO_0010679</t>
        </is>
      </c>
      <c r="C153" s="1" t="inlineStr">
        <is>
          <t>name</t>
        </is>
      </c>
      <c r="D153" s="1" t="n">
        <v>0.05</v>
      </c>
      <c r="E153" s="15" t="n">
        <v>6</v>
      </c>
      <c r="F153" s="15" t="n">
        <v>285</v>
      </c>
      <c r="G153" s="15" t="n">
        <v>5</v>
      </c>
      <c r="H153" s="16">
        <f>G153/F153</f>
        <v/>
      </c>
      <c r="I153" s="16">
        <f>G153/E153</f>
        <v/>
      </c>
      <c r="J153" s="17" t="n">
        <v>8</v>
      </c>
      <c r="K153" s="17" t="n">
        <v>0</v>
      </c>
      <c r="L153" s="17" t="n">
        <v>0</v>
      </c>
      <c r="M153" s="16">
        <f>L153/K153</f>
        <v/>
      </c>
      <c r="N153" s="16">
        <f>L153/J153</f>
        <v/>
      </c>
      <c r="O153" s="18" t="n">
        <v>0</v>
      </c>
      <c r="P153" s="18" t="n">
        <v>0</v>
      </c>
      <c r="Q153" s="16">
        <f>P153/O153</f>
        <v/>
      </c>
      <c r="R153" s="1" t="n">
        <v>429</v>
      </c>
      <c r="S153" s="1" t="n">
        <v>5</v>
      </c>
      <c r="T153" s="1" t="n">
        <v>2</v>
      </c>
      <c r="U153" s="1" t="n">
        <v>2</v>
      </c>
      <c r="V153" s="1" t="n">
        <v>5</v>
      </c>
      <c r="W153" s="1" t="n">
        <v>5</v>
      </c>
      <c r="X153" s="1" t="n">
        <v>1</v>
      </c>
      <c r="Y153" s="1" t="n">
        <v>0</v>
      </c>
      <c r="Z153" s="1" t="n">
        <v>7</v>
      </c>
      <c r="AA153" s="1" t="n">
        <v>1</v>
      </c>
      <c r="AB153" s="1" t="n">
        <v>0</v>
      </c>
      <c r="AC153" s="1" t="n">
        <v>2</v>
      </c>
      <c r="AD153" s="1" t="n">
        <v>0</v>
      </c>
      <c r="AE153" s="1" t="n">
        <v>4</v>
      </c>
      <c r="AF153" s="1" t="n">
        <v>1</v>
      </c>
      <c r="AG153" s="1" t="n">
        <v>0</v>
      </c>
      <c r="AH153" s="1" t="n">
        <v>0</v>
      </c>
      <c r="AI153" s="1" t="n">
        <v>0</v>
      </c>
      <c r="AJ153" s="1" t="n">
        <v>4</v>
      </c>
      <c r="AK153" s="1" t="n">
        <v>0</v>
      </c>
      <c r="AL153" s="1" t="n">
        <v>3</v>
      </c>
      <c r="AM153" s="1" t="n">
        <v>2</v>
      </c>
    </row>
    <row r="154">
      <c r="A154" s="1" t="inlineStr">
        <is>
          <t>dystonia</t>
        </is>
      </c>
      <c r="B154" s="1" t="inlineStr">
        <is>
          <t>HP_0001332</t>
        </is>
      </c>
      <c r="C154" s="1" t="inlineStr">
        <is>
          <t>name</t>
        </is>
      </c>
      <c r="D154" s="1" t="n">
        <v>0.05</v>
      </c>
      <c r="E154" s="15" t="n">
        <v>0</v>
      </c>
      <c r="F154" s="15" t="n">
        <v>212</v>
      </c>
      <c r="G154" s="15" t="n">
        <v>0</v>
      </c>
      <c r="H154" s="16">
        <f>G154/F154</f>
        <v/>
      </c>
      <c r="I154" s="16">
        <f>G154/E154</f>
        <v/>
      </c>
      <c r="J154" s="17" t="n">
        <v>0</v>
      </c>
      <c r="K154" s="17" t="n">
        <v>3</v>
      </c>
      <c r="L154" s="17" t="n">
        <v>0</v>
      </c>
      <c r="M154" s="16">
        <f>L154/K154</f>
        <v/>
      </c>
      <c r="N154" s="16">
        <f>L154/J154</f>
        <v/>
      </c>
      <c r="O154" s="18" t="n">
        <v>0</v>
      </c>
      <c r="P154" s="18" t="n">
        <v>0</v>
      </c>
      <c r="Q154" s="16">
        <f>P154/O154</f>
        <v/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</row>
    <row r="155">
      <c r="A155" s="1" t="inlineStr">
        <is>
          <t>Ebola hemorrhagic fever</t>
        </is>
      </c>
      <c r="B155" s="1" t="inlineStr">
        <is>
          <t>EFO_0007243</t>
        </is>
      </c>
      <c r="C155" s="1" t="inlineStr">
        <is>
          <t>name</t>
        </is>
      </c>
      <c r="D155" s="1" t="n">
        <v>0.05</v>
      </c>
      <c r="E155" s="15" t="n">
        <v>2</v>
      </c>
      <c r="F155" s="15" t="n">
        <v>188</v>
      </c>
      <c r="G155" s="15" t="n">
        <v>0</v>
      </c>
      <c r="H155" s="16">
        <f>G155/F155</f>
        <v/>
      </c>
      <c r="I155" s="16">
        <f>G155/E155</f>
        <v/>
      </c>
      <c r="J155" s="17" t="n">
        <v>1</v>
      </c>
      <c r="K155" s="17" t="n">
        <v>81</v>
      </c>
      <c r="L155" s="17" t="n">
        <v>0</v>
      </c>
      <c r="M155" s="16">
        <f>L155/K155</f>
        <v/>
      </c>
      <c r="N155" s="16">
        <f>L155/J155</f>
        <v/>
      </c>
      <c r="O155" s="18" t="n">
        <v>1</v>
      </c>
      <c r="P155" s="18" t="n">
        <v>0</v>
      </c>
      <c r="Q155" s="16">
        <f>P155/O155</f>
        <v/>
      </c>
      <c r="R155" s="1" t="n">
        <v>44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</row>
    <row r="156">
      <c r="A156" s="1" t="inlineStr">
        <is>
          <t>endometrial cancer</t>
        </is>
      </c>
      <c r="B156" s="1" t="inlineStr">
        <is>
          <t>MONDO_0011962</t>
        </is>
      </c>
      <c r="C156" s="1" t="inlineStr">
        <is>
          <t>name</t>
        </is>
      </c>
      <c r="D156" s="1" t="n">
        <v>0.05</v>
      </c>
      <c r="E156" s="15" t="n">
        <v>26</v>
      </c>
      <c r="F156" s="15" t="n">
        <v>212</v>
      </c>
      <c r="G156" s="15" t="n">
        <v>17</v>
      </c>
      <c r="H156" s="16">
        <f>G156/F156</f>
        <v/>
      </c>
      <c r="I156" s="16">
        <f>G156/E156</f>
        <v/>
      </c>
      <c r="J156" s="17" t="n">
        <v>20</v>
      </c>
      <c r="K156" s="17" t="n">
        <v>209</v>
      </c>
      <c r="L156" s="17" t="n">
        <v>6</v>
      </c>
      <c r="M156" s="16">
        <f>L156/K156</f>
        <v/>
      </c>
      <c r="N156" s="16">
        <f>L156/J156</f>
        <v/>
      </c>
      <c r="O156" s="18" t="n">
        <v>6</v>
      </c>
      <c r="P156" s="18" t="n">
        <v>0</v>
      </c>
      <c r="Q156" s="16">
        <f>P156/O156</f>
        <v/>
      </c>
      <c r="R156" s="1" t="n">
        <v>1032</v>
      </c>
      <c r="S156" s="1" t="n">
        <v>23</v>
      </c>
      <c r="T156" s="1" t="n">
        <v>3</v>
      </c>
      <c r="U156" s="1" t="n">
        <v>14</v>
      </c>
      <c r="V156" s="1" t="n">
        <v>27</v>
      </c>
      <c r="W156" s="1" t="n">
        <v>12</v>
      </c>
      <c r="X156" s="1" t="n">
        <v>0</v>
      </c>
      <c r="Y156" s="1" t="n">
        <v>6</v>
      </c>
      <c r="Z156" s="1" t="n">
        <v>16</v>
      </c>
      <c r="AA156" s="1" t="n">
        <v>0</v>
      </c>
      <c r="AB156" s="1" t="n">
        <v>5</v>
      </c>
      <c r="AC156" s="1" t="n">
        <v>17</v>
      </c>
      <c r="AD156" s="1" t="n">
        <v>0</v>
      </c>
      <c r="AE156" s="1" t="n">
        <v>8</v>
      </c>
      <c r="AF156" s="1" t="n">
        <v>0</v>
      </c>
      <c r="AG156" s="1" t="n">
        <v>4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</row>
    <row r="157">
      <c r="A157" s="1" t="inlineStr">
        <is>
          <t>endometriosis</t>
        </is>
      </c>
      <c r="B157" s="1" t="inlineStr">
        <is>
          <t>EFO_0001065</t>
        </is>
      </c>
      <c r="C157" s="1" t="inlineStr">
        <is>
          <t>name</t>
        </is>
      </c>
      <c r="D157" s="1" t="n">
        <v>0.05</v>
      </c>
      <c r="E157" s="15" t="n">
        <v>9</v>
      </c>
      <c r="F157" s="15" t="n">
        <v>204</v>
      </c>
      <c r="G157" s="15" t="n">
        <v>4</v>
      </c>
      <c r="H157" s="16">
        <f>G157/F157</f>
        <v/>
      </c>
      <c r="I157" s="16">
        <f>G157/E157</f>
        <v/>
      </c>
      <c r="J157" s="17" t="n">
        <v>12</v>
      </c>
      <c r="K157" s="17" t="n">
        <v>10</v>
      </c>
      <c r="L157" s="17" t="n">
        <v>0</v>
      </c>
      <c r="M157" s="16">
        <f>L157/K157</f>
        <v/>
      </c>
      <c r="N157" s="16">
        <f>L157/J157</f>
        <v/>
      </c>
      <c r="O157" s="18" t="n">
        <v>0</v>
      </c>
      <c r="P157" s="18" t="n">
        <v>0</v>
      </c>
      <c r="Q157" s="16">
        <f>P157/O157</f>
        <v/>
      </c>
      <c r="R157" s="1" t="n">
        <v>589</v>
      </c>
      <c r="S157" s="1" t="n">
        <v>4</v>
      </c>
      <c r="T157" s="1" t="n">
        <v>0</v>
      </c>
      <c r="U157" s="1" t="n">
        <v>0</v>
      </c>
      <c r="V157" s="1" t="n">
        <v>4</v>
      </c>
      <c r="W157" s="1" t="n">
        <v>1</v>
      </c>
      <c r="X157" s="1" t="n">
        <v>0</v>
      </c>
      <c r="Y157" s="1" t="n">
        <v>0</v>
      </c>
      <c r="Z157" s="1" t="n">
        <v>5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</row>
    <row r="158">
      <c r="A158" s="1" t="inlineStr">
        <is>
          <t>epidermolysis bullosa simplex</t>
        </is>
      </c>
      <c r="B158" s="1" t="inlineStr">
        <is>
          <t>MONDO_0017610</t>
        </is>
      </c>
      <c r="C158" s="1" t="inlineStr">
        <is>
          <t>name</t>
        </is>
      </c>
      <c r="D158" s="1" t="n">
        <v>0.05</v>
      </c>
      <c r="E158" s="15" t="n">
        <v>0</v>
      </c>
      <c r="F158" s="15" t="n">
        <v>116</v>
      </c>
      <c r="G158" s="15" t="n">
        <v>0</v>
      </c>
      <c r="H158" s="16">
        <f>G158/F158</f>
        <v/>
      </c>
      <c r="I158" s="16">
        <f>G158/E158</f>
        <v/>
      </c>
      <c r="J158" s="17" t="n">
        <v>0</v>
      </c>
      <c r="K158" s="17" t="n">
        <v>3</v>
      </c>
      <c r="L158" s="17" t="n">
        <v>0</v>
      </c>
      <c r="M158" s="16">
        <f>L158/K158</f>
        <v/>
      </c>
      <c r="N158" s="16">
        <f>L158/J158</f>
        <v/>
      </c>
      <c r="O158" s="18" t="n">
        <v>0</v>
      </c>
      <c r="P158" s="18" t="n">
        <v>0</v>
      </c>
      <c r="Q158" s="16">
        <f>P158/O158</f>
        <v/>
      </c>
      <c r="R158" s="1" t="n">
        <v>11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</row>
    <row r="159">
      <c r="A159" s="1" t="inlineStr">
        <is>
          <t>epilepsy syndrome</t>
        </is>
      </c>
      <c r="B159" s="1" t="inlineStr">
        <is>
          <t>MONDO_0015650</t>
        </is>
      </c>
      <c r="C159" s="1" t="inlineStr">
        <is>
          <t>name</t>
        </is>
      </c>
      <c r="D159" s="1" t="n">
        <v>0.05</v>
      </c>
      <c r="E159" s="15" t="n">
        <v>0</v>
      </c>
      <c r="F159" s="15" t="n">
        <v>288</v>
      </c>
      <c r="G159" s="15" t="n">
        <v>0</v>
      </c>
      <c r="H159" s="16">
        <f>G159/F159</f>
        <v/>
      </c>
      <c r="I159" s="16">
        <f>G159/E159</f>
        <v/>
      </c>
      <c r="J159" s="17" t="n">
        <v>0</v>
      </c>
      <c r="K159" s="17" t="n">
        <v>90</v>
      </c>
      <c r="L159" s="17" t="n">
        <v>0</v>
      </c>
      <c r="M159" s="16">
        <f>L159/K159</f>
        <v/>
      </c>
      <c r="N159" s="16">
        <f>L159/J159</f>
        <v/>
      </c>
      <c r="O159" s="18" t="n">
        <v>2</v>
      </c>
      <c r="P159" s="18" t="n">
        <v>0</v>
      </c>
      <c r="Q159" s="16">
        <f>P159/O159</f>
        <v/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</row>
    <row r="160">
      <c r="A160" s="1" t="inlineStr">
        <is>
          <t>facioscapulohumeral muscular dystrophy</t>
        </is>
      </c>
      <c r="B160" s="1" t="inlineStr">
        <is>
          <t>MONDO_0001347</t>
        </is>
      </c>
      <c r="C160" s="1" t="inlineStr">
        <is>
          <t>name</t>
        </is>
      </c>
      <c r="D160" s="1" t="n">
        <v>0.05</v>
      </c>
      <c r="E160" s="15" t="n">
        <v>0</v>
      </c>
      <c r="F160" s="15" t="n">
        <v>242</v>
      </c>
      <c r="G160" s="15" t="n">
        <v>0</v>
      </c>
      <c r="H160" s="16">
        <f>G160/F160</f>
        <v/>
      </c>
      <c r="I160" s="16">
        <f>G160/E160</f>
        <v/>
      </c>
      <c r="J160" s="17" t="n">
        <v>0</v>
      </c>
      <c r="K160" s="17" t="n">
        <v>2</v>
      </c>
      <c r="L160" s="17" t="n">
        <v>0</v>
      </c>
      <c r="M160" s="16">
        <f>L160/K160</f>
        <v/>
      </c>
      <c r="N160" s="16">
        <f>L160/J160</f>
        <v/>
      </c>
      <c r="O160" s="18" t="n">
        <v>0</v>
      </c>
      <c r="P160" s="18" t="n">
        <v>0</v>
      </c>
      <c r="Q160" s="16">
        <f>P160/O160</f>
        <v/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4</v>
      </c>
      <c r="AK160" s="1" t="n">
        <v>1</v>
      </c>
      <c r="AL160" s="1" t="n">
        <v>2</v>
      </c>
      <c r="AM160" s="1" t="n">
        <v>0</v>
      </c>
    </row>
    <row r="161">
      <c r="A161" s="1" t="inlineStr">
        <is>
          <t>familial hypercholesterolemia</t>
        </is>
      </c>
      <c r="B161" s="1" t="inlineStr">
        <is>
          <t>EFO_0004911</t>
        </is>
      </c>
      <c r="C161" s="1" t="inlineStr">
        <is>
          <t>name</t>
        </is>
      </c>
      <c r="D161" s="1" t="n">
        <v>0.05</v>
      </c>
      <c r="E161" s="15" t="n">
        <v>2</v>
      </c>
      <c r="F161" s="15" t="n">
        <v>250</v>
      </c>
      <c r="G161" s="15" t="n">
        <v>0</v>
      </c>
      <c r="H161" s="16">
        <f>G161/F161</f>
        <v/>
      </c>
      <c r="I161" s="16">
        <f>G161/E161</f>
        <v/>
      </c>
      <c r="J161" s="17" t="n">
        <v>1</v>
      </c>
      <c r="K161" s="17" t="n">
        <v>67</v>
      </c>
      <c r="L161" s="17" t="n">
        <v>0</v>
      </c>
      <c r="M161" s="16">
        <f>L161/K161</f>
        <v/>
      </c>
      <c r="N161" s="16">
        <f>L161/J161</f>
        <v/>
      </c>
      <c r="O161" s="18" t="n">
        <v>2</v>
      </c>
      <c r="P161" s="18" t="n">
        <v>0</v>
      </c>
      <c r="Q161" s="16">
        <f>P161/O161</f>
        <v/>
      </c>
      <c r="R161" s="1" t="n">
        <v>181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1</v>
      </c>
      <c r="AL161" s="1" t="n">
        <v>0</v>
      </c>
      <c r="AM161" s="1" t="n">
        <v>0</v>
      </c>
    </row>
    <row r="162">
      <c r="A162" s="1" t="inlineStr">
        <is>
          <t>fragile X syndrome</t>
        </is>
      </c>
      <c r="B162" s="1" t="inlineStr">
        <is>
          <t>MONDO_0010383</t>
        </is>
      </c>
      <c r="C162" s="1" t="inlineStr">
        <is>
          <t>name</t>
        </is>
      </c>
      <c r="D162" s="1" t="n">
        <v>0.05</v>
      </c>
      <c r="E162" s="15" t="n">
        <v>0</v>
      </c>
      <c r="F162" s="15" t="n">
        <v>379</v>
      </c>
      <c r="G162" s="15" t="n">
        <v>0</v>
      </c>
      <c r="H162" s="16">
        <f>G162/F162</f>
        <v/>
      </c>
      <c r="I162" s="16">
        <f>G162/E162</f>
        <v/>
      </c>
      <c r="J162" s="17" t="n">
        <v>6</v>
      </c>
      <c r="K162" s="17" t="n">
        <v>19</v>
      </c>
      <c r="L162" s="17" t="n">
        <v>0</v>
      </c>
      <c r="M162" s="16">
        <f>L162/K162</f>
        <v/>
      </c>
      <c r="N162" s="16">
        <f>L162/J162</f>
        <v/>
      </c>
      <c r="O162" s="18" t="n">
        <v>2</v>
      </c>
      <c r="P162" s="18" t="n">
        <v>0</v>
      </c>
      <c r="Q162" s="16">
        <f>P162/O162</f>
        <v/>
      </c>
      <c r="R162" s="1" t="n">
        <v>163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3</v>
      </c>
      <c r="AK162" s="1" t="n">
        <v>0</v>
      </c>
      <c r="AL162" s="1" t="n">
        <v>0</v>
      </c>
      <c r="AM162" s="1" t="n">
        <v>0</v>
      </c>
    </row>
    <row r="163">
      <c r="A163" s="1" t="inlineStr">
        <is>
          <t>gastroesophageal reflux disease</t>
        </is>
      </c>
      <c r="B163" s="1" t="inlineStr">
        <is>
          <t>EFO_0003948</t>
        </is>
      </c>
      <c r="C163" s="1" t="inlineStr">
        <is>
          <t>name</t>
        </is>
      </c>
      <c r="D163" s="1" t="n">
        <v>0.05</v>
      </c>
      <c r="E163" s="15" t="n">
        <v>2</v>
      </c>
      <c r="F163" s="15" t="n">
        <v>79</v>
      </c>
      <c r="G163" s="15" t="n">
        <v>0</v>
      </c>
      <c r="H163" s="16">
        <f>G163/F163</f>
        <v/>
      </c>
      <c r="I163" s="16">
        <f>G163/E163</f>
        <v/>
      </c>
      <c r="J163" s="17" t="n">
        <v>16</v>
      </c>
      <c r="K163" s="17" t="n">
        <v>192</v>
      </c>
      <c r="L163" s="17" t="n">
        <v>4</v>
      </c>
      <c r="M163" s="16">
        <f>L163/K163</f>
        <v/>
      </c>
      <c r="N163" s="16">
        <f>L163/J163</f>
        <v/>
      </c>
      <c r="O163" s="18" t="n">
        <v>1</v>
      </c>
      <c r="P163" s="18" t="n">
        <v>0</v>
      </c>
      <c r="Q163" s="16">
        <f>P163/O163</f>
        <v/>
      </c>
      <c r="R163" s="1" t="n">
        <v>398</v>
      </c>
      <c r="S163" s="1" t="n">
        <v>4</v>
      </c>
      <c r="T163" s="1" t="n">
        <v>1</v>
      </c>
      <c r="U163" s="1" t="n">
        <v>2</v>
      </c>
      <c r="V163" s="1" t="n">
        <v>1</v>
      </c>
      <c r="W163" s="1" t="n">
        <v>4</v>
      </c>
      <c r="X163" s="1" t="n">
        <v>6</v>
      </c>
      <c r="Y163" s="1" t="n">
        <v>0</v>
      </c>
      <c r="Z163" s="1" t="n">
        <v>6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2</v>
      </c>
      <c r="AF163" s="1" t="n">
        <v>3</v>
      </c>
      <c r="AG163" s="1" t="n">
        <v>2</v>
      </c>
      <c r="AH163" s="1" t="n">
        <v>1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</row>
    <row r="164">
      <c r="A164" s="1" t="inlineStr">
        <is>
          <t>gastrointestinal stromal tumor</t>
        </is>
      </c>
      <c r="B164" s="1" t="inlineStr">
        <is>
          <t>MONDO_0011719</t>
        </is>
      </c>
      <c r="C164" s="1" t="inlineStr">
        <is>
          <t>name</t>
        </is>
      </c>
      <c r="D164" s="1" t="n">
        <v>0.05</v>
      </c>
      <c r="E164" s="15" t="n">
        <v>16</v>
      </c>
      <c r="F164" s="15" t="n">
        <v>8</v>
      </c>
      <c r="G164" s="15" t="n">
        <v>0</v>
      </c>
      <c r="H164" s="16">
        <f>G164/F164</f>
        <v/>
      </c>
      <c r="I164" s="16">
        <f>G164/E164</f>
        <v/>
      </c>
      <c r="J164" s="17" t="n">
        <v>5</v>
      </c>
      <c r="K164" s="17" t="n">
        <v>0</v>
      </c>
      <c r="L164" s="17" t="n">
        <v>0</v>
      </c>
      <c r="M164" s="16">
        <f>L164/K164</f>
        <v/>
      </c>
      <c r="N164" s="16">
        <f>L164/J164</f>
        <v/>
      </c>
      <c r="O164" s="18" t="n">
        <v>0</v>
      </c>
      <c r="P164" s="18" t="n">
        <v>0</v>
      </c>
      <c r="Q164" s="16">
        <f>P164/O164</f>
        <v/>
      </c>
      <c r="R164" s="1" t="n">
        <v>464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9</v>
      </c>
      <c r="AK164" s="1" t="n">
        <v>0</v>
      </c>
      <c r="AL164" s="1" t="n">
        <v>2</v>
      </c>
      <c r="AM164" s="1" t="n">
        <v>1</v>
      </c>
    </row>
    <row r="165">
      <c r="A165" s="1" t="inlineStr">
        <is>
          <t>glioblastoma multiforme</t>
        </is>
      </c>
      <c r="B165" s="1" t="inlineStr">
        <is>
          <t>EFO_0000519</t>
        </is>
      </c>
      <c r="C165" s="1" t="inlineStr">
        <is>
          <t>name</t>
        </is>
      </c>
      <c r="D165" s="1" t="n">
        <v>0.05</v>
      </c>
      <c r="E165" s="15" t="n">
        <v>50</v>
      </c>
      <c r="F165" s="15" t="n">
        <v>237</v>
      </c>
      <c r="G165" s="15" t="n">
        <v>31</v>
      </c>
      <c r="H165" s="16">
        <f>G165/F165</f>
        <v/>
      </c>
      <c r="I165" s="16">
        <f>G165/E165</f>
        <v/>
      </c>
      <c r="J165" s="17" t="n">
        <v>32</v>
      </c>
      <c r="K165" s="17" t="n">
        <v>27</v>
      </c>
      <c r="L165" s="17" t="n">
        <v>1</v>
      </c>
      <c r="M165" s="16">
        <f>L165/K165</f>
        <v/>
      </c>
      <c r="N165" s="16">
        <f>L165/J165</f>
        <v/>
      </c>
      <c r="O165" s="18" t="n">
        <v>0</v>
      </c>
      <c r="P165" s="18" t="n">
        <v>0</v>
      </c>
      <c r="Q165" s="16">
        <f>P165/O165</f>
        <v/>
      </c>
      <c r="R165" s="1" t="n">
        <v>1726</v>
      </c>
      <c r="S165" s="1" t="n">
        <v>32</v>
      </c>
      <c r="T165" s="1" t="n">
        <v>6</v>
      </c>
      <c r="U165" s="1" t="n">
        <v>29</v>
      </c>
      <c r="V165" s="1" t="n">
        <v>27</v>
      </c>
      <c r="W165" s="1" t="n">
        <v>1</v>
      </c>
      <c r="X165" s="1" t="n">
        <v>0</v>
      </c>
      <c r="Y165" s="1" t="n">
        <v>7</v>
      </c>
      <c r="Z165" s="1" t="n">
        <v>25</v>
      </c>
      <c r="AA165" s="1" t="n">
        <v>0</v>
      </c>
      <c r="AB165" s="1" t="n">
        <v>1</v>
      </c>
      <c r="AC165" s="1" t="n">
        <v>11</v>
      </c>
      <c r="AD165" s="1" t="n">
        <v>1</v>
      </c>
      <c r="AE165" s="1" t="n">
        <v>11</v>
      </c>
      <c r="AF165" s="1" t="n">
        <v>0</v>
      </c>
      <c r="AG165" s="1" t="n">
        <v>3</v>
      </c>
      <c r="AH165" s="1" t="n">
        <v>4</v>
      </c>
      <c r="AI165" s="1" t="n">
        <v>0</v>
      </c>
      <c r="AJ165" s="1" t="n">
        <v>1</v>
      </c>
      <c r="AK165" s="1" t="n">
        <v>2</v>
      </c>
      <c r="AL165" s="1" t="n">
        <v>0</v>
      </c>
      <c r="AM165" s="1" t="n">
        <v>1</v>
      </c>
    </row>
    <row r="166">
      <c r="A166" s="1" t="inlineStr">
        <is>
          <t>head and neck squamous cell carcinoma</t>
        </is>
      </c>
      <c r="B166" s="1" t="inlineStr">
        <is>
          <t>EFO_0000181</t>
        </is>
      </c>
      <c r="C166" s="1" t="inlineStr">
        <is>
          <t>name</t>
        </is>
      </c>
      <c r="D166" s="1" t="n">
        <v>0.05</v>
      </c>
      <c r="E166" s="15" t="n">
        <v>27</v>
      </c>
      <c r="F166" s="15" t="n">
        <v>248</v>
      </c>
      <c r="G166" s="15" t="n">
        <v>13</v>
      </c>
      <c r="H166" s="16">
        <f>G166/F166</f>
        <v/>
      </c>
      <c r="I166" s="16">
        <f>G166/E166</f>
        <v/>
      </c>
      <c r="J166" s="17" t="n">
        <v>14</v>
      </c>
      <c r="K166" s="17" t="n">
        <v>0</v>
      </c>
      <c r="L166" s="17" t="n">
        <v>0</v>
      </c>
      <c r="M166" s="16">
        <f>L166/K166</f>
        <v/>
      </c>
      <c r="N166" s="16">
        <f>L166/J166</f>
        <v/>
      </c>
      <c r="O166" s="18" t="n">
        <v>0</v>
      </c>
      <c r="P166" s="18" t="n">
        <v>0</v>
      </c>
      <c r="Q166" s="16">
        <f>P166/O166</f>
        <v/>
      </c>
      <c r="R166" s="1" t="n">
        <v>1045</v>
      </c>
      <c r="S166" s="1" t="n">
        <v>13</v>
      </c>
      <c r="T166" s="1" t="n">
        <v>1</v>
      </c>
      <c r="U166" s="1" t="n">
        <v>12</v>
      </c>
      <c r="V166" s="1" t="n">
        <v>18</v>
      </c>
      <c r="W166" s="1" t="n">
        <v>4</v>
      </c>
      <c r="X166" s="1" t="n">
        <v>0</v>
      </c>
      <c r="Y166" s="1" t="n">
        <v>3</v>
      </c>
      <c r="Z166" s="1" t="n">
        <v>13</v>
      </c>
      <c r="AA166" s="1" t="n">
        <v>0</v>
      </c>
      <c r="AB166" s="1" t="n">
        <v>2</v>
      </c>
      <c r="AC166" s="1" t="n">
        <v>6</v>
      </c>
      <c r="AD166" s="1" t="n">
        <v>0</v>
      </c>
      <c r="AE166" s="1" t="n">
        <v>6</v>
      </c>
      <c r="AF166" s="1" t="n">
        <v>0</v>
      </c>
      <c r="AG166" s="1" t="n">
        <v>1</v>
      </c>
      <c r="AH166" s="1" t="n">
        <v>4</v>
      </c>
      <c r="AI166" s="1" t="n">
        <v>0</v>
      </c>
      <c r="AJ166" s="1" t="n">
        <v>5</v>
      </c>
      <c r="AK166" s="1" t="n">
        <v>4</v>
      </c>
      <c r="AL166" s="1" t="n">
        <v>4</v>
      </c>
      <c r="AM166" s="1" t="n">
        <v>2</v>
      </c>
    </row>
    <row r="167">
      <c r="A167" s="1" t="inlineStr">
        <is>
          <t>hepatocellular carcinoma</t>
        </is>
      </c>
      <c r="B167" s="1" t="inlineStr">
        <is>
          <t>EFO_0000182</t>
        </is>
      </c>
      <c r="C167" s="1" t="inlineStr">
        <is>
          <t>name</t>
        </is>
      </c>
      <c r="D167" s="1" t="n">
        <v>0.05</v>
      </c>
      <c r="E167" s="15" t="n">
        <v>39</v>
      </c>
      <c r="F167" s="15" t="n">
        <v>124</v>
      </c>
      <c r="G167" s="15" t="n">
        <v>15</v>
      </c>
      <c r="H167" s="16">
        <f>G167/F167</f>
        <v/>
      </c>
      <c r="I167" s="16">
        <f>G167/E167</f>
        <v/>
      </c>
      <c r="J167" s="17" t="n">
        <v>23</v>
      </c>
      <c r="K167" s="17" t="n">
        <v>68</v>
      </c>
      <c r="L167" s="17" t="n">
        <v>3</v>
      </c>
      <c r="M167" s="16">
        <f>L167/K167</f>
        <v/>
      </c>
      <c r="N167" s="16">
        <f>L167/J167</f>
        <v/>
      </c>
      <c r="O167" s="18" t="n">
        <v>0</v>
      </c>
      <c r="P167" s="18" t="n">
        <v>0</v>
      </c>
      <c r="Q167" s="16">
        <f>P167/O167</f>
        <v/>
      </c>
      <c r="R167" s="1" t="n">
        <v>1423</v>
      </c>
      <c r="S167" s="1" t="n">
        <v>18</v>
      </c>
      <c r="T167" s="1" t="n">
        <v>0</v>
      </c>
      <c r="U167" s="1" t="n">
        <v>19</v>
      </c>
      <c r="V167" s="1" t="n">
        <v>21</v>
      </c>
      <c r="W167" s="1" t="n">
        <v>10</v>
      </c>
      <c r="X167" s="1" t="n">
        <v>1</v>
      </c>
      <c r="Y167" s="1" t="n">
        <v>3</v>
      </c>
      <c r="Z167" s="1" t="n">
        <v>13</v>
      </c>
      <c r="AA167" s="1" t="n">
        <v>0</v>
      </c>
      <c r="AB167" s="1" t="n">
        <v>2</v>
      </c>
      <c r="AC167" s="1" t="n">
        <v>7</v>
      </c>
      <c r="AD167" s="1" t="n">
        <v>2</v>
      </c>
      <c r="AE167" s="1" t="n">
        <v>13</v>
      </c>
      <c r="AF167" s="1" t="n">
        <v>1</v>
      </c>
      <c r="AG167" s="1" t="n">
        <v>7</v>
      </c>
      <c r="AH167" s="1" t="n">
        <v>3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</row>
    <row r="168">
      <c r="A168" s="1" t="inlineStr">
        <is>
          <t>Hereditary gingival fibromatosis</t>
        </is>
      </c>
      <c r="B168" s="1" t="inlineStr">
        <is>
          <t>MONDO_0016070</t>
        </is>
      </c>
      <c r="C168" s="1" t="inlineStr">
        <is>
          <t>name</t>
        </is>
      </c>
      <c r="D168" s="1" t="n">
        <v>0.05</v>
      </c>
      <c r="E168" s="15" t="n">
        <v>0</v>
      </c>
      <c r="F168" s="15" t="n">
        <v>30</v>
      </c>
      <c r="G168" s="15" t="n">
        <v>0</v>
      </c>
      <c r="H168" s="16">
        <f>G168/F168</f>
        <v/>
      </c>
      <c r="I168" s="16">
        <f>G168/E168</f>
        <v/>
      </c>
      <c r="J168" s="17" t="n">
        <v>0</v>
      </c>
      <c r="K168" s="17" t="n">
        <v>0</v>
      </c>
      <c r="L168" s="17" t="n">
        <v>0</v>
      </c>
      <c r="M168" s="16">
        <f>L168/K168</f>
        <v/>
      </c>
      <c r="N168" s="16">
        <f>L168/J168</f>
        <v/>
      </c>
      <c r="O168" s="18" t="n">
        <v>0</v>
      </c>
      <c r="P168" s="18" t="n">
        <v>0</v>
      </c>
      <c r="Q168" s="16">
        <f>P168/O168</f>
        <v/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20</v>
      </c>
      <c r="AK168" s="1" t="n">
        <v>0</v>
      </c>
      <c r="AL168" s="1" t="n">
        <v>14</v>
      </c>
      <c r="AM168" s="1" t="n">
        <v>7</v>
      </c>
    </row>
    <row r="169">
      <c r="A169" s="1" t="inlineStr">
        <is>
          <t>Hypoxia</t>
        </is>
      </c>
      <c r="B169" s="1" t="inlineStr">
        <is>
          <t>EFO_0009444</t>
        </is>
      </c>
      <c r="C169" s="1" t="inlineStr">
        <is>
          <t>name</t>
        </is>
      </c>
      <c r="D169" s="1" t="n">
        <v>0.05</v>
      </c>
      <c r="E169" s="15" t="n">
        <v>0</v>
      </c>
      <c r="F169" s="15" t="n">
        <v>282</v>
      </c>
      <c r="G169" s="15" t="n">
        <v>0</v>
      </c>
      <c r="H169" s="16">
        <f>G169/F169</f>
        <v/>
      </c>
      <c r="I169" s="16">
        <f>G169/E169</f>
        <v/>
      </c>
      <c r="J169" s="17" t="n">
        <v>3</v>
      </c>
      <c r="K169" s="17" t="n">
        <v>80</v>
      </c>
      <c r="L169" s="17" t="n">
        <v>0</v>
      </c>
      <c r="M169" s="16">
        <f>L169/K169</f>
        <v/>
      </c>
      <c r="N169" s="16">
        <f>L169/J169</f>
        <v/>
      </c>
      <c r="O169" s="18" t="n">
        <v>2</v>
      </c>
      <c r="P169" s="18" t="n">
        <v>0</v>
      </c>
      <c r="Q169" s="16">
        <f>P169/O169</f>
        <v/>
      </c>
      <c r="R169" s="1" t="n">
        <v>153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</row>
    <row r="170">
      <c r="A170" s="1" t="inlineStr">
        <is>
          <t>idiopathic interstitial pneumonia</t>
        </is>
      </c>
      <c r="B170" s="1" t="inlineStr">
        <is>
          <t>MONDO_0002429</t>
        </is>
      </c>
      <c r="C170" s="1" t="inlineStr">
        <is>
          <t>name</t>
        </is>
      </c>
      <c r="D170" s="1" t="n">
        <v>0.05</v>
      </c>
      <c r="E170" s="15" t="n">
        <v>0</v>
      </c>
      <c r="F170" s="15" t="n">
        <v>76</v>
      </c>
      <c r="G170" s="15" t="n">
        <v>0</v>
      </c>
      <c r="H170" s="16">
        <f>G170/F170</f>
        <v/>
      </c>
      <c r="I170" s="16">
        <f>G170/E170</f>
        <v/>
      </c>
      <c r="J170" s="17" t="n">
        <v>0</v>
      </c>
      <c r="K170" s="17" t="n">
        <v>21</v>
      </c>
      <c r="L170" s="17" t="n">
        <v>0</v>
      </c>
      <c r="M170" s="16">
        <f>L170/K170</f>
        <v/>
      </c>
      <c r="N170" s="16">
        <f>L170/J170</f>
        <v/>
      </c>
      <c r="O170" s="18" t="n">
        <v>1</v>
      </c>
      <c r="P170" s="18" t="n">
        <v>0</v>
      </c>
      <c r="Q170" s="16">
        <f>P170/O170</f>
        <v/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1</v>
      </c>
      <c r="AK170" s="1" t="n">
        <v>1</v>
      </c>
      <c r="AL170" s="1" t="n">
        <v>0</v>
      </c>
      <c r="AM170" s="1" t="n">
        <v>0</v>
      </c>
    </row>
    <row r="171">
      <c r="A171" s="1" t="inlineStr">
        <is>
          <t>idiopathic pulmonary fibrosis</t>
        </is>
      </c>
      <c r="B171" s="1" t="inlineStr">
        <is>
          <t>EFO_0000768</t>
        </is>
      </c>
      <c r="C171" s="1" t="inlineStr">
        <is>
          <t>name</t>
        </is>
      </c>
      <c r="D171" s="1" t="n">
        <v>0.05</v>
      </c>
      <c r="E171" s="15" t="n">
        <v>11</v>
      </c>
      <c r="F171" s="15" t="n">
        <v>129</v>
      </c>
      <c r="G171" s="15" t="n">
        <v>4</v>
      </c>
      <c r="H171" s="16">
        <f>G171/F171</f>
        <v/>
      </c>
      <c r="I171" s="16">
        <f>G171/E171</f>
        <v/>
      </c>
      <c r="J171" s="17" t="n">
        <v>13</v>
      </c>
      <c r="K171" s="17" t="n">
        <v>0</v>
      </c>
      <c r="L171" s="17" t="n">
        <v>0</v>
      </c>
      <c r="M171" s="16">
        <f>L171/K171</f>
        <v/>
      </c>
      <c r="N171" s="16">
        <f>L171/J171</f>
        <v/>
      </c>
      <c r="O171" s="18" t="n">
        <v>0</v>
      </c>
      <c r="P171" s="18" t="n">
        <v>0</v>
      </c>
      <c r="Q171" s="16">
        <f>P171/O171</f>
        <v/>
      </c>
      <c r="R171" s="1" t="n">
        <v>644</v>
      </c>
      <c r="S171" s="1" t="n">
        <v>4</v>
      </c>
      <c r="T171" s="1" t="n">
        <v>1</v>
      </c>
      <c r="U171" s="1" t="n">
        <v>0</v>
      </c>
      <c r="V171" s="1" t="n">
        <v>2</v>
      </c>
      <c r="W171" s="1" t="n">
        <v>3</v>
      </c>
      <c r="X171" s="1" t="n">
        <v>0</v>
      </c>
      <c r="Y171" s="1" t="n">
        <v>0</v>
      </c>
      <c r="Z171" s="1" t="n">
        <v>3</v>
      </c>
      <c r="AA171" s="1" t="n">
        <v>0</v>
      </c>
      <c r="AB171" s="1" t="n">
        <v>0</v>
      </c>
      <c r="AC171" s="1" t="n">
        <v>1</v>
      </c>
      <c r="AD171" s="1" t="n">
        <v>0</v>
      </c>
      <c r="AE171" s="1" t="n">
        <v>2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</row>
    <row r="172">
      <c r="A172" s="1" t="inlineStr">
        <is>
          <t>inclusion body myositis</t>
        </is>
      </c>
      <c r="B172" s="1" t="inlineStr">
        <is>
          <t>EFO_0007323</t>
        </is>
      </c>
      <c r="C172" s="1" t="inlineStr">
        <is>
          <t>name</t>
        </is>
      </c>
      <c r="D172" s="1" t="n">
        <v>0.05</v>
      </c>
      <c r="E172" s="15" t="n">
        <v>1</v>
      </c>
      <c r="F172" s="15" t="n">
        <v>357</v>
      </c>
      <c r="G172" s="15" t="n">
        <v>1</v>
      </c>
      <c r="H172" s="16">
        <f>G172/F172</f>
        <v/>
      </c>
      <c r="I172" s="16">
        <f>G172/E172</f>
        <v/>
      </c>
      <c r="J172" s="17" t="n">
        <v>1</v>
      </c>
      <c r="K172" s="17" t="n">
        <v>7</v>
      </c>
      <c r="L172" s="17" t="n">
        <v>0</v>
      </c>
      <c r="M172" s="16">
        <f>L172/K172</f>
        <v/>
      </c>
      <c r="N172" s="16">
        <f>L172/J172</f>
        <v/>
      </c>
      <c r="O172" s="18" t="n">
        <v>0</v>
      </c>
      <c r="P172" s="18" t="n">
        <v>0</v>
      </c>
      <c r="Q172" s="16">
        <f>P172/O172</f>
        <v/>
      </c>
      <c r="R172" s="1" t="n">
        <v>69</v>
      </c>
      <c r="S172" s="1" t="n">
        <v>1</v>
      </c>
      <c r="T172" s="1" t="n">
        <v>0</v>
      </c>
      <c r="U172" s="1" t="n">
        <v>0</v>
      </c>
      <c r="V172" s="1" t="n">
        <v>1</v>
      </c>
      <c r="W172" s="1" t="n">
        <v>1</v>
      </c>
      <c r="X172" s="1" t="n">
        <v>0</v>
      </c>
      <c r="Y172" s="1" t="n">
        <v>0</v>
      </c>
      <c r="Z172" s="1" t="n">
        <v>1</v>
      </c>
      <c r="AA172" s="1" t="n">
        <v>0</v>
      </c>
      <c r="AB172" s="1" t="n">
        <v>0</v>
      </c>
      <c r="AC172" s="1" t="n">
        <v>1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</row>
    <row r="173">
      <c r="A173" s="1" t="inlineStr">
        <is>
          <t>influenza</t>
        </is>
      </c>
      <c r="B173" s="1" t="inlineStr">
        <is>
          <t>EFO_0007328</t>
        </is>
      </c>
      <c r="C173" s="1" t="inlineStr">
        <is>
          <t>name</t>
        </is>
      </c>
      <c r="D173" s="1" t="n">
        <v>0.05</v>
      </c>
      <c r="E173" s="15" t="n">
        <v>6</v>
      </c>
      <c r="F173" s="15" t="n">
        <v>179</v>
      </c>
      <c r="G173" s="15" t="n">
        <v>2</v>
      </c>
      <c r="H173" s="16">
        <f>G173/F173</f>
        <v/>
      </c>
      <c r="I173" s="16">
        <f>G173/E173</f>
        <v/>
      </c>
      <c r="J173" s="17" t="n">
        <v>19</v>
      </c>
      <c r="K173" s="17" t="n">
        <v>34</v>
      </c>
      <c r="L173" s="17" t="n">
        <v>1</v>
      </c>
      <c r="M173" s="16">
        <f>L173/K173</f>
        <v/>
      </c>
      <c r="N173" s="16">
        <f>L173/J173</f>
        <v/>
      </c>
      <c r="O173" s="18" t="n">
        <v>2</v>
      </c>
      <c r="P173" s="18" t="n">
        <v>0</v>
      </c>
      <c r="Q173" s="16">
        <f>P173/O173</f>
        <v/>
      </c>
      <c r="R173" s="1" t="n">
        <v>813</v>
      </c>
      <c r="S173" s="1" t="n">
        <v>3</v>
      </c>
      <c r="T173" s="1" t="n">
        <v>0</v>
      </c>
      <c r="U173" s="1" t="n">
        <v>1</v>
      </c>
      <c r="V173" s="1" t="n">
        <v>0</v>
      </c>
      <c r="W173" s="1" t="n">
        <v>2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1</v>
      </c>
      <c r="AC173" s="1" t="n">
        <v>2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1</v>
      </c>
      <c r="AK173" s="1" t="n">
        <v>0</v>
      </c>
      <c r="AL173" s="1" t="n">
        <v>0</v>
      </c>
      <c r="AM173" s="1" t="n">
        <v>0</v>
      </c>
    </row>
    <row r="174">
      <c r="A174" s="1" t="inlineStr">
        <is>
          <t>intellectual disability</t>
        </is>
      </c>
      <c r="B174" s="1" t="inlineStr">
        <is>
          <t>HP_0001249</t>
        </is>
      </c>
      <c r="C174" s="1" t="inlineStr">
        <is>
          <t>name</t>
        </is>
      </c>
      <c r="D174" s="1" t="n">
        <v>0.05</v>
      </c>
      <c r="E174" s="15" t="n">
        <v>1</v>
      </c>
      <c r="F174" s="15" t="n">
        <v>24</v>
      </c>
      <c r="G174" s="15" t="n">
        <v>0</v>
      </c>
      <c r="H174" s="16">
        <f>G174/F174</f>
        <v/>
      </c>
      <c r="I174" s="16">
        <f>G174/E174</f>
        <v/>
      </c>
      <c r="J174" s="17" t="n">
        <v>4</v>
      </c>
      <c r="K174" s="17" t="n">
        <v>19</v>
      </c>
      <c r="L174" s="17" t="n">
        <v>0</v>
      </c>
      <c r="M174" s="16">
        <f>L174/K174</f>
        <v/>
      </c>
      <c r="N174" s="16">
        <f>L174/J174</f>
        <v/>
      </c>
      <c r="O174" s="18" t="n">
        <v>0</v>
      </c>
      <c r="P174" s="18" t="n">
        <v>0</v>
      </c>
      <c r="Q174" s="16">
        <f>P174/O174</f>
        <v/>
      </c>
      <c r="R174" s="1" t="n">
        <v>91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2</v>
      </c>
      <c r="AM174" s="1" t="n">
        <v>1</v>
      </c>
    </row>
    <row r="175">
      <c r="A175" s="1" t="inlineStr">
        <is>
          <t>interstitial cystitis</t>
        </is>
      </c>
      <c r="B175" s="1" t="inlineStr">
        <is>
          <t>EFO_0008507</t>
        </is>
      </c>
      <c r="C175" s="1" t="inlineStr">
        <is>
          <t>name</t>
        </is>
      </c>
      <c r="D175" s="1" t="n">
        <v>0.05</v>
      </c>
      <c r="E175" s="15" t="n">
        <v>1</v>
      </c>
      <c r="F175" s="15" t="n">
        <v>60</v>
      </c>
      <c r="G175" s="15" t="n">
        <v>0</v>
      </c>
      <c r="H175" s="16">
        <f>G175/F175</f>
        <v/>
      </c>
      <c r="I175" s="16">
        <f>G175/E175</f>
        <v/>
      </c>
      <c r="J175" s="17" t="n">
        <v>5</v>
      </c>
      <c r="K175" s="17" t="n">
        <v>0</v>
      </c>
      <c r="L175" s="17" t="n">
        <v>0</v>
      </c>
      <c r="M175" s="16">
        <f>L175/K175</f>
        <v/>
      </c>
      <c r="N175" s="16">
        <f>L175/J175</f>
        <v/>
      </c>
      <c r="O175" s="18" t="n">
        <v>0</v>
      </c>
      <c r="P175" s="18" t="n">
        <v>0</v>
      </c>
      <c r="Q175" s="16">
        <f>P175/O175</f>
        <v/>
      </c>
      <c r="R175" s="1" t="n">
        <v>281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3</v>
      </c>
      <c r="AJ175" s="1" t="n">
        <v>7</v>
      </c>
      <c r="AK175" s="1" t="n">
        <v>1</v>
      </c>
      <c r="AL175" s="1" t="n">
        <v>0</v>
      </c>
      <c r="AM175" s="1" t="n">
        <v>1</v>
      </c>
    </row>
    <row r="176">
      <c r="A176" s="1" t="inlineStr">
        <is>
          <t>Ischemic stroke</t>
        </is>
      </c>
      <c r="B176" s="1" t="inlineStr">
        <is>
          <t>HP_0002140</t>
        </is>
      </c>
      <c r="C176" s="1" t="inlineStr">
        <is>
          <t>name</t>
        </is>
      </c>
      <c r="D176" s="1" t="n">
        <v>0.05</v>
      </c>
      <c r="E176" s="15" t="n">
        <v>7</v>
      </c>
      <c r="F176" s="15" t="n">
        <v>219</v>
      </c>
      <c r="G176" s="15" t="n">
        <v>4</v>
      </c>
      <c r="H176" s="16">
        <f>G176/F176</f>
        <v/>
      </c>
      <c r="I176" s="16">
        <f>G176/E176</f>
        <v/>
      </c>
      <c r="J176" s="17" t="n">
        <v>13</v>
      </c>
      <c r="K176" s="17" t="n">
        <v>28</v>
      </c>
      <c r="L176" s="17" t="n">
        <v>1</v>
      </c>
      <c r="M176" s="16">
        <f>L176/K176</f>
        <v/>
      </c>
      <c r="N176" s="16">
        <f>L176/J176</f>
        <v/>
      </c>
      <c r="O176" s="18" t="n">
        <v>1</v>
      </c>
      <c r="P176" s="18" t="n">
        <v>0</v>
      </c>
      <c r="Q176" s="16">
        <f>P176/O176</f>
        <v/>
      </c>
      <c r="R176" s="1" t="n">
        <v>651</v>
      </c>
      <c r="S176" s="1" t="n">
        <v>5</v>
      </c>
      <c r="T176" s="1" t="n">
        <v>0</v>
      </c>
      <c r="U176" s="1" t="n">
        <v>6</v>
      </c>
      <c r="V176" s="1" t="n">
        <v>2</v>
      </c>
      <c r="W176" s="1" t="n">
        <v>1</v>
      </c>
      <c r="X176" s="1" t="n">
        <v>0</v>
      </c>
      <c r="Y176" s="1" t="n">
        <v>0</v>
      </c>
      <c r="Z176" s="1" t="n">
        <v>1</v>
      </c>
      <c r="AA176" s="1" t="n">
        <v>0</v>
      </c>
      <c r="AB176" s="1" t="n">
        <v>0</v>
      </c>
      <c r="AC176" s="1" t="n">
        <v>4</v>
      </c>
      <c r="AD176" s="1" t="n">
        <v>0</v>
      </c>
      <c r="AE176" s="1" t="n">
        <v>2</v>
      </c>
      <c r="AF176" s="1" t="n">
        <v>0</v>
      </c>
      <c r="AG176" s="1" t="n">
        <v>0</v>
      </c>
      <c r="AH176" s="1" t="n">
        <v>2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</row>
    <row r="177">
      <c r="A177" s="1" t="inlineStr">
        <is>
          <t>large cell neuroendocrine carcinoma</t>
        </is>
      </c>
      <c r="B177" s="1" t="inlineStr">
        <is>
          <t>EFO_0000563</t>
        </is>
      </c>
      <c r="C177" s="1" t="inlineStr">
        <is>
          <t>name</t>
        </is>
      </c>
      <c r="D177" s="1" t="n">
        <v>0.05</v>
      </c>
      <c r="E177" s="15" t="n">
        <v>1</v>
      </c>
      <c r="F177" s="15" t="n">
        <v>222</v>
      </c>
      <c r="G177" s="15" t="n">
        <v>0</v>
      </c>
      <c r="H177" s="16">
        <f>G177/F177</f>
        <v/>
      </c>
      <c r="I177" s="16">
        <f>G177/E177</f>
        <v/>
      </c>
      <c r="J177" s="17" t="n">
        <v>0</v>
      </c>
      <c r="K177" s="17" t="n">
        <v>0</v>
      </c>
      <c r="L177" s="17" t="n">
        <v>0</v>
      </c>
      <c r="M177" s="16">
        <f>L177/K177</f>
        <v/>
      </c>
      <c r="N177" s="16">
        <f>L177/J177</f>
        <v/>
      </c>
      <c r="O177" s="18" t="n">
        <v>0</v>
      </c>
      <c r="P177" s="18" t="n">
        <v>0</v>
      </c>
      <c r="Q177" s="16">
        <f>P177/O177</f>
        <v/>
      </c>
      <c r="R177" s="1" t="n">
        <v>31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5</v>
      </c>
      <c r="AK177" s="1" t="n">
        <v>0</v>
      </c>
      <c r="AL177" s="1" t="n">
        <v>1</v>
      </c>
      <c r="AM177" s="1" t="n">
        <v>0</v>
      </c>
    </row>
    <row r="178">
      <c r="A178" s="1" t="inlineStr">
        <is>
          <t>leukemia</t>
        </is>
      </c>
      <c r="B178" s="1" t="inlineStr">
        <is>
          <t>EFO_0000565</t>
        </is>
      </c>
      <c r="C178" s="1" t="inlineStr">
        <is>
          <t>name</t>
        </is>
      </c>
      <c r="D178" s="1" t="n">
        <v>0.05</v>
      </c>
      <c r="E178" s="15" t="n">
        <v>42</v>
      </c>
      <c r="F178" s="15" t="n">
        <v>0</v>
      </c>
      <c r="G178" s="15" t="n">
        <v>0</v>
      </c>
      <c r="H178" s="16">
        <f>G178/F178</f>
        <v/>
      </c>
      <c r="I178" s="16">
        <f>G178/E178</f>
        <v/>
      </c>
      <c r="J178" s="17" t="n">
        <v>39</v>
      </c>
      <c r="K178" s="17" t="n">
        <v>0</v>
      </c>
      <c r="L178" s="17" t="n">
        <v>0</v>
      </c>
      <c r="M178" s="16">
        <f>L178/K178</f>
        <v/>
      </c>
      <c r="N178" s="16">
        <f>L178/J178</f>
        <v/>
      </c>
      <c r="O178" s="18" t="n">
        <v>0</v>
      </c>
      <c r="P178" s="18" t="n">
        <v>0</v>
      </c>
      <c r="Q178" s="16">
        <f>P178/O178</f>
        <v/>
      </c>
      <c r="R178" s="1" t="n">
        <v>2283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3</v>
      </c>
      <c r="AK178" s="1" t="n">
        <v>0</v>
      </c>
      <c r="AL178" s="1" t="n">
        <v>0</v>
      </c>
      <c r="AM178" s="1" t="n">
        <v>1</v>
      </c>
    </row>
    <row r="179">
      <c r="A179" s="1" t="inlineStr">
        <is>
          <t>Lewy body dementia</t>
        </is>
      </c>
      <c r="B179" s="1" t="inlineStr">
        <is>
          <t>EFO_0006792</t>
        </is>
      </c>
      <c r="C179" s="1" t="inlineStr">
        <is>
          <t>name</t>
        </is>
      </c>
      <c r="D179" s="1" t="n">
        <v>0.05</v>
      </c>
      <c r="E179" s="15" t="n">
        <v>0</v>
      </c>
      <c r="F179" s="15" t="n">
        <v>204</v>
      </c>
      <c r="G179" s="15" t="n">
        <v>0</v>
      </c>
      <c r="H179" s="16">
        <f>G179/F179</f>
        <v/>
      </c>
      <c r="I179" s="16">
        <f>G179/E179</f>
        <v/>
      </c>
      <c r="J179" s="17" t="n">
        <v>2</v>
      </c>
      <c r="K179" s="17" t="n">
        <v>23</v>
      </c>
      <c r="L179" s="17" t="n">
        <v>0</v>
      </c>
      <c r="M179" s="16">
        <f>L179/K179</f>
        <v/>
      </c>
      <c r="N179" s="16">
        <f>L179/J179</f>
        <v/>
      </c>
      <c r="O179" s="18" t="n">
        <v>0</v>
      </c>
      <c r="P179" s="18" t="n">
        <v>0</v>
      </c>
      <c r="Q179" s="16">
        <f>P179/O179</f>
        <v/>
      </c>
      <c r="R179" s="1" t="n">
        <v>50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1</v>
      </c>
    </row>
    <row r="180">
      <c r="A180" s="1" t="inlineStr">
        <is>
          <t>lung adenocarcinoma</t>
        </is>
      </c>
      <c r="B180" s="1" t="inlineStr">
        <is>
          <t>EFO_0000571</t>
        </is>
      </c>
      <c r="C180" s="1" t="inlineStr">
        <is>
          <t>name</t>
        </is>
      </c>
      <c r="D180" s="1" t="n">
        <v>0.05</v>
      </c>
      <c r="E180" s="15" t="n">
        <v>13</v>
      </c>
      <c r="F180" s="15" t="n">
        <v>146</v>
      </c>
      <c r="G180" s="15" t="n">
        <v>10</v>
      </c>
      <c r="H180" s="16">
        <f>G180/F180</f>
        <v/>
      </c>
      <c r="I180" s="16">
        <f>G180/E180</f>
        <v/>
      </c>
      <c r="J180" s="17" t="n">
        <v>6</v>
      </c>
      <c r="K180" s="17" t="n">
        <v>231</v>
      </c>
      <c r="L180" s="17" t="n">
        <v>2</v>
      </c>
      <c r="M180" s="16">
        <f>L180/K180</f>
        <v/>
      </c>
      <c r="N180" s="16">
        <f>L180/J180</f>
        <v/>
      </c>
      <c r="O180" s="18" t="n">
        <v>3</v>
      </c>
      <c r="P180" s="18" t="n">
        <v>0</v>
      </c>
      <c r="Q180" s="16">
        <f>P180/O180</f>
        <v/>
      </c>
      <c r="R180" s="1" t="n">
        <v>466</v>
      </c>
      <c r="S180" s="1" t="n">
        <v>12</v>
      </c>
      <c r="T180" s="1" t="n">
        <v>1</v>
      </c>
      <c r="U180" s="1" t="n">
        <v>8</v>
      </c>
      <c r="V180" s="1" t="n">
        <v>13</v>
      </c>
      <c r="W180" s="1" t="n">
        <v>6</v>
      </c>
      <c r="X180" s="1" t="n">
        <v>0</v>
      </c>
      <c r="Y180" s="1" t="n">
        <v>1</v>
      </c>
      <c r="Z180" s="1" t="n">
        <v>13</v>
      </c>
      <c r="AA180" s="1" t="n">
        <v>0</v>
      </c>
      <c r="AB180" s="1" t="n">
        <v>0</v>
      </c>
      <c r="AC180" s="1" t="n">
        <v>2</v>
      </c>
      <c r="AD180" s="1" t="n">
        <v>0</v>
      </c>
      <c r="AE180" s="1" t="n">
        <v>9</v>
      </c>
      <c r="AF180" s="1" t="n">
        <v>0</v>
      </c>
      <c r="AG180" s="1" t="n">
        <v>2</v>
      </c>
      <c r="AH180" s="1" t="n">
        <v>1</v>
      </c>
      <c r="AI180" s="1" t="n">
        <v>2</v>
      </c>
      <c r="AJ180" s="1" t="n">
        <v>3</v>
      </c>
      <c r="AK180" s="1" t="n">
        <v>1</v>
      </c>
      <c r="AL180" s="1" t="n">
        <v>6</v>
      </c>
      <c r="AM180" s="1" t="n">
        <v>3</v>
      </c>
    </row>
    <row r="181">
      <c r="A181" s="1" t="inlineStr">
        <is>
          <t>lupus erythematosus</t>
        </is>
      </c>
      <c r="B181" s="1" t="inlineStr">
        <is>
          <t>MONDO_0004670</t>
        </is>
      </c>
      <c r="C181" s="1" t="inlineStr">
        <is>
          <t>name</t>
        </is>
      </c>
      <c r="D181" s="1" t="n">
        <v>0.05</v>
      </c>
      <c r="E181" s="15" t="n">
        <v>1</v>
      </c>
      <c r="F181" s="15" t="n">
        <v>210</v>
      </c>
      <c r="G181" s="15" t="n">
        <v>0</v>
      </c>
      <c r="H181" s="16">
        <f>G181/F181</f>
        <v/>
      </c>
      <c r="I181" s="16">
        <f>G181/E181</f>
        <v/>
      </c>
      <c r="J181" s="17" t="n">
        <v>0</v>
      </c>
      <c r="K181" s="17" t="n">
        <v>41</v>
      </c>
      <c r="L181" s="17" t="n">
        <v>0</v>
      </c>
      <c r="M181" s="16">
        <f>L181/K181</f>
        <v/>
      </c>
      <c r="N181" s="16">
        <f>L181/J181</f>
        <v/>
      </c>
      <c r="O181" s="18" t="n">
        <v>0</v>
      </c>
      <c r="P181" s="18" t="n">
        <v>0</v>
      </c>
      <c r="Q181" s="16">
        <f>P181/O181</f>
        <v/>
      </c>
      <c r="R181" s="1" t="n">
        <v>45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</row>
    <row r="182">
      <c r="A182" s="1" t="inlineStr">
        <is>
          <t>macular degeneration</t>
        </is>
      </c>
      <c r="B182" s="1" t="inlineStr">
        <is>
          <t>EFO_0009606</t>
        </is>
      </c>
      <c r="C182" s="1" t="inlineStr">
        <is>
          <t>name</t>
        </is>
      </c>
      <c r="D182" s="1" t="n">
        <v>0.05</v>
      </c>
      <c r="E182" s="15" t="n">
        <v>4</v>
      </c>
      <c r="F182" s="15" t="n">
        <v>106</v>
      </c>
      <c r="G182" s="15" t="n">
        <v>0</v>
      </c>
      <c r="H182" s="16">
        <f>G182/F182</f>
        <v/>
      </c>
      <c r="I182" s="16">
        <f>G182/E182</f>
        <v/>
      </c>
      <c r="J182" s="17" t="n">
        <v>4</v>
      </c>
      <c r="K182" s="17" t="n">
        <v>131</v>
      </c>
      <c r="L182" s="17" t="n">
        <v>1</v>
      </c>
      <c r="M182" s="16">
        <f>L182/K182</f>
        <v/>
      </c>
      <c r="N182" s="16">
        <f>L182/J182</f>
        <v/>
      </c>
      <c r="O182" s="18" t="n">
        <v>2</v>
      </c>
      <c r="P182" s="18" t="n">
        <v>0</v>
      </c>
      <c r="Q182" s="16">
        <f>P182/O182</f>
        <v/>
      </c>
      <c r="R182" s="1" t="n">
        <v>336</v>
      </c>
      <c r="S182" s="1" t="n">
        <v>1</v>
      </c>
      <c r="T182" s="1" t="n">
        <v>0</v>
      </c>
      <c r="U182" s="1" t="n">
        <v>0</v>
      </c>
      <c r="V182" s="1" t="n">
        <v>0</v>
      </c>
      <c r="W182" s="1" t="n">
        <v>1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1</v>
      </c>
      <c r="AH182" s="1" t="n">
        <v>0</v>
      </c>
      <c r="AI182" s="1" t="n">
        <v>0</v>
      </c>
      <c r="AJ182" s="1" t="n">
        <v>0</v>
      </c>
      <c r="AK182" s="1" t="n">
        <v>1</v>
      </c>
      <c r="AL182" s="1" t="n">
        <v>2</v>
      </c>
      <c r="AM182" s="1" t="n">
        <v>1</v>
      </c>
    </row>
    <row r="183">
      <c r="A183" s="1" t="inlineStr">
        <is>
          <t>malignant pleural mesothelioma</t>
        </is>
      </c>
      <c r="B183" s="1" t="inlineStr">
        <is>
          <t>EFO_0000770</t>
        </is>
      </c>
      <c r="C183" s="1" t="inlineStr">
        <is>
          <t>name</t>
        </is>
      </c>
      <c r="D183" s="1" t="n">
        <v>0.05</v>
      </c>
      <c r="E183" s="15" t="n">
        <v>4</v>
      </c>
      <c r="F183" s="15" t="n">
        <v>202</v>
      </c>
      <c r="G183" s="15" t="n">
        <v>3</v>
      </c>
      <c r="H183" s="16">
        <f>G183/F183</f>
        <v/>
      </c>
      <c r="I183" s="16">
        <f>G183/E183</f>
        <v/>
      </c>
      <c r="J183" s="17" t="n">
        <v>3</v>
      </c>
      <c r="K183" s="17" t="n">
        <v>12</v>
      </c>
      <c r="L183" s="17" t="n">
        <v>0</v>
      </c>
      <c r="M183" s="16">
        <f>L183/K183</f>
        <v/>
      </c>
      <c r="N183" s="16">
        <f>L183/J183</f>
        <v/>
      </c>
      <c r="O183" s="18" t="n">
        <v>0</v>
      </c>
      <c r="P183" s="18" t="n">
        <v>0</v>
      </c>
      <c r="Q183" s="16">
        <f>P183/O183</f>
        <v/>
      </c>
      <c r="R183" s="1" t="n">
        <v>246</v>
      </c>
      <c r="S183" s="1" t="n">
        <v>3</v>
      </c>
      <c r="T183" s="1" t="n">
        <v>0</v>
      </c>
      <c r="U183" s="1" t="n">
        <v>5</v>
      </c>
      <c r="V183" s="1" t="n">
        <v>10</v>
      </c>
      <c r="W183" s="1" t="n">
        <v>3</v>
      </c>
      <c r="X183" s="1" t="n">
        <v>1</v>
      </c>
      <c r="Y183" s="1" t="n">
        <v>5</v>
      </c>
      <c r="Z183" s="1" t="n">
        <v>6</v>
      </c>
      <c r="AA183" s="1" t="n">
        <v>0</v>
      </c>
      <c r="AB183" s="1" t="n">
        <v>1</v>
      </c>
      <c r="AC183" s="1" t="n">
        <v>3</v>
      </c>
      <c r="AD183" s="1" t="n">
        <v>0</v>
      </c>
      <c r="AE183" s="1" t="n">
        <v>0</v>
      </c>
      <c r="AF183" s="1" t="n">
        <v>1</v>
      </c>
      <c r="AG183" s="1" t="n">
        <v>2</v>
      </c>
      <c r="AH183" s="1" t="n">
        <v>1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</row>
    <row r="184">
      <c r="A184" s="1" t="inlineStr">
        <is>
          <t>Marfan syndrome</t>
        </is>
      </c>
      <c r="B184" s="1" t="inlineStr">
        <is>
          <t>MONDO_0007947</t>
        </is>
      </c>
      <c r="C184" s="1" t="inlineStr">
        <is>
          <t>name</t>
        </is>
      </c>
      <c r="D184" s="1" t="n">
        <v>0.05</v>
      </c>
      <c r="E184" s="15" t="n">
        <v>2</v>
      </c>
      <c r="F184" s="15" t="n">
        <v>66</v>
      </c>
      <c r="G184" s="15" t="n">
        <v>1</v>
      </c>
      <c r="H184" s="16">
        <f>G184/F184</f>
        <v/>
      </c>
      <c r="I184" s="16">
        <f>G184/E184</f>
        <v/>
      </c>
      <c r="J184" s="17" t="n">
        <v>3</v>
      </c>
      <c r="K184" s="17" t="n">
        <v>0</v>
      </c>
      <c r="L184" s="17" t="n">
        <v>0</v>
      </c>
      <c r="M184" s="16">
        <f>L184/K184</f>
        <v/>
      </c>
      <c r="N184" s="16">
        <f>L184/J184</f>
        <v/>
      </c>
      <c r="O184" s="18" t="n">
        <v>0</v>
      </c>
      <c r="P184" s="18" t="n">
        <v>0</v>
      </c>
      <c r="Q184" s="16">
        <f>P184/O184</f>
        <v/>
      </c>
      <c r="R184" s="1" t="n">
        <v>109</v>
      </c>
      <c r="S184" s="1" t="n">
        <v>1</v>
      </c>
      <c r="T184" s="1" t="n">
        <v>0</v>
      </c>
      <c r="U184" s="1" t="n">
        <v>0</v>
      </c>
      <c r="V184" s="1" t="n">
        <v>1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1</v>
      </c>
      <c r="AH184" s="1" t="n">
        <v>0</v>
      </c>
      <c r="AI184" s="1" t="n">
        <v>0</v>
      </c>
      <c r="AJ184" s="1" t="n">
        <v>5</v>
      </c>
      <c r="AK184" s="1" t="n">
        <v>0</v>
      </c>
      <c r="AL184" s="1" t="n">
        <v>3</v>
      </c>
      <c r="AM184" s="1" t="n">
        <v>3</v>
      </c>
    </row>
    <row r="185">
      <c r="A185" s="1" t="inlineStr">
        <is>
          <t>melanoma</t>
        </is>
      </c>
      <c r="B185" s="1" t="inlineStr">
        <is>
          <t>EFO_0000756</t>
        </is>
      </c>
      <c r="C185" s="1" t="inlineStr">
        <is>
          <t>name</t>
        </is>
      </c>
      <c r="D185" s="1" t="n">
        <v>0.05</v>
      </c>
      <c r="E185" s="15" t="n">
        <v>39</v>
      </c>
      <c r="F185" s="15" t="n">
        <v>31</v>
      </c>
      <c r="G185" s="15" t="n">
        <v>3</v>
      </c>
      <c r="H185" s="16">
        <f>G185/F185</f>
        <v/>
      </c>
      <c r="I185" s="16">
        <f>G185/E185</f>
        <v/>
      </c>
      <c r="J185" s="17" t="n">
        <v>39</v>
      </c>
      <c r="K185" s="17" t="n">
        <v>874</v>
      </c>
      <c r="L185" s="17" t="n">
        <v>24</v>
      </c>
      <c r="M185" s="16">
        <f>L185/K185</f>
        <v/>
      </c>
      <c r="N185" s="16">
        <f>L185/J185</f>
        <v/>
      </c>
      <c r="O185" s="18" t="n">
        <v>1</v>
      </c>
      <c r="P185" s="18" t="n">
        <v>0</v>
      </c>
      <c r="Q185" s="16">
        <f>P185/O185</f>
        <v/>
      </c>
      <c r="R185" s="1" t="n">
        <v>2142</v>
      </c>
      <c r="S185" s="1" t="n">
        <v>27</v>
      </c>
      <c r="T185" s="1" t="n">
        <v>2</v>
      </c>
      <c r="U185" s="1" t="n">
        <v>25</v>
      </c>
      <c r="V185" s="1" t="n">
        <v>32</v>
      </c>
      <c r="W185" s="1" t="n">
        <v>5</v>
      </c>
      <c r="X185" s="1" t="n">
        <v>1</v>
      </c>
      <c r="Y185" s="1" t="n">
        <v>7</v>
      </c>
      <c r="Z185" s="1" t="n">
        <v>19</v>
      </c>
      <c r="AA185" s="1" t="n">
        <v>0</v>
      </c>
      <c r="AB185" s="1" t="n">
        <v>0</v>
      </c>
      <c r="AC185" s="1" t="n">
        <v>12</v>
      </c>
      <c r="AD185" s="1" t="n">
        <v>0</v>
      </c>
      <c r="AE185" s="1" t="n">
        <v>15</v>
      </c>
      <c r="AF185" s="1" t="n">
        <v>1</v>
      </c>
      <c r="AG185" s="1" t="n">
        <v>4</v>
      </c>
      <c r="AH185" s="1" t="n">
        <v>7</v>
      </c>
      <c r="AI185" s="1" t="n">
        <v>0</v>
      </c>
      <c r="AJ185" s="1" t="n">
        <v>3</v>
      </c>
      <c r="AK185" s="1" t="n">
        <v>7</v>
      </c>
      <c r="AL185" s="1" t="n">
        <v>5</v>
      </c>
      <c r="AM185" s="1" t="n">
        <v>3</v>
      </c>
    </row>
    <row r="186">
      <c r="A186" s="1" t="inlineStr">
        <is>
          <t>MELAS syndrome</t>
        </is>
      </c>
      <c r="B186" s="1" t="inlineStr">
        <is>
          <t>MONDO_0010789</t>
        </is>
      </c>
      <c r="C186" s="1" t="inlineStr">
        <is>
          <t>name</t>
        </is>
      </c>
      <c r="D186" s="1" t="n">
        <v>0.05</v>
      </c>
      <c r="E186" s="15" t="n">
        <v>0</v>
      </c>
      <c r="F186" s="15" t="n">
        <v>172</v>
      </c>
      <c r="G186" s="15" t="n">
        <v>0</v>
      </c>
      <c r="H186" s="16">
        <f>G186/F186</f>
        <v/>
      </c>
      <c r="I186" s="16">
        <f>G186/E186</f>
        <v/>
      </c>
      <c r="J186" s="17" t="n">
        <v>0</v>
      </c>
      <c r="K186" s="17" t="n">
        <v>89</v>
      </c>
      <c r="L186" s="17" t="n">
        <v>0</v>
      </c>
      <c r="M186" s="16">
        <f>L186/K186</f>
        <v/>
      </c>
      <c r="N186" s="16">
        <f>L186/J186</f>
        <v/>
      </c>
      <c r="O186" s="18" t="n">
        <v>2</v>
      </c>
      <c r="P186" s="18" t="n">
        <v>0</v>
      </c>
      <c r="Q186" s="16">
        <f>P186/O186</f>
        <v/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</row>
    <row r="187">
      <c r="A187" s="1" t="inlineStr">
        <is>
          <t>Meningococcal infection</t>
        </is>
      </c>
      <c r="B187" s="1" t="inlineStr">
        <is>
          <t>EFO_0004249</t>
        </is>
      </c>
      <c r="C187" s="1" t="inlineStr">
        <is>
          <t>name</t>
        </is>
      </c>
      <c r="D187" s="1" t="n">
        <v>0.05</v>
      </c>
      <c r="E187" s="15" t="n">
        <v>0</v>
      </c>
      <c r="F187" s="15" t="n">
        <v>75</v>
      </c>
      <c r="G187" s="15" t="n">
        <v>0</v>
      </c>
      <c r="H187" s="16">
        <f>G187/F187</f>
        <v/>
      </c>
      <c r="I187" s="16">
        <f>G187/E187</f>
        <v/>
      </c>
      <c r="J187" s="17" t="n">
        <v>0</v>
      </c>
      <c r="K187" s="17" t="n">
        <v>920</v>
      </c>
      <c r="L187" s="17" t="n">
        <v>0</v>
      </c>
      <c r="M187" s="16">
        <f>L187/K187</f>
        <v/>
      </c>
      <c r="N187" s="16">
        <f>L187/J187</f>
        <v/>
      </c>
      <c r="O187" s="18" t="n">
        <v>5</v>
      </c>
      <c r="P187" s="18" t="n">
        <v>0</v>
      </c>
      <c r="Q187" s="16">
        <f>P187/O187</f>
        <v/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</row>
    <row r="188">
      <c r="A188" s="1" t="inlineStr">
        <is>
          <t>morbid obesity</t>
        </is>
      </c>
      <c r="B188" s="1" t="inlineStr">
        <is>
          <t>EFO_0001074</t>
        </is>
      </c>
      <c r="C188" s="1" t="inlineStr">
        <is>
          <t>name</t>
        </is>
      </c>
      <c r="D188" s="1" t="n">
        <v>0.05</v>
      </c>
      <c r="E188" s="15" t="n">
        <v>1</v>
      </c>
      <c r="F188" s="15" t="n">
        <v>19</v>
      </c>
      <c r="G188" s="15" t="n">
        <v>0</v>
      </c>
      <c r="H188" s="16">
        <f>G188/F188</f>
        <v/>
      </c>
      <c r="I188" s="16">
        <f>G188/E188</f>
        <v/>
      </c>
      <c r="J188" s="17" t="n">
        <v>4</v>
      </c>
      <c r="K188" s="17" t="n">
        <v>3</v>
      </c>
      <c r="L188" s="17" t="n">
        <v>0</v>
      </c>
      <c r="M188" s="16">
        <f>L188/K188</f>
        <v/>
      </c>
      <c r="N188" s="16">
        <f>L188/J188</f>
        <v/>
      </c>
      <c r="O188" s="18" t="n">
        <v>0</v>
      </c>
      <c r="P188" s="18" t="n">
        <v>0</v>
      </c>
      <c r="Q188" s="16">
        <f>P188/O188</f>
        <v/>
      </c>
      <c r="R188" s="1" t="n">
        <v>262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1</v>
      </c>
      <c r="AL188" s="1" t="n">
        <v>0</v>
      </c>
      <c r="AM188" s="1" t="n">
        <v>0</v>
      </c>
    </row>
    <row r="189">
      <c r="A189" s="1" t="inlineStr">
        <is>
          <t>muscular dystrophy</t>
        </is>
      </c>
      <c r="B189" s="1" t="inlineStr">
        <is>
          <t>MONDO_0020121</t>
        </is>
      </c>
      <c r="C189" s="1" t="inlineStr">
        <is>
          <t>name</t>
        </is>
      </c>
      <c r="D189" s="1" t="n">
        <v>0.05</v>
      </c>
      <c r="E189" s="15" t="n">
        <v>1</v>
      </c>
      <c r="F189" s="15" t="n">
        <v>61</v>
      </c>
      <c r="G189" s="15" t="n">
        <v>0</v>
      </c>
      <c r="H189" s="16">
        <f>G189/F189</f>
        <v/>
      </c>
      <c r="I189" s="16">
        <f>G189/E189</f>
        <v/>
      </c>
      <c r="J189" s="17" t="n">
        <v>1</v>
      </c>
      <c r="K189" s="17" t="n">
        <v>1</v>
      </c>
      <c r="L189" s="17" t="n">
        <v>0</v>
      </c>
      <c r="M189" s="16">
        <f>L189/K189</f>
        <v/>
      </c>
      <c r="N189" s="16">
        <f>L189/J189</f>
        <v/>
      </c>
      <c r="O189" s="18" t="n">
        <v>0</v>
      </c>
      <c r="P189" s="18" t="n">
        <v>0</v>
      </c>
      <c r="Q189" s="16">
        <f>P189/O189</f>
        <v/>
      </c>
      <c r="R189" s="1" t="n">
        <v>45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2</v>
      </c>
      <c r="AK189" s="1" t="n">
        <v>0</v>
      </c>
      <c r="AL189" s="1" t="n">
        <v>0</v>
      </c>
      <c r="AM189" s="1" t="n">
        <v>0</v>
      </c>
    </row>
    <row r="190">
      <c r="A190" s="1" t="inlineStr">
        <is>
          <t>myelodysplastic syndrome</t>
        </is>
      </c>
      <c r="B190" s="1" t="inlineStr">
        <is>
          <t>EFO_0000198</t>
        </is>
      </c>
      <c r="C190" s="1" t="inlineStr">
        <is>
          <t>name</t>
        </is>
      </c>
      <c r="D190" s="1" t="n">
        <v>0.05</v>
      </c>
      <c r="E190" s="15" t="n">
        <v>40</v>
      </c>
      <c r="F190" s="15" t="n">
        <v>221</v>
      </c>
      <c r="G190" s="15" t="n">
        <v>27</v>
      </c>
      <c r="H190" s="16">
        <f>G190/F190</f>
        <v/>
      </c>
      <c r="I190" s="16">
        <f>G190/E190</f>
        <v/>
      </c>
      <c r="J190" s="17" t="n">
        <v>30</v>
      </c>
      <c r="K190" s="17" t="n">
        <v>672</v>
      </c>
      <c r="L190" s="17" t="n">
        <v>15</v>
      </c>
      <c r="M190" s="16">
        <f>L190/K190</f>
        <v/>
      </c>
      <c r="N190" s="16">
        <f>L190/J190</f>
        <v/>
      </c>
      <c r="O190" s="18" t="n">
        <v>18</v>
      </c>
      <c r="P190" s="18" t="n">
        <v>0</v>
      </c>
      <c r="Q190" s="16">
        <f>P190/O190</f>
        <v/>
      </c>
      <c r="R190" s="1" t="n">
        <v>1767</v>
      </c>
      <c r="S190" s="1" t="n">
        <v>42</v>
      </c>
      <c r="T190" s="1" t="n">
        <v>0</v>
      </c>
      <c r="U190" s="1" t="n">
        <v>47</v>
      </c>
      <c r="V190" s="1" t="n">
        <v>48</v>
      </c>
      <c r="W190" s="1" t="n">
        <v>14</v>
      </c>
      <c r="X190" s="1" t="n">
        <v>0</v>
      </c>
      <c r="Y190" s="1" t="n">
        <v>5</v>
      </c>
      <c r="Z190" s="1" t="n">
        <v>48</v>
      </c>
      <c r="AA190" s="1" t="n">
        <v>0</v>
      </c>
      <c r="AB190" s="1" t="n">
        <v>2</v>
      </c>
      <c r="AC190" s="1" t="n">
        <v>13</v>
      </c>
      <c r="AD190" s="1" t="n">
        <v>0</v>
      </c>
      <c r="AE190" s="1" t="n">
        <v>20</v>
      </c>
      <c r="AF190" s="1" t="n">
        <v>0</v>
      </c>
      <c r="AG190" s="1" t="n">
        <v>14</v>
      </c>
      <c r="AH190" s="1" t="n">
        <v>7</v>
      </c>
      <c r="AI190" s="1" t="n">
        <v>0</v>
      </c>
      <c r="AJ190" s="1" t="n">
        <v>0</v>
      </c>
      <c r="AK190" s="1" t="n">
        <v>0</v>
      </c>
      <c r="AL190" s="1" t="n">
        <v>1</v>
      </c>
      <c r="AM190" s="1" t="n">
        <v>0</v>
      </c>
    </row>
    <row r="191">
      <c r="A191" s="1" t="inlineStr">
        <is>
          <t>myocardial infarction</t>
        </is>
      </c>
      <c r="B191" s="1" t="inlineStr">
        <is>
          <t>EFO_0000612</t>
        </is>
      </c>
      <c r="C191" s="1" t="inlineStr">
        <is>
          <t>name</t>
        </is>
      </c>
      <c r="D191" s="1" t="n">
        <v>0.05</v>
      </c>
      <c r="E191" s="15" t="n">
        <v>13</v>
      </c>
      <c r="F191" s="15" t="n">
        <v>319</v>
      </c>
      <c r="G191" s="15" t="n">
        <v>11</v>
      </c>
      <c r="H191" s="16">
        <f>G191/F191</f>
        <v/>
      </c>
      <c r="I191" s="16">
        <f>G191/E191</f>
        <v/>
      </c>
      <c r="J191" s="17" t="n">
        <v>30</v>
      </c>
      <c r="K191" s="17" t="n">
        <v>122</v>
      </c>
      <c r="L191" s="17" t="n">
        <v>2</v>
      </c>
      <c r="M191" s="16">
        <f>L191/K191</f>
        <v/>
      </c>
      <c r="N191" s="16">
        <f>L191/J191</f>
        <v/>
      </c>
      <c r="O191" s="18" t="n">
        <v>5</v>
      </c>
      <c r="P191" s="18" t="n">
        <v>0</v>
      </c>
      <c r="Q191" s="16">
        <f>P191/O191</f>
        <v/>
      </c>
      <c r="R191" s="1" t="n">
        <v>1312</v>
      </c>
      <c r="S191" s="1" t="n">
        <v>13</v>
      </c>
      <c r="T191" s="1" t="n">
        <v>0</v>
      </c>
      <c r="U191" s="1" t="n">
        <v>0</v>
      </c>
      <c r="V191" s="1" t="n">
        <v>6</v>
      </c>
      <c r="W191" s="1" t="n">
        <v>6</v>
      </c>
      <c r="X191" s="1" t="n">
        <v>8</v>
      </c>
      <c r="Y191" s="1" t="n">
        <v>0</v>
      </c>
      <c r="Z191" s="1" t="n">
        <v>8</v>
      </c>
      <c r="AA191" s="1" t="n">
        <v>0</v>
      </c>
      <c r="AB191" s="1" t="n">
        <v>1</v>
      </c>
      <c r="AC191" s="1" t="n">
        <v>1</v>
      </c>
      <c r="AD191" s="1" t="n">
        <v>0</v>
      </c>
      <c r="AE191" s="1" t="n">
        <v>2</v>
      </c>
      <c r="AF191" s="1" t="n">
        <v>5</v>
      </c>
      <c r="AG191" s="1" t="n">
        <v>3</v>
      </c>
      <c r="AH191" s="1" t="n">
        <v>0</v>
      </c>
      <c r="AI191" s="1" t="n">
        <v>0</v>
      </c>
      <c r="AJ191" s="1" t="n">
        <v>3</v>
      </c>
      <c r="AK191" s="1" t="n">
        <v>0</v>
      </c>
      <c r="AL191" s="1" t="n">
        <v>0</v>
      </c>
      <c r="AM191" s="1" t="n">
        <v>2</v>
      </c>
    </row>
    <row r="192">
      <c r="A192" s="1" t="inlineStr">
        <is>
          <t>myotonic dystrophy type 1</t>
        </is>
      </c>
      <c r="B192" s="1" t="inlineStr">
        <is>
          <t>MONDO_0008056</t>
        </is>
      </c>
      <c r="C192" s="1" t="inlineStr">
        <is>
          <t>name</t>
        </is>
      </c>
      <c r="D192" s="1" t="n">
        <v>0.05</v>
      </c>
      <c r="E192" s="15" t="n">
        <v>0</v>
      </c>
      <c r="F192" s="15" t="n">
        <v>182</v>
      </c>
      <c r="G192" s="15" t="n">
        <v>0</v>
      </c>
      <c r="H192" s="16">
        <f>G192/F192</f>
        <v/>
      </c>
      <c r="I192" s="16">
        <f>G192/E192</f>
        <v/>
      </c>
      <c r="J192" s="17" t="n">
        <v>1</v>
      </c>
      <c r="K192" s="17" t="n">
        <v>490</v>
      </c>
      <c r="L192" s="17" t="n">
        <v>0</v>
      </c>
      <c r="M192" s="16">
        <f>L192/K192</f>
        <v/>
      </c>
      <c r="N192" s="16">
        <f>L192/J192</f>
        <v/>
      </c>
      <c r="O192" s="18" t="n">
        <v>8</v>
      </c>
      <c r="P192" s="18" t="n">
        <v>0</v>
      </c>
      <c r="Q192" s="16">
        <f>P192/O192</f>
        <v/>
      </c>
      <c r="R192" s="1" t="n">
        <v>4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15</v>
      </c>
      <c r="AK192" s="1" t="n">
        <v>0</v>
      </c>
      <c r="AL192" s="1" t="n">
        <v>17</v>
      </c>
      <c r="AM192" s="1" t="n">
        <v>6</v>
      </c>
    </row>
    <row r="193">
      <c r="A193" s="1" t="inlineStr">
        <is>
          <t>nephroblastoma</t>
        </is>
      </c>
      <c r="B193" s="1" t="inlineStr">
        <is>
          <t>Orphanet_654</t>
        </is>
      </c>
      <c r="C193" s="1" t="inlineStr">
        <is>
          <t>name</t>
        </is>
      </c>
      <c r="D193" s="1" t="n">
        <v>0.05</v>
      </c>
      <c r="E193" s="15" t="n">
        <v>0</v>
      </c>
      <c r="F193" s="15" t="n">
        <v>214</v>
      </c>
      <c r="G193" s="15" t="n">
        <v>0</v>
      </c>
      <c r="H193" s="16">
        <f>G193/F193</f>
        <v/>
      </c>
      <c r="I193" s="16">
        <f>G193/E193</f>
        <v/>
      </c>
      <c r="J193" s="17" t="n">
        <v>0</v>
      </c>
      <c r="K193" s="17" t="n">
        <v>96</v>
      </c>
      <c r="L193" s="17" t="n">
        <v>0</v>
      </c>
      <c r="M193" s="16">
        <f>L193/K193</f>
        <v/>
      </c>
      <c r="N193" s="16">
        <f>L193/J193</f>
        <v/>
      </c>
      <c r="O193" s="18" t="n">
        <v>1</v>
      </c>
      <c r="P193" s="18" t="n">
        <v>0</v>
      </c>
      <c r="Q193" s="16">
        <f>P193/O193</f>
        <v/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</row>
    <row r="194">
      <c r="A194" s="1" t="inlineStr">
        <is>
          <t>nephrosclerosis</t>
        </is>
      </c>
      <c r="B194" s="1" t="inlineStr">
        <is>
          <t>EFO_1000041</t>
        </is>
      </c>
      <c r="C194" s="1" t="inlineStr">
        <is>
          <t>name</t>
        </is>
      </c>
      <c r="D194" s="1" t="n">
        <v>0.05</v>
      </c>
      <c r="E194" s="15" t="n">
        <v>0</v>
      </c>
      <c r="F194" s="15" t="n">
        <v>231</v>
      </c>
      <c r="G194" s="15" t="n">
        <v>0</v>
      </c>
      <c r="H194" s="16">
        <f>G194/F194</f>
        <v/>
      </c>
      <c r="I194" s="16">
        <f>G194/E194</f>
        <v/>
      </c>
      <c r="J194" s="17" t="n">
        <v>0</v>
      </c>
      <c r="K194" s="17" t="n">
        <v>530</v>
      </c>
      <c r="L194" s="17" t="n">
        <v>0</v>
      </c>
      <c r="M194" s="16">
        <f>L194/K194</f>
        <v/>
      </c>
      <c r="N194" s="16">
        <f>L194/J194</f>
        <v/>
      </c>
      <c r="O194" s="18" t="n">
        <v>11</v>
      </c>
      <c r="P194" s="18" t="n">
        <v>0</v>
      </c>
      <c r="Q194" s="16">
        <f>P194/O194</f>
        <v/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1</v>
      </c>
      <c r="AK194" s="1" t="n">
        <v>0</v>
      </c>
      <c r="AL194" s="1" t="n">
        <v>0</v>
      </c>
      <c r="AM194" s="1" t="n">
        <v>0</v>
      </c>
    </row>
    <row r="195">
      <c r="A195" s="1" t="inlineStr">
        <is>
          <t>nicotine dependence</t>
        </is>
      </c>
      <c r="B195" s="1" t="inlineStr">
        <is>
          <t>EFO_0003768</t>
        </is>
      </c>
      <c r="C195" s="1" t="inlineStr">
        <is>
          <t>name</t>
        </is>
      </c>
      <c r="D195" s="1" t="n">
        <v>0.05</v>
      </c>
      <c r="E195" s="15" t="n">
        <v>9</v>
      </c>
      <c r="F195" s="15" t="n">
        <v>24</v>
      </c>
      <c r="G195" s="15" t="n">
        <v>0</v>
      </c>
      <c r="H195" s="16">
        <f>G195/F195</f>
        <v/>
      </c>
      <c r="I195" s="16">
        <f>G195/E195</f>
        <v/>
      </c>
      <c r="J195" s="17" t="n">
        <v>27</v>
      </c>
      <c r="K195" s="17" t="n">
        <v>886</v>
      </c>
      <c r="L195" s="17" t="n">
        <v>20</v>
      </c>
      <c r="M195" s="16">
        <f>L195/K195</f>
        <v/>
      </c>
      <c r="N195" s="16">
        <f>L195/J195</f>
        <v/>
      </c>
      <c r="O195" s="18" t="n">
        <v>2</v>
      </c>
      <c r="P195" s="18" t="n">
        <v>0</v>
      </c>
      <c r="Q195" s="16">
        <f>P195/O195</f>
        <v/>
      </c>
      <c r="R195" s="1" t="n">
        <v>785</v>
      </c>
      <c r="S195" s="1" t="n">
        <v>20</v>
      </c>
      <c r="T195" s="1" t="n">
        <v>4</v>
      </c>
      <c r="U195" s="1" t="n">
        <v>8</v>
      </c>
      <c r="V195" s="1" t="n">
        <v>14</v>
      </c>
      <c r="W195" s="1" t="n">
        <v>5</v>
      </c>
      <c r="X195" s="1" t="n">
        <v>0</v>
      </c>
      <c r="Y195" s="1" t="n">
        <v>0</v>
      </c>
      <c r="Z195" s="1" t="n">
        <v>23</v>
      </c>
      <c r="AA195" s="1" t="n">
        <v>0</v>
      </c>
      <c r="AB195" s="1" t="n">
        <v>0</v>
      </c>
      <c r="AC195" s="1" t="n">
        <v>1</v>
      </c>
      <c r="AD195" s="1" t="n">
        <v>0</v>
      </c>
      <c r="AE195" s="1" t="n">
        <v>4</v>
      </c>
      <c r="AF195" s="1" t="n">
        <v>1</v>
      </c>
      <c r="AG195" s="1" t="n">
        <v>2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</row>
    <row r="196">
      <c r="A196" s="1" t="inlineStr">
        <is>
          <t>oligodendroglioma</t>
        </is>
      </c>
      <c r="B196" s="1" t="inlineStr">
        <is>
          <t>EFO_0000632</t>
        </is>
      </c>
      <c r="C196" s="1" t="inlineStr">
        <is>
          <t>name</t>
        </is>
      </c>
      <c r="D196" s="1" t="n">
        <v>0.05</v>
      </c>
      <c r="E196" s="15" t="n">
        <v>4</v>
      </c>
      <c r="F196" s="15" t="n">
        <v>191</v>
      </c>
      <c r="G196" s="15" t="n">
        <v>2</v>
      </c>
      <c r="H196" s="16">
        <f>G196/F196</f>
        <v/>
      </c>
      <c r="I196" s="16">
        <f>G196/E196</f>
        <v/>
      </c>
      <c r="J196" s="17" t="n">
        <v>2</v>
      </c>
      <c r="K196" s="17" t="n">
        <v>122</v>
      </c>
      <c r="L196" s="17" t="n">
        <v>0</v>
      </c>
      <c r="M196" s="16">
        <f>L196/K196</f>
        <v/>
      </c>
      <c r="N196" s="16">
        <f>L196/J196</f>
        <v/>
      </c>
      <c r="O196" s="18" t="n">
        <v>1</v>
      </c>
      <c r="P196" s="18" t="n">
        <v>0</v>
      </c>
      <c r="Q196" s="16">
        <f>P196/O196</f>
        <v/>
      </c>
      <c r="R196" s="1" t="n">
        <v>135</v>
      </c>
      <c r="S196" s="1" t="n">
        <v>2</v>
      </c>
      <c r="T196" s="1" t="n">
        <v>0</v>
      </c>
      <c r="U196" s="1" t="n">
        <v>0</v>
      </c>
      <c r="V196" s="1" t="n">
        <v>2</v>
      </c>
      <c r="W196" s="1" t="n">
        <v>0</v>
      </c>
      <c r="X196" s="1" t="n">
        <v>0</v>
      </c>
      <c r="Y196" s="1" t="n">
        <v>1</v>
      </c>
      <c r="Z196" s="1" t="n">
        <v>1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</row>
    <row r="197">
      <c r="A197" s="1" t="inlineStr">
        <is>
          <t>Osteolysis</t>
        </is>
      </c>
      <c r="B197" s="1" t="inlineStr">
        <is>
          <t>HP_0002797</t>
        </is>
      </c>
      <c r="C197" s="1" t="inlineStr">
        <is>
          <t>name</t>
        </is>
      </c>
      <c r="D197" s="1" t="n">
        <v>0.05</v>
      </c>
      <c r="E197" s="15" t="n">
        <v>0</v>
      </c>
      <c r="F197" s="15" t="n">
        <v>278</v>
      </c>
      <c r="G197" s="15" t="n">
        <v>0</v>
      </c>
      <c r="H197" s="16">
        <f>G197/F197</f>
        <v/>
      </c>
      <c r="I197" s="16">
        <f>G197/E197</f>
        <v/>
      </c>
      <c r="J197" s="17" t="n">
        <v>0</v>
      </c>
      <c r="K197" s="17" t="n">
        <v>302</v>
      </c>
      <c r="L197" s="17" t="n">
        <v>0</v>
      </c>
      <c r="M197" s="16">
        <f>L197/K197</f>
        <v/>
      </c>
      <c r="N197" s="16">
        <f>L197/J197</f>
        <v/>
      </c>
      <c r="O197" s="18" t="n">
        <v>14</v>
      </c>
      <c r="P197" s="18" t="n">
        <v>0</v>
      </c>
      <c r="Q197" s="16">
        <f>P197/O197</f>
        <v/>
      </c>
      <c r="R197" s="1" t="n">
        <v>11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</row>
    <row r="198">
      <c r="A198" s="1" t="inlineStr">
        <is>
          <t>osteoporosis</t>
        </is>
      </c>
      <c r="B198" s="1" t="inlineStr">
        <is>
          <t>EFO_0003882</t>
        </is>
      </c>
      <c r="C198" s="1" t="inlineStr">
        <is>
          <t>name</t>
        </is>
      </c>
      <c r="D198" s="1" t="n">
        <v>0.05</v>
      </c>
      <c r="E198" s="15" t="n">
        <v>2</v>
      </c>
      <c r="F198" s="15" t="n">
        <v>147</v>
      </c>
      <c r="G198" s="15" t="n">
        <v>1</v>
      </c>
      <c r="H198" s="16">
        <f>G198/F198</f>
        <v/>
      </c>
      <c r="I198" s="16">
        <f>G198/E198</f>
        <v/>
      </c>
      <c r="J198" s="17" t="n">
        <v>10</v>
      </c>
      <c r="K198" s="17" t="n">
        <v>297</v>
      </c>
      <c r="L198" s="17" t="n">
        <v>4</v>
      </c>
      <c r="M198" s="16">
        <f>L198/K198</f>
        <v/>
      </c>
      <c r="N198" s="16">
        <f>L198/J198</f>
        <v/>
      </c>
      <c r="O198" s="18" t="n">
        <v>5</v>
      </c>
      <c r="P198" s="18" t="n">
        <v>0</v>
      </c>
      <c r="Q198" s="16">
        <f>P198/O198</f>
        <v/>
      </c>
      <c r="R198" s="1" t="n">
        <v>668</v>
      </c>
      <c r="S198" s="1" t="n">
        <v>5</v>
      </c>
      <c r="T198" s="1" t="n">
        <v>1</v>
      </c>
      <c r="U198" s="1" t="n">
        <v>3</v>
      </c>
      <c r="V198" s="1" t="n">
        <v>1</v>
      </c>
      <c r="W198" s="1" t="n">
        <v>4</v>
      </c>
      <c r="X198" s="1" t="n">
        <v>1</v>
      </c>
      <c r="Y198" s="1" t="n">
        <v>0</v>
      </c>
      <c r="Z198" s="1" t="n">
        <v>6</v>
      </c>
      <c r="AA198" s="1" t="n">
        <v>0</v>
      </c>
      <c r="AB198" s="1" t="n">
        <v>1</v>
      </c>
      <c r="AC198" s="1" t="n">
        <v>0</v>
      </c>
      <c r="AD198" s="1" t="n">
        <v>0</v>
      </c>
      <c r="AE198" s="1" t="n">
        <v>2</v>
      </c>
      <c r="AF198" s="1" t="n">
        <v>1</v>
      </c>
      <c r="AG198" s="1" t="n">
        <v>0</v>
      </c>
      <c r="AH198" s="1" t="n">
        <v>0</v>
      </c>
      <c r="AI198" s="1" t="n">
        <v>0</v>
      </c>
      <c r="AJ198" s="1" t="n">
        <v>2</v>
      </c>
      <c r="AK198" s="1" t="n">
        <v>0</v>
      </c>
      <c r="AL198" s="1" t="n">
        <v>0</v>
      </c>
      <c r="AM198" s="1" t="n">
        <v>0</v>
      </c>
    </row>
    <row r="199">
      <c r="A199" s="1" t="inlineStr">
        <is>
          <t>ovarian cancer</t>
        </is>
      </c>
      <c r="B199" s="1" t="inlineStr">
        <is>
          <t>MONDO_0008170</t>
        </is>
      </c>
      <c r="C199" s="1" t="inlineStr">
        <is>
          <t>name</t>
        </is>
      </c>
      <c r="D199" s="1" t="n">
        <v>0.05</v>
      </c>
      <c r="E199" s="15" t="n">
        <v>46</v>
      </c>
      <c r="F199" s="15" t="n">
        <v>180</v>
      </c>
      <c r="G199" s="15" t="n">
        <v>21</v>
      </c>
      <c r="H199" s="16">
        <f>G199/F199</f>
        <v/>
      </c>
      <c r="I199" s="16">
        <f>G199/E199</f>
        <v/>
      </c>
      <c r="J199" s="17" t="n">
        <v>35</v>
      </c>
      <c r="K199" s="17" t="n">
        <v>510</v>
      </c>
      <c r="L199" s="17" t="n">
        <v>13</v>
      </c>
      <c r="M199" s="16">
        <f>L199/K199</f>
        <v/>
      </c>
      <c r="N199" s="16">
        <f>L199/J199</f>
        <v/>
      </c>
      <c r="O199" s="18" t="n">
        <v>12</v>
      </c>
      <c r="P199" s="18" t="n">
        <v>0</v>
      </c>
      <c r="Q199" s="16">
        <f>P199/O199</f>
        <v/>
      </c>
      <c r="R199" s="1" t="n">
        <v>1999</v>
      </c>
      <c r="S199" s="1" t="n">
        <v>34</v>
      </c>
      <c r="T199" s="1" t="n">
        <v>1</v>
      </c>
      <c r="U199" s="1" t="n">
        <v>36</v>
      </c>
      <c r="V199" s="1" t="n">
        <v>55</v>
      </c>
      <c r="W199" s="1" t="n">
        <v>24</v>
      </c>
      <c r="X199" s="1" t="n">
        <v>3</v>
      </c>
      <c r="Y199" s="1" t="n">
        <v>12</v>
      </c>
      <c r="Z199" s="1" t="n">
        <v>41</v>
      </c>
      <c r="AA199" s="1" t="n">
        <v>1</v>
      </c>
      <c r="AB199" s="1" t="n">
        <v>7</v>
      </c>
      <c r="AC199" s="1" t="n">
        <v>16</v>
      </c>
      <c r="AD199" s="1" t="n">
        <v>0</v>
      </c>
      <c r="AE199" s="1" t="n">
        <v>20</v>
      </c>
      <c r="AF199" s="1" t="n">
        <v>1</v>
      </c>
      <c r="AG199" s="1" t="n">
        <v>12</v>
      </c>
      <c r="AH199" s="1" t="n">
        <v>9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</row>
    <row r="200">
      <c r="A200" s="1" t="inlineStr">
        <is>
          <t>ovarian serous carcinoma</t>
        </is>
      </c>
      <c r="B200" s="1" t="inlineStr">
        <is>
          <t>EFO_1001516</t>
        </is>
      </c>
      <c r="C200" s="1" t="inlineStr">
        <is>
          <t>name</t>
        </is>
      </c>
      <c r="D200" s="1" t="n">
        <v>0.05</v>
      </c>
      <c r="E200" s="15" t="n">
        <v>0</v>
      </c>
      <c r="F200" s="15" t="n">
        <v>46</v>
      </c>
      <c r="G200" s="15" t="n">
        <v>0</v>
      </c>
      <c r="H200" s="16">
        <f>G200/F200</f>
        <v/>
      </c>
      <c r="I200" s="16">
        <f>G200/E200</f>
        <v/>
      </c>
      <c r="J200" s="17" t="n">
        <v>0</v>
      </c>
      <c r="K200" s="17" t="n">
        <v>240</v>
      </c>
      <c r="L200" s="17" t="n">
        <v>0</v>
      </c>
      <c r="M200" s="16">
        <f>L200/K200</f>
        <v/>
      </c>
      <c r="N200" s="16">
        <f>L200/J200</f>
        <v/>
      </c>
      <c r="O200" s="18" t="n">
        <v>0</v>
      </c>
      <c r="P200" s="18" t="n">
        <v>0</v>
      </c>
      <c r="Q200" s="16">
        <f>P200/O200</f>
        <v/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</row>
    <row r="201">
      <c r="A201" s="1" t="inlineStr">
        <is>
          <t>pancreatic ductal adenocarcinoma</t>
        </is>
      </c>
      <c r="B201" s="1" t="inlineStr">
        <is>
          <t>MONDO_0005184</t>
        </is>
      </c>
      <c r="C201" s="1" t="inlineStr">
        <is>
          <t>name</t>
        </is>
      </c>
      <c r="D201" s="1" t="n">
        <v>0.05</v>
      </c>
      <c r="E201" s="15" t="n">
        <v>14</v>
      </c>
      <c r="F201" s="15" t="n">
        <v>106</v>
      </c>
      <c r="G201" s="15" t="n">
        <v>7</v>
      </c>
      <c r="H201" s="16">
        <f>G201/F201</f>
        <v/>
      </c>
      <c r="I201" s="16">
        <f>G201/E201</f>
        <v/>
      </c>
      <c r="J201" s="17" t="n">
        <v>8</v>
      </c>
      <c r="K201" s="17" t="n">
        <v>1</v>
      </c>
      <c r="L201" s="17" t="n">
        <v>0</v>
      </c>
      <c r="M201" s="16">
        <f>L201/K201</f>
        <v/>
      </c>
      <c r="N201" s="16">
        <f>L201/J201</f>
        <v/>
      </c>
      <c r="O201" s="18" t="n">
        <v>0</v>
      </c>
      <c r="P201" s="18" t="n">
        <v>0</v>
      </c>
      <c r="Q201" s="16">
        <f>P201/O201</f>
        <v/>
      </c>
      <c r="R201" s="1" t="n">
        <v>592</v>
      </c>
      <c r="S201" s="1" t="n">
        <v>7</v>
      </c>
      <c r="T201" s="1" t="n">
        <v>2</v>
      </c>
      <c r="U201" s="1" t="n">
        <v>16</v>
      </c>
      <c r="V201" s="1" t="n">
        <v>16</v>
      </c>
      <c r="W201" s="1" t="n">
        <v>6</v>
      </c>
      <c r="X201" s="1" t="n">
        <v>0</v>
      </c>
      <c r="Y201" s="1" t="n">
        <v>7</v>
      </c>
      <c r="Z201" s="1" t="n">
        <v>8</v>
      </c>
      <c r="AA201" s="1" t="n">
        <v>0</v>
      </c>
      <c r="AB201" s="1" t="n">
        <v>6</v>
      </c>
      <c r="AC201" s="1" t="n">
        <v>6</v>
      </c>
      <c r="AD201" s="1" t="n">
        <v>1</v>
      </c>
      <c r="AE201" s="1" t="n">
        <v>6</v>
      </c>
      <c r="AF201" s="1" t="n">
        <v>0</v>
      </c>
      <c r="AG201" s="1" t="n">
        <v>4</v>
      </c>
      <c r="AH201" s="1" t="n">
        <v>2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</row>
    <row r="202">
      <c r="A202" s="1" t="inlineStr">
        <is>
          <t>papillary thyroid carcinoma</t>
        </is>
      </c>
      <c r="B202" s="1" t="inlineStr">
        <is>
          <t>EFO_0000641</t>
        </is>
      </c>
      <c r="C202" s="1" t="inlineStr">
        <is>
          <t>name</t>
        </is>
      </c>
      <c r="D202" s="1" t="n">
        <v>0.05</v>
      </c>
      <c r="E202" s="15" t="n">
        <v>7</v>
      </c>
      <c r="F202" s="15" t="n">
        <v>10</v>
      </c>
      <c r="G202" s="15" t="n">
        <v>0</v>
      </c>
      <c r="H202" s="16">
        <f>G202/F202</f>
        <v/>
      </c>
      <c r="I202" s="16">
        <f>G202/E202</f>
        <v/>
      </c>
      <c r="J202" s="17" t="n">
        <v>5</v>
      </c>
      <c r="K202" s="17" t="n">
        <v>492</v>
      </c>
      <c r="L202" s="17" t="n">
        <v>2</v>
      </c>
      <c r="M202" s="16">
        <f>L202/K202</f>
        <v/>
      </c>
      <c r="N202" s="16">
        <f>L202/J202</f>
        <v/>
      </c>
      <c r="O202" s="18" t="n">
        <v>0</v>
      </c>
      <c r="P202" s="18" t="n">
        <v>0</v>
      </c>
      <c r="Q202" s="16">
        <f>P202/O202</f>
        <v/>
      </c>
      <c r="R202" s="1" t="n">
        <v>259</v>
      </c>
      <c r="S202" s="1" t="n">
        <v>2</v>
      </c>
      <c r="T202" s="1" t="n">
        <v>0</v>
      </c>
      <c r="U202" s="1" t="n">
        <v>1</v>
      </c>
      <c r="V202" s="1" t="n">
        <v>1</v>
      </c>
      <c r="W202" s="1" t="n">
        <v>0</v>
      </c>
      <c r="X202" s="1" t="n">
        <v>0</v>
      </c>
      <c r="Y202" s="1" t="n">
        <v>0</v>
      </c>
      <c r="Z202" s="1" t="n">
        <v>2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1</v>
      </c>
      <c r="AL202" s="1" t="n">
        <v>0</v>
      </c>
      <c r="AM202" s="1" t="n">
        <v>0</v>
      </c>
    </row>
    <row r="203">
      <c r="A203" s="1" t="inlineStr">
        <is>
          <t>peripartum cardiomyopathy</t>
        </is>
      </c>
      <c r="B203" s="1" t="inlineStr">
        <is>
          <t>EFO_0002628</t>
        </is>
      </c>
      <c r="C203" s="1" t="inlineStr">
        <is>
          <t>name</t>
        </is>
      </c>
      <c r="D203" s="1" t="n">
        <v>0.05</v>
      </c>
      <c r="E203" s="15" t="n">
        <v>0</v>
      </c>
      <c r="F203" s="15" t="n">
        <v>210</v>
      </c>
      <c r="G203" s="15" t="n">
        <v>0</v>
      </c>
      <c r="H203" s="16">
        <f>G203/F203</f>
        <v/>
      </c>
      <c r="I203" s="16">
        <f>G203/E203</f>
        <v/>
      </c>
      <c r="J203" s="17" t="n">
        <v>1</v>
      </c>
      <c r="K203" s="17" t="n">
        <v>0</v>
      </c>
      <c r="L203" s="17" t="n">
        <v>0</v>
      </c>
      <c r="M203" s="16">
        <f>L203/K203</f>
        <v/>
      </c>
      <c r="N203" s="16">
        <f>L203/J203</f>
        <v/>
      </c>
      <c r="O203" s="18" t="n">
        <v>0</v>
      </c>
      <c r="P203" s="18" t="n">
        <v>0</v>
      </c>
      <c r="Q203" s="16">
        <f>P203/O203</f>
        <v/>
      </c>
      <c r="R203" s="1" t="n">
        <v>8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</row>
    <row r="204">
      <c r="A204" s="1" t="inlineStr">
        <is>
          <t>polycystic ovary syndrome</t>
        </is>
      </c>
      <c r="B204" s="1" t="inlineStr">
        <is>
          <t>EFO_0000660</t>
        </is>
      </c>
      <c r="C204" s="1" t="inlineStr">
        <is>
          <t>name</t>
        </is>
      </c>
      <c r="D204" s="1" t="n">
        <v>0.05</v>
      </c>
      <c r="E204" s="15" t="n">
        <v>7</v>
      </c>
      <c r="F204" s="15" t="n">
        <v>25</v>
      </c>
      <c r="G204" s="15" t="n">
        <v>1</v>
      </c>
      <c r="H204" s="16">
        <f>G204/F204</f>
        <v/>
      </c>
      <c r="I204" s="16">
        <f>G204/E204</f>
        <v/>
      </c>
      <c r="J204" s="17" t="n">
        <v>16</v>
      </c>
      <c r="K204" s="17" t="n">
        <v>50</v>
      </c>
      <c r="L204" s="17" t="n">
        <v>1</v>
      </c>
      <c r="M204" s="16">
        <f>L204/K204</f>
        <v/>
      </c>
      <c r="N204" s="16">
        <f>L204/J204</f>
        <v/>
      </c>
      <c r="O204" s="18" t="n">
        <v>0</v>
      </c>
      <c r="P204" s="18" t="n">
        <v>0</v>
      </c>
      <c r="Q204" s="16">
        <f>P204/O204</f>
        <v/>
      </c>
      <c r="R204" s="1" t="n">
        <v>720</v>
      </c>
      <c r="S204" s="1" t="n">
        <v>2</v>
      </c>
      <c r="T204" s="1" t="n">
        <v>0</v>
      </c>
      <c r="U204" s="1" t="n">
        <v>1</v>
      </c>
      <c r="V204" s="1" t="n">
        <v>0</v>
      </c>
      <c r="W204" s="1" t="n">
        <v>2</v>
      </c>
      <c r="X204" s="1" t="n">
        <v>0</v>
      </c>
      <c r="Y204" s="1" t="n">
        <v>0</v>
      </c>
      <c r="Z204" s="1" t="n">
        <v>2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1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</row>
    <row r="205">
      <c r="A205" s="1" t="inlineStr">
        <is>
          <t>Polymyositis</t>
        </is>
      </c>
      <c r="B205" s="1" t="inlineStr">
        <is>
          <t>EFO_0003063</t>
        </is>
      </c>
      <c r="C205" s="1" t="inlineStr">
        <is>
          <t>name</t>
        </is>
      </c>
      <c r="D205" s="1" t="n">
        <v>0.05</v>
      </c>
      <c r="E205" s="15" t="n">
        <v>0</v>
      </c>
      <c r="F205" s="15" t="n">
        <v>322</v>
      </c>
      <c r="G205" s="15" t="n">
        <v>0</v>
      </c>
      <c r="H205" s="16">
        <f>G205/F205</f>
        <v/>
      </c>
      <c r="I205" s="16">
        <f>G205/E205</f>
        <v/>
      </c>
      <c r="J205" s="17" t="n">
        <v>3</v>
      </c>
      <c r="K205" s="17" t="n">
        <v>32</v>
      </c>
      <c r="L205" s="17" t="n">
        <v>0</v>
      </c>
      <c r="M205" s="16">
        <f>L205/K205</f>
        <v/>
      </c>
      <c r="N205" s="16">
        <f>L205/J205</f>
        <v/>
      </c>
      <c r="O205" s="18" t="n">
        <v>2</v>
      </c>
      <c r="P205" s="18" t="n">
        <v>0</v>
      </c>
      <c r="Q205" s="16">
        <f>P205/O205</f>
        <v/>
      </c>
      <c r="R205" s="1" t="n">
        <v>116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2</v>
      </c>
      <c r="AL205" s="1" t="n">
        <v>1</v>
      </c>
      <c r="AM205" s="1" t="n">
        <v>0</v>
      </c>
    </row>
    <row r="206">
      <c r="A206" s="1" t="inlineStr">
        <is>
          <t>post-traumatic stress disorder</t>
        </is>
      </c>
      <c r="B206" s="1" t="inlineStr">
        <is>
          <t>EFO_0001358</t>
        </is>
      </c>
      <c r="C206" s="1" t="inlineStr">
        <is>
          <t>name</t>
        </is>
      </c>
      <c r="D206" s="1" t="n">
        <v>0.05</v>
      </c>
      <c r="E206" s="15" t="n">
        <v>1</v>
      </c>
      <c r="F206" s="15" t="n">
        <v>193</v>
      </c>
      <c r="G206" s="15" t="n">
        <v>0</v>
      </c>
      <c r="H206" s="16">
        <f>G206/F206</f>
        <v/>
      </c>
      <c r="I206" s="16">
        <f>G206/E206</f>
        <v/>
      </c>
      <c r="J206" s="17" t="n">
        <v>19</v>
      </c>
      <c r="K206" s="17" t="n">
        <v>437</v>
      </c>
      <c r="L206" s="17" t="n">
        <v>8</v>
      </c>
      <c r="M206" s="16">
        <f>L206/K206</f>
        <v/>
      </c>
      <c r="N206" s="16">
        <f>L206/J206</f>
        <v/>
      </c>
      <c r="O206" s="18" t="n">
        <v>10</v>
      </c>
      <c r="P206" s="18" t="n">
        <v>0</v>
      </c>
      <c r="Q206" s="16">
        <f>P206/O206</f>
        <v/>
      </c>
      <c r="R206" s="1" t="n">
        <v>762</v>
      </c>
      <c r="S206" s="1" t="n">
        <v>8</v>
      </c>
      <c r="T206" s="1" t="n">
        <v>0</v>
      </c>
      <c r="U206" s="1" t="n">
        <v>4</v>
      </c>
      <c r="V206" s="1" t="n">
        <v>4</v>
      </c>
      <c r="W206" s="1" t="n">
        <v>7</v>
      </c>
      <c r="X206" s="1" t="n">
        <v>0</v>
      </c>
      <c r="Y206" s="1" t="n">
        <v>0</v>
      </c>
      <c r="Z206" s="1" t="n">
        <v>10</v>
      </c>
      <c r="AA206" s="1" t="n">
        <v>0</v>
      </c>
      <c r="AB206" s="1" t="n">
        <v>0</v>
      </c>
      <c r="AC206" s="1" t="n">
        <v>2</v>
      </c>
      <c r="AD206" s="1" t="n">
        <v>0</v>
      </c>
      <c r="AE206" s="1" t="n">
        <v>2</v>
      </c>
      <c r="AF206" s="1" t="n">
        <v>0</v>
      </c>
      <c r="AG206" s="1" t="n">
        <v>1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</row>
    <row r="207">
      <c r="A207" s="1" t="inlineStr">
        <is>
          <t>pre-eclampsia</t>
        </is>
      </c>
      <c r="B207" s="1" t="inlineStr">
        <is>
          <t>EFO_0000668</t>
        </is>
      </c>
      <c r="C207" s="1" t="inlineStr">
        <is>
          <t>name</t>
        </is>
      </c>
      <c r="D207" s="1" t="n">
        <v>0.05</v>
      </c>
      <c r="E207" s="15" t="n">
        <v>5</v>
      </c>
      <c r="F207" s="15" t="n">
        <v>68</v>
      </c>
      <c r="G207" s="15" t="n">
        <v>0</v>
      </c>
      <c r="H207" s="16">
        <f>G207/F207</f>
        <v/>
      </c>
      <c r="I207" s="16">
        <f>G207/E207</f>
        <v/>
      </c>
      <c r="J207" s="17" t="n">
        <v>21</v>
      </c>
      <c r="K207" s="17" t="n">
        <v>127</v>
      </c>
      <c r="L207" s="17" t="n">
        <v>2</v>
      </c>
      <c r="M207" s="16">
        <f>L207/K207</f>
        <v/>
      </c>
      <c r="N207" s="16">
        <f>L207/J207</f>
        <v/>
      </c>
      <c r="O207" s="18" t="n">
        <v>1</v>
      </c>
      <c r="P207" s="18" t="n">
        <v>0</v>
      </c>
      <c r="Q207" s="16">
        <f>P207/O207</f>
        <v/>
      </c>
      <c r="R207" s="1" t="n">
        <v>756</v>
      </c>
      <c r="S207" s="1" t="n">
        <v>2</v>
      </c>
      <c r="T207" s="1" t="n">
        <v>0</v>
      </c>
      <c r="U207" s="1" t="n">
        <v>0</v>
      </c>
      <c r="V207" s="1" t="n">
        <v>1</v>
      </c>
      <c r="W207" s="1" t="n">
        <v>0</v>
      </c>
      <c r="X207" s="1" t="n">
        <v>1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1</v>
      </c>
      <c r="AD207" s="1" t="n">
        <v>0</v>
      </c>
      <c r="AE207" s="1" t="n">
        <v>0</v>
      </c>
      <c r="AF207" s="1" t="n">
        <v>1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</row>
    <row r="208">
      <c r="A208" s="1" t="inlineStr">
        <is>
          <t>Pseudomonas Infection</t>
        </is>
      </c>
      <c r="B208" s="1" t="inlineStr">
        <is>
          <t>EFO_0001076</t>
        </is>
      </c>
      <c r="C208" s="1" t="inlineStr">
        <is>
          <t>name</t>
        </is>
      </c>
      <c r="D208" s="1" t="n">
        <v>0.05</v>
      </c>
      <c r="E208" s="15" t="n">
        <v>0</v>
      </c>
      <c r="F208" s="15" t="n">
        <v>51</v>
      </c>
      <c r="G208" s="15" t="n">
        <v>0</v>
      </c>
      <c r="H208" s="16">
        <f>G208/F208</f>
        <v/>
      </c>
      <c r="I208" s="16">
        <f>G208/E208</f>
        <v/>
      </c>
      <c r="J208" s="17" t="n">
        <v>0</v>
      </c>
      <c r="K208" s="17" t="n">
        <v>727</v>
      </c>
      <c r="L208" s="17" t="n">
        <v>0</v>
      </c>
      <c r="M208" s="16">
        <f>L208/K208</f>
        <v/>
      </c>
      <c r="N208" s="16">
        <f>L208/J208</f>
        <v/>
      </c>
      <c r="O208" s="18" t="n">
        <v>2</v>
      </c>
      <c r="P208" s="18" t="n">
        <v>0</v>
      </c>
      <c r="Q208" s="16">
        <f>P208/O208</f>
        <v/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</row>
    <row r="209">
      <c r="A209" s="1" t="inlineStr">
        <is>
          <t>psoriasis</t>
        </is>
      </c>
      <c r="B209" s="1" t="inlineStr">
        <is>
          <t>EFO_0000676</t>
        </is>
      </c>
      <c r="C209" s="1" t="inlineStr">
        <is>
          <t>name</t>
        </is>
      </c>
      <c r="D209" s="1" t="n">
        <v>0.05</v>
      </c>
      <c r="E209" s="15" t="n">
        <v>15</v>
      </c>
      <c r="F209" s="15" t="n">
        <v>332</v>
      </c>
      <c r="G209" s="15" t="n">
        <v>14</v>
      </c>
      <c r="H209" s="16">
        <f>G209/F209</f>
        <v/>
      </c>
      <c r="I209" s="16">
        <f>G209/E209</f>
        <v/>
      </c>
      <c r="J209" s="17" t="n">
        <v>24</v>
      </c>
      <c r="K209" s="17" t="n">
        <v>58</v>
      </c>
      <c r="L209" s="17" t="n">
        <v>1</v>
      </c>
      <c r="M209" s="16">
        <f>L209/K209</f>
        <v/>
      </c>
      <c r="N209" s="16">
        <f>L209/J209</f>
        <v/>
      </c>
      <c r="O209" s="18" t="n">
        <v>1</v>
      </c>
      <c r="P209" s="18" t="n">
        <v>0</v>
      </c>
      <c r="Q209" s="16">
        <f>P209/O209</f>
        <v/>
      </c>
      <c r="R209" s="1" t="n">
        <v>1473</v>
      </c>
      <c r="S209" s="1" t="n">
        <v>15</v>
      </c>
      <c r="T209" s="1" t="n">
        <v>2</v>
      </c>
      <c r="U209" s="1" t="n">
        <v>10</v>
      </c>
      <c r="V209" s="1" t="n">
        <v>15</v>
      </c>
      <c r="W209" s="1" t="n">
        <v>10</v>
      </c>
      <c r="X209" s="1" t="n">
        <v>22</v>
      </c>
      <c r="Y209" s="1" t="n">
        <v>1</v>
      </c>
      <c r="Z209" s="1" t="n">
        <v>31</v>
      </c>
      <c r="AA209" s="1" t="n">
        <v>0</v>
      </c>
      <c r="AB209" s="1" t="n">
        <v>3</v>
      </c>
      <c r="AC209" s="1" t="n">
        <v>6</v>
      </c>
      <c r="AD209" s="1" t="n">
        <v>0</v>
      </c>
      <c r="AE209" s="1" t="n">
        <v>3</v>
      </c>
      <c r="AF209" s="1" t="n">
        <v>7</v>
      </c>
      <c r="AG209" s="1" t="n">
        <v>5</v>
      </c>
      <c r="AH209" s="1" t="n">
        <v>3</v>
      </c>
      <c r="AI209" s="1" t="n">
        <v>1</v>
      </c>
      <c r="AJ209" s="1" t="n">
        <v>21</v>
      </c>
      <c r="AK209" s="1" t="n">
        <v>1</v>
      </c>
      <c r="AL209" s="1" t="n">
        <v>13</v>
      </c>
      <c r="AM209" s="1" t="n">
        <v>9</v>
      </c>
    </row>
    <row r="210">
      <c r="A210" s="1" t="inlineStr">
        <is>
          <t>psoriatic arthritis</t>
        </is>
      </c>
      <c r="B210" s="1" t="inlineStr">
        <is>
          <t>EFO_0003778</t>
        </is>
      </c>
      <c r="C210" s="1" t="inlineStr">
        <is>
          <t>name</t>
        </is>
      </c>
      <c r="D210" s="1" t="n">
        <v>0.05</v>
      </c>
      <c r="E210" s="15" t="n">
        <v>6</v>
      </c>
      <c r="F210" s="15" t="n">
        <v>365</v>
      </c>
      <c r="G210" s="15" t="n">
        <v>6</v>
      </c>
      <c r="H210" s="16">
        <f>G210/F210</f>
        <v/>
      </c>
      <c r="I210" s="16">
        <f>G210/E210</f>
        <v/>
      </c>
      <c r="J210" s="17" t="n">
        <v>9</v>
      </c>
      <c r="K210" s="17" t="n">
        <v>5</v>
      </c>
      <c r="L210" s="17" t="n">
        <v>0</v>
      </c>
      <c r="M210" s="16">
        <f>L210/K210</f>
        <v/>
      </c>
      <c r="N210" s="16">
        <f>L210/J210</f>
        <v/>
      </c>
      <c r="O210" s="18" t="n">
        <v>0</v>
      </c>
      <c r="P210" s="18" t="n">
        <v>0</v>
      </c>
      <c r="Q210" s="16">
        <f>P210/O210</f>
        <v/>
      </c>
      <c r="R210" s="1" t="n">
        <v>630</v>
      </c>
      <c r="S210" s="1" t="n">
        <v>6</v>
      </c>
      <c r="T210" s="1" t="n">
        <v>0</v>
      </c>
      <c r="U210" s="1" t="n">
        <v>1</v>
      </c>
      <c r="V210" s="1" t="n">
        <v>5</v>
      </c>
      <c r="W210" s="1" t="n">
        <v>5</v>
      </c>
      <c r="X210" s="1" t="n">
        <v>6</v>
      </c>
      <c r="Y210" s="1" t="n">
        <v>0</v>
      </c>
      <c r="Z210" s="1" t="n">
        <v>5</v>
      </c>
      <c r="AA210" s="1" t="n">
        <v>0</v>
      </c>
      <c r="AB210" s="1" t="n">
        <v>1</v>
      </c>
      <c r="AC210" s="1" t="n">
        <v>4</v>
      </c>
      <c r="AD210" s="1" t="n">
        <v>0</v>
      </c>
      <c r="AE210" s="1" t="n">
        <v>2</v>
      </c>
      <c r="AF210" s="1" t="n">
        <v>4</v>
      </c>
      <c r="AG210" s="1" t="n">
        <v>0</v>
      </c>
      <c r="AH210" s="1" t="n">
        <v>1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</row>
    <row r="211">
      <c r="A211" s="1" t="inlineStr">
        <is>
          <t>pulmonary fibrosis</t>
        </is>
      </c>
      <c r="B211" s="1" t="inlineStr">
        <is>
          <t>EFO_0009448</t>
        </is>
      </c>
      <c r="C211" s="1" t="inlineStr">
        <is>
          <t>name</t>
        </is>
      </c>
      <c r="D211" s="1" t="n">
        <v>0.05</v>
      </c>
      <c r="E211" s="15" t="n">
        <v>1</v>
      </c>
      <c r="F211" s="15" t="n">
        <v>282</v>
      </c>
      <c r="G211" s="15" t="n">
        <v>1</v>
      </c>
      <c r="H211" s="16">
        <f>G211/F211</f>
        <v/>
      </c>
      <c r="I211" s="16">
        <f>G211/E211</f>
        <v/>
      </c>
      <c r="J211" s="17" t="n">
        <v>3</v>
      </c>
      <c r="K211" s="17" t="n">
        <v>2</v>
      </c>
      <c r="L211" s="17" t="n">
        <v>0</v>
      </c>
      <c r="M211" s="16">
        <f>L211/K211</f>
        <v/>
      </c>
      <c r="N211" s="16">
        <f>L211/J211</f>
        <v/>
      </c>
      <c r="O211" s="18" t="n">
        <v>0</v>
      </c>
      <c r="P211" s="18" t="n">
        <v>0</v>
      </c>
      <c r="Q211" s="16">
        <f>P211/O211</f>
        <v/>
      </c>
      <c r="R211" s="1" t="n">
        <v>232</v>
      </c>
      <c r="S211" s="1" t="n">
        <v>1</v>
      </c>
      <c r="T211" s="1" t="n">
        <v>0</v>
      </c>
      <c r="U211" s="1" t="n">
        <v>0</v>
      </c>
      <c r="V211" s="1" t="n">
        <v>1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1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1</v>
      </c>
      <c r="AK211" s="1" t="n">
        <v>1</v>
      </c>
      <c r="AL211" s="1" t="n">
        <v>6</v>
      </c>
      <c r="AM211" s="1" t="n">
        <v>0</v>
      </c>
    </row>
    <row r="212">
      <c r="A212" s="1" t="inlineStr">
        <is>
          <t>pulmonary hypertension</t>
        </is>
      </c>
      <c r="B212" s="1" t="inlineStr">
        <is>
          <t>MONDO_0005149</t>
        </is>
      </c>
      <c r="C212" s="1" t="inlineStr">
        <is>
          <t>name</t>
        </is>
      </c>
      <c r="D212" s="1" t="n">
        <v>0.05</v>
      </c>
      <c r="E212" s="15" t="n">
        <v>7</v>
      </c>
      <c r="F212" s="15" t="n">
        <v>207</v>
      </c>
      <c r="G212" s="15" t="n">
        <v>6</v>
      </c>
      <c r="H212" s="16">
        <f>G212/F212</f>
        <v/>
      </c>
      <c r="I212" s="16">
        <f>G212/E212</f>
        <v/>
      </c>
      <c r="J212" s="17" t="n">
        <v>8</v>
      </c>
      <c r="K212" s="17" t="n">
        <v>560</v>
      </c>
      <c r="L212" s="17" t="n">
        <v>5</v>
      </c>
      <c r="M212" s="16">
        <f>L212/K212</f>
        <v/>
      </c>
      <c r="N212" s="16">
        <f>L212/J212</f>
        <v/>
      </c>
      <c r="O212" s="18" t="n">
        <v>8</v>
      </c>
      <c r="P212" s="18" t="n">
        <v>0</v>
      </c>
      <c r="Q212" s="16">
        <f>P212/O212</f>
        <v/>
      </c>
      <c r="R212" s="1" t="n">
        <v>447</v>
      </c>
      <c r="S212" s="1" t="n">
        <v>11</v>
      </c>
      <c r="T212" s="1" t="n">
        <v>1</v>
      </c>
      <c r="U212" s="1" t="n">
        <v>4</v>
      </c>
      <c r="V212" s="1" t="n">
        <v>10</v>
      </c>
      <c r="W212" s="1" t="n">
        <v>8</v>
      </c>
      <c r="X212" s="1" t="n">
        <v>4</v>
      </c>
      <c r="Y212" s="1" t="n">
        <v>0</v>
      </c>
      <c r="Z212" s="1" t="n">
        <v>15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5</v>
      </c>
      <c r="AF212" s="1" t="n">
        <v>3</v>
      </c>
      <c r="AG212" s="1" t="n">
        <v>2</v>
      </c>
      <c r="AH212" s="1" t="n">
        <v>2</v>
      </c>
      <c r="AI212" s="1" t="n">
        <v>0</v>
      </c>
      <c r="AJ212" s="1" t="n">
        <v>1</v>
      </c>
      <c r="AK212" s="1" t="n">
        <v>0</v>
      </c>
      <c r="AL212" s="1" t="n">
        <v>0</v>
      </c>
      <c r="AM212" s="1" t="n">
        <v>0</v>
      </c>
    </row>
    <row r="213">
      <c r="A213" s="1" t="inlineStr">
        <is>
          <t>pulmonary sarcoidosis</t>
        </is>
      </c>
      <c r="B213" s="1" t="inlineStr">
        <is>
          <t>DOID_13406</t>
        </is>
      </c>
      <c r="C213" s="1" t="inlineStr">
        <is>
          <t>name</t>
        </is>
      </c>
      <c r="D213" s="1" t="n">
        <v>0.05</v>
      </c>
      <c r="E213" s="15" t="n">
        <v>1</v>
      </c>
      <c r="F213" s="15" t="n">
        <v>179</v>
      </c>
      <c r="G213" s="15" t="n">
        <v>0</v>
      </c>
      <c r="H213" s="16">
        <f>G213/F213</f>
        <v/>
      </c>
      <c r="I213" s="16">
        <f>G213/E213</f>
        <v/>
      </c>
      <c r="J213" s="17" t="n">
        <v>3</v>
      </c>
      <c r="K213" s="17" t="n">
        <v>413</v>
      </c>
      <c r="L213" s="17" t="n">
        <v>2</v>
      </c>
      <c r="M213" s="16">
        <f>L213/K213</f>
        <v/>
      </c>
      <c r="N213" s="16">
        <f>L213/J213</f>
        <v/>
      </c>
      <c r="O213" s="18" t="n">
        <v>5</v>
      </c>
      <c r="P213" s="18" t="n">
        <v>0</v>
      </c>
      <c r="Q213" s="16">
        <f>P213/O213</f>
        <v/>
      </c>
      <c r="R213" s="1" t="n">
        <v>83</v>
      </c>
      <c r="S213" s="1" t="n">
        <v>2</v>
      </c>
      <c r="T213" s="1" t="n">
        <v>0</v>
      </c>
      <c r="U213" s="1" t="n">
        <v>0</v>
      </c>
      <c r="V213" s="1" t="n">
        <v>1</v>
      </c>
      <c r="W213" s="1" t="n">
        <v>2</v>
      </c>
      <c r="X213" s="1" t="n">
        <v>0</v>
      </c>
      <c r="Y213" s="1" t="n">
        <v>0</v>
      </c>
      <c r="Z213" s="1" t="n">
        <v>2</v>
      </c>
      <c r="AA213" s="1" t="n">
        <v>0</v>
      </c>
      <c r="AB213" s="1" t="n">
        <v>1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1</v>
      </c>
      <c r="AM213" s="1" t="n">
        <v>0</v>
      </c>
    </row>
    <row r="214">
      <c r="A214" s="1" t="inlineStr">
        <is>
          <t>relapsing-remitting multiple sclerosis</t>
        </is>
      </c>
      <c r="B214" s="1" t="inlineStr">
        <is>
          <t>EFO_0003929</t>
        </is>
      </c>
      <c r="C214" s="1" t="inlineStr">
        <is>
          <t>name</t>
        </is>
      </c>
      <c r="D214" s="1" t="n">
        <v>0.05</v>
      </c>
      <c r="E214" s="15" t="n">
        <v>9</v>
      </c>
      <c r="F214" s="15" t="n">
        <v>248</v>
      </c>
      <c r="G214" s="15" t="n">
        <v>6</v>
      </c>
      <c r="H214" s="16">
        <f>G214/F214</f>
        <v/>
      </c>
      <c r="I214" s="16">
        <f>G214/E214</f>
        <v/>
      </c>
      <c r="J214" s="17" t="n">
        <v>19</v>
      </c>
      <c r="K214" s="17" t="n">
        <v>679</v>
      </c>
      <c r="L214" s="17" t="n">
        <v>6</v>
      </c>
      <c r="M214" s="16">
        <f>L214/K214</f>
        <v/>
      </c>
      <c r="N214" s="16">
        <f>L214/J214</f>
        <v/>
      </c>
      <c r="O214" s="18" t="n">
        <v>20</v>
      </c>
      <c r="P214" s="18" t="n">
        <v>0</v>
      </c>
      <c r="Q214" s="16">
        <f>P214/O214</f>
        <v/>
      </c>
      <c r="R214" s="1" t="n">
        <v>816</v>
      </c>
      <c r="S214" s="1" t="n">
        <v>12</v>
      </c>
      <c r="T214" s="1" t="n">
        <v>0</v>
      </c>
      <c r="U214" s="1" t="n">
        <v>7</v>
      </c>
      <c r="V214" s="1" t="n">
        <v>10</v>
      </c>
      <c r="W214" s="1" t="n">
        <v>4</v>
      </c>
      <c r="X214" s="1" t="n">
        <v>4</v>
      </c>
      <c r="Y214" s="1" t="n">
        <v>2</v>
      </c>
      <c r="Z214" s="1" t="n">
        <v>10</v>
      </c>
      <c r="AA214" s="1" t="n">
        <v>1</v>
      </c>
      <c r="AB214" s="1" t="n">
        <v>0</v>
      </c>
      <c r="AC214" s="1" t="n">
        <v>3</v>
      </c>
      <c r="AD214" s="1" t="n">
        <v>0</v>
      </c>
      <c r="AE214" s="1" t="n">
        <v>5</v>
      </c>
      <c r="AF214" s="1" t="n">
        <v>1</v>
      </c>
      <c r="AG214" s="1" t="n">
        <v>0</v>
      </c>
      <c r="AH214" s="1" t="n">
        <v>3</v>
      </c>
      <c r="AI214" s="1" t="n">
        <v>0</v>
      </c>
      <c r="AJ214" s="1" t="n">
        <v>15</v>
      </c>
      <c r="AK214" s="1" t="n">
        <v>1</v>
      </c>
      <c r="AL214" s="1" t="n">
        <v>4</v>
      </c>
      <c r="AM214" s="1" t="n">
        <v>7</v>
      </c>
    </row>
    <row r="215">
      <c r="A215" s="1" t="inlineStr">
        <is>
          <t>Rett syndrome</t>
        </is>
      </c>
      <c r="B215" s="1" t="inlineStr">
        <is>
          <t>MONDO_0010726</t>
        </is>
      </c>
      <c r="C215" s="1" t="inlineStr">
        <is>
          <t>name</t>
        </is>
      </c>
      <c r="D215" s="1" t="n">
        <v>0.05</v>
      </c>
      <c r="E215" s="15" t="n">
        <v>0</v>
      </c>
      <c r="F215" s="15" t="n">
        <v>226</v>
      </c>
      <c r="G215" s="15" t="n">
        <v>0</v>
      </c>
      <c r="H215" s="16">
        <f>G215/F215</f>
        <v/>
      </c>
      <c r="I215" s="16">
        <f>G215/E215</f>
        <v/>
      </c>
      <c r="J215" s="17" t="n">
        <v>4</v>
      </c>
      <c r="K215" s="17" t="n">
        <v>381</v>
      </c>
      <c r="L215" s="17" t="n">
        <v>0</v>
      </c>
      <c r="M215" s="16">
        <f>L215/K215</f>
        <v/>
      </c>
      <c r="N215" s="16">
        <f>L215/J215</f>
        <v/>
      </c>
      <c r="O215" s="18" t="n">
        <v>8</v>
      </c>
      <c r="P215" s="18" t="n">
        <v>0</v>
      </c>
      <c r="Q215" s="16">
        <f>P215/O215</f>
        <v/>
      </c>
      <c r="R215" s="1" t="n">
        <v>132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</row>
    <row r="216">
      <c r="A216" s="1" t="inlineStr">
        <is>
          <t>salivary gland adenoid cystic carcinoma</t>
        </is>
      </c>
      <c r="B216" s="1" t="inlineStr">
        <is>
          <t>MONDO_0003175</t>
        </is>
      </c>
      <c r="C216" s="1" t="inlineStr">
        <is>
          <t>name</t>
        </is>
      </c>
      <c r="D216" s="1" t="n">
        <v>0.05</v>
      </c>
      <c r="E216" s="15" t="n">
        <v>2</v>
      </c>
      <c r="F216" s="15" t="n">
        <v>76</v>
      </c>
      <c r="G216" s="15" t="n">
        <v>0</v>
      </c>
      <c r="H216" s="16">
        <f>G216/F216</f>
        <v/>
      </c>
      <c r="I216" s="16">
        <f>G216/E216</f>
        <v/>
      </c>
      <c r="J216" s="17" t="n">
        <v>1</v>
      </c>
      <c r="K216" s="17" t="n">
        <v>10</v>
      </c>
      <c r="L216" s="17" t="n">
        <v>0</v>
      </c>
      <c r="M216" s="16">
        <f>L216/K216</f>
        <v/>
      </c>
      <c r="N216" s="16">
        <f>L216/J216</f>
        <v/>
      </c>
      <c r="O216" s="18" t="n">
        <v>0</v>
      </c>
      <c r="P216" s="18" t="n">
        <v>0</v>
      </c>
      <c r="Q216" s="16">
        <f>P216/O216</f>
        <v/>
      </c>
      <c r="R216" s="1" t="n">
        <v>45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</row>
    <row r="217">
      <c r="A217" s="1" t="inlineStr">
        <is>
          <t>sarcoidosis</t>
        </is>
      </c>
      <c r="B217" s="1" t="inlineStr">
        <is>
          <t>MONDO_0019338</t>
        </is>
      </c>
      <c r="C217" s="1" t="inlineStr">
        <is>
          <t>name</t>
        </is>
      </c>
      <c r="D217" s="1" t="n">
        <v>0.05</v>
      </c>
      <c r="E217" s="15" t="n">
        <v>3</v>
      </c>
      <c r="F217" s="15" t="n">
        <v>207</v>
      </c>
      <c r="G217" s="15" t="n">
        <v>3</v>
      </c>
      <c r="H217" s="16">
        <f>G217/F217</f>
        <v/>
      </c>
      <c r="I217" s="16">
        <f>G217/E217</f>
        <v/>
      </c>
      <c r="J217" s="17" t="n">
        <v>6</v>
      </c>
      <c r="K217" s="17" t="n">
        <v>383</v>
      </c>
      <c r="L217" s="17" t="n">
        <v>1</v>
      </c>
      <c r="M217" s="16">
        <f>L217/K217</f>
        <v/>
      </c>
      <c r="N217" s="16">
        <f>L217/J217</f>
        <v/>
      </c>
      <c r="O217" s="18" t="n">
        <v>6</v>
      </c>
      <c r="P217" s="18" t="n">
        <v>0</v>
      </c>
      <c r="Q217" s="16">
        <f>P217/O217</f>
        <v/>
      </c>
      <c r="R217" s="1" t="n">
        <v>376</v>
      </c>
      <c r="S217" s="1" t="n">
        <v>4</v>
      </c>
      <c r="T217" s="1" t="n">
        <v>0</v>
      </c>
      <c r="U217" s="1" t="n">
        <v>1</v>
      </c>
      <c r="V217" s="1" t="n">
        <v>1</v>
      </c>
      <c r="W217" s="1" t="n">
        <v>1</v>
      </c>
      <c r="X217" s="1" t="n">
        <v>2</v>
      </c>
      <c r="Y217" s="1" t="n">
        <v>0</v>
      </c>
      <c r="Z217" s="1" t="n">
        <v>1</v>
      </c>
      <c r="AA217" s="1" t="n">
        <v>0</v>
      </c>
      <c r="AB217" s="1" t="n">
        <v>1</v>
      </c>
      <c r="AC217" s="1" t="n">
        <v>0</v>
      </c>
      <c r="AD217" s="1" t="n">
        <v>0</v>
      </c>
      <c r="AE217" s="1" t="n">
        <v>0</v>
      </c>
      <c r="AF217" s="1" t="n">
        <v>2</v>
      </c>
      <c r="AG217" s="1" t="n">
        <v>1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</row>
    <row r="218">
      <c r="A218" s="1" t="inlineStr">
        <is>
          <t>Schizophrenia</t>
        </is>
      </c>
      <c r="B218" s="1" t="inlineStr">
        <is>
          <t>MONDO_0005090</t>
        </is>
      </c>
      <c r="C218" s="1" t="inlineStr">
        <is>
          <t>name</t>
        </is>
      </c>
      <c r="D218" s="1" t="n">
        <v>0.05</v>
      </c>
      <c r="E218" s="15" t="n">
        <v>15</v>
      </c>
      <c r="F218" s="15" t="n">
        <v>6</v>
      </c>
      <c r="G218" s="15" t="n">
        <v>0</v>
      </c>
      <c r="H218" s="16">
        <f>G218/F218</f>
        <v/>
      </c>
      <c r="I218" s="16">
        <f>G218/E218</f>
        <v/>
      </c>
      <c r="J218" s="17" t="n">
        <v>65</v>
      </c>
      <c r="K218" s="17" t="n">
        <v>0</v>
      </c>
      <c r="L218" s="17" t="n">
        <v>0</v>
      </c>
      <c r="M218" s="16">
        <f>L218/K218</f>
        <v/>
      </c>
      <c r="N218" s="16">
        <f>L218/J218</f>
        <v/>
      </c>
      <c r="O218" s="18" t="n">
        <v>0</v>
      </c>
      <c r="P218" s="18" t="n">
        <v>0</v>
      </c>
      <c r="Q218" s="16">
        <f>P218/O218</f>
        <v/>
      </c>
      <c r="R218" s="1" t="n">
        <v>2219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</row>
    <row r="219">
      <c r="A219" s="1" t="inlineStr">
        <is>
          <t>scleroderma</t>
        </is>
      </c>
      <c r="B219" s="1" t="inlineStr">
        <is>
          <t>EFO_1001993</t>
        </is>
      </c>
      <c r="C219" s="1" t="inlineStr">
        <is>
          <t>name</t>
        </is>
      </c>
      <c r="D219" s="1" t="n">
        <v>0.05</v>
      </c>
      <c r="E219" s="15" t="n">
        <v>1</v>
      </c>
      <c r="F219" s="15" t="n">
        <v>230</v>
      </c>
      <c r="G219" s="15" t="n">
        <v>1</v>
      </c>
      <c r="H219" s="16">
        <f>G219/F219</f>
        <v/>
      </c>
      <c r="I219" s="16">
        <f>G219/E219</f>
        <v/>
      </c>
      <c r="J219" s="17" t="n">
        <v>4</v>
      </c>
      <c r="K219" s="17" t="n">
        <v>300</v>
      </c>
      <c r="L219" s="17" t="n">
        <v>2</v>
      </c>
      <c r="M219" s="16">
        <f>L219/K219</f>
        <v/>
      </c>
      <c r="N219" s="16">
        <f>L219/J219</f>
        <v/>
      </c>
      <c r="O219" s="18" t="n">
        <v>13</v>
      </c>
      <c r="P219" s="18" t="n">
        <v>0</v>
      </c>
      <c r="Q219" s="16">
        <f>P219/O219</f>
        <v/>
      </c>
      <c r="R219" s="1" t="n">
        <v>224</v>
      </c>
      <c r="S219" s="1" t="n">
        <v>3</v>
      </c>
      <c r="T219" s="1" t="n">
        <v>0</v>
      </c>
      <c r="U219" s="1" t="n">
        <v>1</v>
      </c>
      <c r="V219" s="1" t="n">
        <v>2</v>
      </c>
      <c r="W219" s="1" t="n">
        <v>0</v>
      </c>
      <c r="X219" s="1" t="n">
        <v>0</v>
      </c>
      <c r="Y219" s="1" t="n">
        <v>0</v>
      </c>
      <c r="Z219" s="1" t="n">
        <v>1</v>
      </c>
      <c r="AA219" s="1" t="n">
        <v>0</v>
      </c>
      <c r="AB219" s="1" t="n">
        <v>0</v>
      </c>
      <c r="AC219" s="1" t="n">
        <v>1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1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</row>
    <row r="220">
      <c r="A220" s="1" t="inlineStr">
        <is>
          <t>Septic Shock</t>
        </is>
      </c>
      <c r="B220" s="1" t="inlineStr">
        <is>
          <t>EFO_0006834</t>
        </is>
      </c>
      <c r="C220" s="1" t="inlineStr">
        <is>
          <t>name</t>
        </is>
      </c>
      <c r="D220" s="1" t="n">
        <v>0.05</v>
      </c>
      <c r="E220" s="15" t="n">
        <v>2</v>
      </c>
      <c r="F220" s="15" t="n">
        <v>0</v>
      </c>
      <c r="G220" s="15" t="n">
        <v>0</v>
      </c>
      <c r="H220" s="16">
        <f>G220/F220</f>
        <v/>
      </c>
      <c r="I220" s="16">
        <f>G220/E220</f>
        <v/>
      </c>
      <c r="J220" s="17" t="n">
        <v>12</v>
      </c>
      <c r="K220" s="17" t="n">
        <v>0</v>
      </c>
      <c r="L220" s="17" t="n">
        <v>0</v>
      </c>
      <c r="M220" s="16">
        <f>L220/K220</f>
        <v/>
      </c>
      <c r="N220" s="16">
        <f>L220/J220</f>
        <v/>
      </c>
      <c r="O220" s="18" t="n">
        <v>0</v>
      </c>
      <c r="P220" s="18" t="n">
        <v>0</v>
      </c>
      <c r="Q220" s="16">
        <f>P220/O220</f>
        <v/>
      </c>
      <c r="R220" s="1" t="n">
        <v>690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</row>
    <row r="221">
      <c r="A221" s="1" t="inlineStr">
        <is>
          <t>serous cystadenocarcinoma</t>
        </is>
      </c>
      <c r="B221" s="1" t="inlineStr">
        <is>
          <t>MONDO_0024621</t>
        </is>
      </c>
      <c r="C221" s="1" t="inlineStr">
        <is>
          <t>name</t>
        </is>
      </c>
      <c r="D221" s="1" t="n">
        <v>0.05</v>
      </c>
      <c r="E221" s="15" t="n">
        <v>0</v>
      </c>
      <c r="F221" s="15" t="n">
        <v>56</v>
      </c>
      <c r="G221" s="15" t="n">
        <v>0</v>
      </c>
      <c r="H221" s="16">
        <f>G221/F221</f>
        <v/>
      </c>
      <c r="I221" s="16">
        <f>G221/E221</f>
        <v/>
      </c>
      <c r="J221" s="17" t="n">
        <v>0</v>
      </c>
      <c r="K221" s="17" t="n">
        <v>803</v>
      </c>
      <c r="L221" s="17" t="n">
        <v>0</v>
      </c>
      <c r="M221" s="16">
        <f>L221/K221</f>
        <v/>
      </c>
      <c r="N221" s="16">
        <f>L221/J221</f>
        <v/>
      </c>
      <c r="O221" s="18" t="n">
        <v>2</v>
      </c>
      <c r="P221" s="18" t="n">
        <v>0</v>
      </c>
      <c r="Q221" s="16">
        <f>P221/O221</f>
        <v/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</row>
    <row r="222">
      <c r="A222" s="1" t="inlineStr">
        <is>
          <t>sickle cell anemia</t>
        </is>
      </c>
      <c r="B222" s="1" t="inlineStr">
        <is>
          <t>MONDO_0011382</t>
        </is>
      </c>
      <c r="C222" s="1" t="inlineStr">
        <is>
          <t>name</t>
        </is>
      </c>
      <c r="D222" s="1" t="n">
        <v>0.05</v>
      </c>
      <c r="E222" s="15" t="n">
        <v>12</v>
      </c>
      <c r="F222" s="15" t="n">
        <v>117</v>
      </c>
      <c r="G222" s="15" t="n">
        <v>3</v>
      </c>
      <c r="H222" s="16">
        <f>G222/F222</f>
        <v/>
      </c>
      <c r="I222" s="16">
        <f>G222/E222</f>
        <v/>
      </c>
      <c r="J222" s="17" t="n">
        <v>24</v>
      </c>
      <c r="K222" s="17" t="n">
        <v>911</v>
      </c>
      <c r="L222" s="17" t="n">
        <v>15</v>
      </c>
      <c r="M222" s="16">
        <f>L222/K222</f>
        <v/>
      </c>
      <c r="N222" s="16">
        <f>L222/J222</f>
        <v/>
      </c>
      <c r="O222" s="18" t="n">
        <v>9</v>
      </c>
      <c r="P222" s="18" t="n">
        <v>0</v>
      </c>
      <c r="Q222" s="16">
        <f>P222/O222</f>
        <v/>
      </c>
      <c r="R222" s="1" t="n">
        <v>1124</v>
      </c>
      <c r="S222" s="1" t="n">
        <v>18</v>
      </c>
      <c r="T222" s="1" t="n">
        <v>4</v>
      </c>
      <c r="U222" s="1" t="n">
        <v>15</v>
      </c>
      <c r="V222" s="1" t="n">
        <v>17</v>
      </c>
      <c r="W222" s="1" t="n">
        <v>7</v>
      </c>
      <c r="X222" s="1" t="n">
        <v>2</v>
      </c>
      <c r="Y222" s="1" t="n">
        <v>4</v>
      </c>
      <c r="Z222" s="1" t="n">
        <v>19</v>
      </c>
      <c r="AA222" s="1" t="n">
        <v>1</v>
      </c>
      <c r="AB222" s="1" t="n">
        <v>1</v>
      </c>
      <c r="AC222" s="1" t="n">
        <v>8</v>
      </c>
      <c r="AD222" s="1" t="n">
        <v>3</v>
      </c>
      <c r="AE222" s="1" t="n">
        <v>7</v>
      </c>
      <c r="AF222" s="1" t="n">
        <v>1</v>
      </c>
      <c r="AG222" s="1" t="n">
        <v>0</v>
      </c>
      <c r="AH222" s="1" t="n">
        <v>1</v>
      </c>
      <c r="AI222" s="1" t="n">
        <v>0</v>
      </c>
      <c r="AJ222" s="1" t="n">
        <v>0</v>
      </c>
      <c r="AK222" s="1" t="n">
        <v>0</v>
      </c>
      <c r="AL222" s="1" t="n">
        <v>2</v>
      </c>
      <c r="AM222" s="1" t="n">
        <v>1</v>
      </c>
    </row>
    <row r="223">
      <c r="A223" s="1" t="inlineStr">
        <is>
          <t>skin squamous cell carcinoma</t>
        </is>
      </c>
      <c r="B223" s="1" t="inlineStr">
        <is>
          <t>MONDO_0002529</t>
        </is>
      </c>
      <c r="C223" s="1" t="inlineStr">
        <is>
          <t>name</t>
        </is>
      </c>
      <c r="D223" s="1" t="n">
        <v>0.05</v>
      </c>
      <c r="E223" s="15" t="n">
        <v>2</v>
      </c>
      <c r="F223" s="15" t="n">
        <v>328</v>
      </c>
      <c r="G223" s="15" t="n">
        <v>2</v>
      </c>
      <c r="H223" s="16">
        <f>G223/F223</f>
        <v/>
      </c>
      <c r="I223" s="16">
        <f>G223/E223</f>
        <v/>
      </c>
      <c r="J223" s="17" t="n">
        <v>0</v>
      </c>
      <c r="K223" s="17" t="n">
        <v>358</v>
      </c>
      <c r="L223" s="17" t="n">
        <v>0</v>
      </c>
      <c r="M223" s="16">
        <f>L223/K223</f>
        <v/>
      </c>
      <c r="N223" s="16">
        <f>L223/J223</f>
        <v/>
      </c>
      <c r="O223" s="18" t="n">
        <v>16</v>
      </c>
      <c r="P223" s="18" t="n">
        <v>0</v>
      </c>
      <c r="Q223" s="16">
        <f>P223/O223</f>
        <v/>
      </c>
      <c r="R223" s="1" t="n">
        <v>76</v>
      </c>
      <c r="S223" s="1" t="n">
        <v>2</v>
      </c>
      <c r="T223" s="1" t="n">
        <v>0</v>
      </c>
      <c r="U223" s="1" t="n">
        <v>1</v>
      </c>
      <c r="V223" s="1" t="n">
        <v>2</v>
      </c>
      <c r="W223" s="1" t="n">
        <v>0</v>
      </c>
      <c r="X223" s="1" t="n">
        <v>0</v>
      </c>
      <c r="Y223" s="1" t="n">
        <v>1</v>
      </c>
      <c r="Z223" s="1" t="n">
        <v>2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5</v>
      </c>
      <c r="AK223" s="1" t="n">
        <v>4</v>
      </c>
      <c r="AL223" s="1" t="n">
        <v>6</v>
      </c>
      <c r="AM223" s="1" t="n">
        <v>0</v>
      </c>
    </row>
    <row r="224">
      <c r="A224" s="1" t="inlineStr">
        <is>
          <t>swine influenza</t>
        </is>
      </c>
      <c r="B224" s="1" t="inlineStr">
        <is>
          <t>EFO_0005226</t>
        </is>
      </c>
      <c r="C224" s="1" t="inlineStr">
        <is>
          <t>name</t>
        </is>
      </c>
      <c r="D224" s="1" t="n">
        <v>0.05</v>
      </c>
      <c r="E224" s="15" t="n">
        <v>0</v>
      </c>
      <c r="F224" s="15" t="n">
        <v>310</v>
      </c>
      <c r="G224" s="15" t="n">
        <v>0</v>
      </c>
      <c r="H224" s="16">
        <f>G224/F224</f>
        <v/>
      </c>
      <c r="I224" s="16">
        <f>G224/E224</f>
        <v/>
      </c>
      <c r="J224" s="17" t="n">
        <v>0</v>
      </c>
      <c r="K224" s="17" t="n">
        <v>1</v>
      </c>
      <c r="L224" s="17" t="n">
        <v>0</v>
      </c>
      <c r="M224" s="16">
        <f>L224/K224</f>
        <v/>
      </c>
      <c r="N224" s="16">
        <f>L224/J224</f>
        <v/>
      </c>
      <c r="O224" s="18" t="n">
        <v>0</v>
      </c>
      <c r="P224" s="18" t="n">
        <v>0</v>
      </c>
      <c r="Q224" s="16">
        <f>P224/O224</f>
        <v/>
      </c>
      <c r="R224" s="1" t="n">
        <v>6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</row>
    <row r="225">
      <c r="A225" s="1" t="inlineStr">
        <is>
          <t>tendinitis</t>
        </is>
      </c>
      <c r="B225" s="1" t="inlineStr">
        <is>
          <t>MONDO_0004857</t>
        </is>
      </c>
      <c r="C225" s="1" t="inlineStr">
        <is>
          <t>name</t>
        </is>
      </c>
      <c r="D225" s="1" t="n">
        <v>0.05</v>
      </c>
      <c r="E225" s="15" t="n">
        <v>1</v>
      </c>
      <c r="F225" s="15" t="n">
        <v>73</v>
      </c>
      <c r="G225" s="15" t="n">
        <v>0</v>
      </c>
      <c r="H225" s="16">
        <f>G225/F225</f>
        <v/>
      </c>
      <c r="I225" s="16">
        <f>G225/E225</f>
        <v/>
      </c>
      <c r="J225" s="17" t="n">
        <v>2</v>
      </c>
      <c r="K225" s="17" t="n">
        <v>88</v>
      </c>
      <c r="L225" s="17" t="n">
        <v>0</v>
      </c>
      <c r="M225" s="16">
        <f>L225/K225</f>
        <v/>
      </c>
      <c r="N225" s="16">
        <f>L225/J225</f>
        <v/>
      </c>
      <c r="O225" s="18" t="n">
        <v>0</v>
      </c>
      <c r="P225" s="18" t="n">
        <v>0</v>
      </c>
      <c r="Q225" s="16">
        <f>P225/O225</f>
        <v/>
      </c>
      <c r="R225" s="1" t="n">
        <v>203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</row>
    <row r="226">
      <c r="A226" s="1" t="inlineStr">
        <is>
          <t>Turner syndrome</t>
        </is>
      </c>
      <c r="B226" s="1" t="inlineStr">
        <is>
          <t>MONDO_0019499</t>
        </is>
      </c>
      <c r="C226" s="1" t="inlineStr">
        <is>
          <t>name</t>
        </is>
      </c>
      <c r="D226" s="1" t="n">
        <v>0.05</v>
      </c>
      <c r="E226" s="15" t="n">
        <v>1</v>
      </c>
      <c r="F226" s="15" t="n">
        <v>147</v>
      </c>
      <c r="G226" s="15" t="n">
        <v>1</v>
      </c>
      <c r="H226" s="16">
        <f>G226/F226</f>
        <v/>
      </c>
      <c r="I226" s="16">
        <f>G226/E226</f>
        <v/>
      </c>
      <c r="J226" s="17" t="n">
        <v>1</v>
      </c>
      <c r="K226" s="17" t="n">
        <v>239</v>
      </c>
      <c r="L226" s="17" t="n">
        <v>1</v>
      </c>
      <c r="M226" s="16">
        <f>L226/K226</f>
        <v/>
      </c>
      <c r="N226" s="16">
        <f>L226/J226</f>
        <v/>
      </c>
      <c r="O226" s="18" t="n">
        <v>4</v>
      </c>
      <c r="P226" s="18" t="n">
        <v>0</v>
      </c>
      <c r="Q226" s="16">
        <f>P226/O226</f>
        <v/>
      </c>
      <c r="R226" s="1" t="n">
        <v>226</v>
      </c>
      <c r="S226" s="1" t="n">
        <v>2</v>
      </c>
      <c r="T226" s="1" t="n">
        <v>0</v>
      </c>
      <c r="U226" s="1" t="n">
        <v>1</v>
      </c>
      <c r="V226" s="1" t="n">
        <v>0</v>
      </c>
      <c r="W226" s="1" t="n">
        <v>2</v>
      </c>
      <c r="X226" s="1" t="n">
        <v>0</v>
      </c>
      <c r="Y226" s="1" t="n">
        <v>0</v>
      </c>
      <c r="Z226" s="1" t="n">
        <v>2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1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4</v>
      </c>
      <c r="AK226" s="1" t="n">
        <v>0</v>
      </c>
      <c r="AL226" s="1" t="n">
        <v>0</v>
      </c>
      <c r="AM226" s="1" t="n">
        <v>1</v>
      </c>
    </row>
    <row r="227">
      <c r="A227" s="1" t="inlineStr">
        <is>
          <t>type 1 diabetes mellitus</t>
        </is>
      </c>
      <c r="B227" s="1" t="inlineStr">
        <is>
          <t>MONDO_0005147</t>
        </is>
      </c>
      <c r="C227" s="1" t="inlineStr">
        <is>
          <t>name</t>
        </is>
      </c>
      <c r="D227" s="1" t="n">
        <v>0.05</v>
      </c>
      <c r="E227" s="15" t="n">
        <v>12</v>
      </c>
      <c r="F227" s="15" t="n">
        <v>178</v>
      </c>
      <c r="G227" s="15" t="n">
        <v>2</v>
      </c>
      <c r="H227" s="16">
        <f>G227/F227</f>
        <v/>
      </c>
      <c r="I227" s="16">
        <f>G227/E227</f>
        <v/>
      </c>
      <c r="J227" s="17" t="n">
        <v>31</v>
      </c>
      <c r="K227" s="17" t="n">
        <v>201</v>
      </c>
      <c r="L227" s="17" t="n">
        <v>8</v>
      </c>
      <c r="M227" s="16">
        <f>L227/K227</f>
        <v/>
      </c>
      <c r="N227" s="16">
        <f>L227/J227</f>
        <v/>
      </c>
      <c r="O227" s="18" t="n">
        <v>3</v>
      </c>
      <c r="P227" s="18" t="n">
        <v>0</v>
      </c>
      <c r="Q227" s="16">
        <f>P227/O227</f>
        <v/>
      </c>
      <c r="R227" s="1" t="n">
        <v>1788</v>
      </c>
      <c r="S227" s="1" t="n">
        <v>10</v>
      </c>
      <c r="T227" s="1" t="n">
        <v>1</v>
      </c>
      <c r="U227" s="1" t="n">
        <v>4</v>
      </c>
      <c r="V227" s="1" t="n">
        <v>13</v>
      </c>
      <c r="W227" s="1" t="n">
        <v>7</v>
      </c>
      <c r="X227" s="1" t="n">
        <v>0</v>
      </c>
      <c r="Y227" s="1" t="n">
        <v>0</v>
      </c>
      <c r="Z227" s="1" t="n">
        <v>16</v>
      </c>
      <c r="AA227" s="1" t="n">
        <v>1</v>
      </c>
      <c r="AB227" s="1" t="n">
        <v>1</v>
      </c>
      <c r="AC227" s="1" t="n">
        <v>2</v>
      </c>
      <c r="AD227" s="1" t="n">
        <v>0</v>
      </c>
      <c r="AE227" s="1" t="n">
        <v>3</v>
      </c>
      <c r="AF227" s="1" t="n">
        <v>0</v>
      </c>
      <c r="AG227" s="1" t="n">
        <v>0</v>
      </c>
      <c r="AH227" s="1" t="n">
        <v>2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</row>
    <row r="228">
      <c r="A228" s="1" t="inlineStr">
        <is>
          <t>ulcerative colitis</t>
        </is>
      </c>
      <c r="B228" s="1" t="inlineStr">
        <is>
          <t>EFO_0000729</t>
        </is>
      </c>
      <c r="C228" s="1" t="inlineStr">
        <is>
          <t>name</t>
        </is>
      </c>
      <c r="D228" s="1" t="n">
        <v>0.05</v>
      </c>
      <c r="E228" s="15" t="n">
        <v>10</v>
      </c>
      <c r="F228" s="15" t="n">
        <v>207</v>
      </c>
      <c r="G228" s="15" t="n">
        <v>5</v>
      </c>
      <c r="H228" s="16">
        <f>G228/F228</f>
        <v/>
      </c>
      <c r="I228" s="16">
        <f>G228/E228</f>
        <v/>
      </c>
      <c r="J228" s="17" t="n">
        <v>24</v>
      </c>
      <c r="K228" s="17" t="n">
        <v>68</v>
      </c>
      <c r="L228" s="17" t="n">
        <v>3</v>
      </c>
      <c r="M228" s="16">
        <f>L228/K228</f>
        <v/>
      </c>
      <c r="N228" s="16">
        <f>L228/J228</f>
        <v/>
      </c>
      <c r="O228" s="18" t="n">
        <v>1</v>
      </c>
      <c r="P228" s="18" t="n">
        <v>0</v>
      </c>
      <c r="Q228" s="16">
        <f>P228/O228</f>
        <v/>
      </c>
      <c r="R228" s="1" t="n">
        <v>1192</v>
      </c>
      <c r="S228" s="1" t="n">
        <v>8</v>
      </c>
      <c r="T228" s="1" t="n">
        <v>0</v>
      </c>
      <c r="U228" s="1" t="n">
        <v>6</v>
      </c>
      <c r="V228" s="1" t="n">
        <v>11</v>
      </c>
      <c r="W228" s="1" t="n">
        <v>9</v>
      </c>
      <c r="X228" s="1" t="n">
        <v>9</v>
      </c>
      <c r="Y228" s="1" t="n">
        <v>2</v>
      </c>
      <c r="Z228" s="1" t="n">
        <v>9</v>
      </c>
      <c r="AA228" s="1" t="n">
        <v>0</v>
      </c>
      <c r="AB228" s="1" t="n">
        <v>5</v>
      </c>
      <c r="AC228" s="1" t="n">
        <v>4</v>
      </c>
      <c r="AD228" s="1" t="n">
        <v>0</v>
      </c>
      <c r="AE228" s="1" t="n">
        <v>5</v>
      </c>
      <c r="AF228" s="1" t="n">
        <v>4</v>
      </c>
      <c r="AG228" s="1" t="n">
        <v>6</v>
      </c>
      <c r="AH228" s="1" t="n">
        <v>0</v>
      </c>
      <c r="AI228" s="1" t="n">
        <v>1</v>
      </c>
      <c r="AJ228" s="1" t="n">
        <v>4</v>
      </c>
      <c r="AK228" s="1" t="n">
        <v>4</v>
      </c>
      <c r="AL228" s="1" t="n">
        <v>3</v>
      </c>
      <c r="AM228" s="1" t="n">
        <v>2</v>
      </c>
    </row>
    <row r="229">
      <c r="A229" s="1" t="inlineStr">
        <is>
          <t>urticaria</t>
        </is>
      </c>
      <c r="B229" s="1" t="inlineStr">
        <is>
          <t>EFO_0005531</t>
        </is>
      </c>
      <c r="C229" s="1" t="inlineStr">
        <is>
          <t>name</t>
        </is>
      </c>
      <c r="D229" s="1" t="n">
        <v>0.05</v>
      </c>
      <c r="E229" s="15" t="n">
        <v>4</v>
      </c>
      <c r="F229" s="15" t="n">
        <v>76</v>
      </c>
      <c r="G229" s="15" t="n">
        <v>0</v>
      </c>
      <c r="H229" s="16">
        <f>G229/F229</f>
        <v/>
      </c>
      <c r="I229" s="16">
        <f>G229/E229</f>
        <v/>
      </c>
      <c r="J229" s="17" t="n">
        <v>9</v>
      </c>
      <c r="K229" s="17" t="n">
        <v>841</v>
      </c>
      <c r="L229" s="17" t="n">
        <v>6</v>
      </c>
      <c r="M229" s="16">
        <f>L229/K229</f>
        <v/>
      </c>
      <c r="N229" s="16">
        <f>L229/J229</f>
        <v/>
      </c>
      <c r="O229" s="18" t="n">
        <v>3</v>
      </c>
      <c r="P229" s="18" t="n">
        <v>0</v>
      </c>
      <c r="Q229" s="16">
        <f>P229/O229</f>
        <v/>
      </c>
      <c r="R229" s="1" t="n">
        <v>527</v>
      </c>
      <c r="S229" s="1" t="n">
        <v>6</v>
      </c>
      <c r="T229" s="1" t="n">
        <v>0</v>
      </c>
      <c r="U229" s="1" t="n">
        <v>4</v>
      </c>
      <c r="V229" s="1" t="n">
        <v>2</v>
      </c>
      <c r="W229" s="1" t="n">
        <v>5</v>
      </c>
      <c r="X229" s="1" t="n">
        <v>1</v>
      </c>
      <c r="Y229" s="1" t="n">
        <v>0</v>
      </c>
      <c r="Z229" s="1" t="n">
        <v>7</v>
      </c>
      <c r="AA229" s="1" t="n">
        <v>0</v>
      </c>
      <c r="AB229" s="1" t="n">
        <v>0</v>
      </c>
      <c r="AC229" s="1" t="n">
        <v>2</v>
      </c>
      <c r="AD229" s="1" t="n">
        <v>0</v>
      </c>
      <c r="AE229" s="1" t="n">
        <v>1</v>
      </c>
      <c r="AF229" s="1" t="n">
        <v>1</v>
      </c>
      <c r="AG229" s="1" t="n">
        <v>1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1</v>
      </c>
      <c r="AM229" s="1" t="n">
        <v>0</v>
      </c>
    </row>
    <row r="230">
      <c r="A230" s="1" t="inlineStr">
        <is>
          <t>uterine fibroid</t>
        </is>
      </c>
      <c r="B230" s="1" t="inlineStr">
        <is>
          <t>EFO_0000731</t>
        </is>
      </c>
      <c r="C230" s="1" t="inlineStr">
        <is>
          <t>name</t>
        </is>
      </c>
      <c r="D230" s="1" t="n">
        <v>0.05</v>
      </c>
      <c r="E230" s="15" t="n">
        <v>3</v>
      </c>
      <c r="F230" s="15" t="n">
        <v>116</v>
      </c>
      <c r="G230" s="15" t="n">
        <v>0</v>
      </c>
      <c r="H230" s="16">
        <f>G230/F230</f>
        <v/>
      </c>
      <c r="I230" s="16">
        <f>G230/E230</f>
        <v/>
      </c>
      <c r="J230" s="17" t="n">
        <v>7</v>
      </c>
      <c r="K230" s="17" t="n">
        <v>347</v>
      </c>
      <c r="L230" s="17" t="n">
        <v>3</v>
      </c>
      <c r="M230" s="16">
        <f>L230/K230</f>
        <v/>
      </c>
      <c r="N230" s="16">
        <f>L230/J230</f>
        <v/>
      </c>
      <c r="O230" s="18" t="n">
        <v>4</v>
      </c>
      <c r="P230" s="18" t="n">
        <v>0</v>
      </c>
      <c r="Q230" s="16">
        <f>P230/O230</f>
        <v/>
      </c>
      <c r="R230" s="1" t="n">
        <v>275</v>
      </c>
      <c r="S230" s="1" t="n">
        <v>3</v>
      </c>
      <c r="T230" s="1" t="n">
        <v>0</v>
      </c>
      <c r="U230" s="1" t="n">
        <v>2</v>
      </c>
      <c r="V230" s="1" t="n">
        <v>2</v>
      </c>
      <c r="W230" s="1" t="n">
        <v>1</v>
      </c>
      <c r="X230" s="1" t="n">
        <v>0</v>
      </c>
      <c r="Y230" s="1" t="n">
        <v>0</v>
      </c>
      <c r="Z230" s="1" t="n">
        <v>4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1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</row>
    <row r="231">
      <c r="A231" s="1" t="inlineStr">
        <is>
          <t>Venezuelan equine encephalitis</t>
        </is>
      </c>
      <c r="B231" s="1" t="inlineStr">
        <is>
          <t>EFO_0007534</t>
        </is>
      </c>
      <c r="C231" s="1" t="inlineStr">
        <is>
          <t>name</t>
        </is>
      </c>
      <c r="D231" s="1" t="n">
        <v>0.05</v>
      </c>
      <c r="E231" s="15" t="n">
        <v>0</v>
      </c>
      <c r="F231" s="15" t="n">
        <v>111</v>
      </c>
      <c r="G231" s="15" t="n">
        <v>0</v>
      </c>
      <c r="H231" s="16">
        <f>G231/F231</f>
        <v/>
      </c>
      <c r="I231" s="16">
        <f>G231/E231</f>
        <v/>
      </c>
      <c r="J231" s="17" t="n">
        <v>0</v>
      </c>
      <c r="K231" s="17" t="n">
        <v>0</v>
      </c>
      <c r="L231" s="17" t="n">
        <v>0</v>
      </c>
      <c r="M231" s="16">
        <f>L231/K231</f>
        <v/>
      </c>
      <c r="N231" s="16">
        <f>L231/J231</f>
        <v/>
      </c>
      <c r="O231" s="18" t="n">
        <v>0</v>
      </c>
      <c r="P231" s="18" t="n">
        <v>0</v>
      </c>
      <c r="Q231" s="16">
        <f>P231/O231</f>
        <v/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6</v>
      </c>
      <c r="AK231" s="1" t="n">
        <v>0</v>
      </c>
      <c r="AL231" s="1" t="n">
        <v>1</v>
      </c>
      <c r="AM231" s="1" t="n">
        <v>1</v>
      </c>
    </row>
    <row r="232">
      <c r="A232" s="1" t="inlineStr">
        <is>
          <t>Viral cardiomyopathy</t>
        </is>
      </c>
      <c r="B232" s="1" t="inlineStr">
        <is>
          <t>EFO_0002629</t>
        </is>
      </c>
      <c r="C232" s="1" t="inlineStr">
        <is>
          <t>name</t>
        </is>
      </c>
      <c r="D232" s="1" t="n">
        <v>0.05</v>
      </c>
      <c r="E232" s="15" t="n">
        <v>0</v>
      </c>
      <c r="F232" s="15" t="n">
        <v>33</v>
      </c>
      <c r="G232" s="15" t="n">
        <v>0</v>
      </c>
      <c r="H232" s="16">
        <f>G232/F232</f>
        <v/>
      </c>
      <c r="I232" s="16">
        <f>G232/E232</f>
        <v/>
      </c>
      <c r="J232" s="17" t="n">
        <v>0</v>
      </c>
      <c r="K232" s="17" t="n">
        <v>935</v>
      </c>
      <c r="L232" s="17" t="n">
        <v>0</v>
      </c>
      <c r="M232" s="16">
        <f>L232/K232</f>
        <v/>
      </c>
      <c r="N232" s="16">
        <f>L232/J232</f>
        <v/>
      </c>
      <c r="O232" s="18" t="n">
        <v>7</v>
      </c>
      <c r="P232" s="18" t="n">
        <v>0</v>
      </c>
      <c r="Q232" s="16">
        <f>P232/O232</f>
        <v/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4</v>
      </c>
      <c r="AK232" s="1" t="n">
        <v>1</v>
      </c>
      <c r="AL232" s="1" t="n">
        <v>3</v>
      </c>
      <c r="AM232" s="1" t="n">
        <v>2</v>
      </c>
    </row>
    <row r="233">
      <c r="A233" s="1" t="inlineStr">
        <is>
          <t>Waldenstrom Macroglobulinemia</t>
        </is>
      </c>
      <c r="B233" s="1" t="inlineStr">
        <is>
          <t>EFO_0009441</t>
        </is>
      </c>
      <c r="C233" s="1" t="inlineStr">
        <is>
          <t>name</t>
        </is>
      </c>
      <c r="D233" s="1" t="n">
        <v>0.05</v>
      </c>
      <c r="E233" s="15" t="n">
        <v>13</v>
      </c>
      <c r="F233" s="15" t="n">
        <v>275</v>
      </c>
      <c r="G233" s="15" t="n">
        <v>5</v>
      </c>
      <c r="H233" s="16">
        <f>G233/F233</f>
        <v/>
      </c>
      <c r="I233" s="16">
        <f>G233/E233</f>
        <v/>
      </c>
      <c r="J233" s="17" t="n">
        <v>8</v>
      </c>
      <c r="K233" s="17" t="n">
        <v>498</v>
      </c>
      <c r="L233" s="17" t="n">
        <v>3</v>
      </c>
      <c r="M233" s="16">
        <f>L233/K233</f>
        <v/>
      </c>
      <c r="N233" s="16">
        <f>L233/J233</f>
        <v/>
      </c>
      <c r="O233" s="18" t="n">
        <v>23</v>
      </c>
      <c r="P233" s="18" t="n">
        <v>0</v>
      </c>
      <c r="Q233" s="16">
        <f>P233/O233</f>
        <v/>
      </c>
      <c r="R233" s="1" t="n">
        <v>560</v>
      </c>
      <c r="S233" s="1" t="n">
        <v>8</v>
      </c>
      <c r="T233" s="1" t="n">
        <v>0</v>
      </c>
      <c r="U233" s="1" t="n">
        <v>4</v>
      </c>
      <c r="V233" s="1" t="n">
        <v>8</v>
      </c>
      <c r="W233" s="1" t="n">
        <v>1</v>
      </c>
      <c r="X233" s="1" t="n">
        <v>0</v>
      </c>
      <c r="Y233" s="1" t="n">
        <v>0</v>
      </c>
      <c r="Z233" s="1" t="n">
        <v>9</v>
      </c>
      <c r="AA233" s="1" t="n">
        <v>0</v>
      </c>
      <c r="AB233" s="1" t="n">
        <v>1</v>
      </c>
      <c r="AC233" s="1" t="n">
        <v>1</v>
      </c>
      <c r="AD233" s="1" t="n">
        <v>0</v>
      </c>
      <c r="AE233" s="1" t="n">
        <v>2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</row>
    <row r="234">
      <c r="A234" s="1" t="inlineStr">
        <is>
          <t>West Nile fever</t>
        </is>
      </c>
      <c r="B234" s="1" t="inlineStr">
        <is>
          <t>MONDO_0002282</t>
        </is>
      </c>
      <c r="C234" s="1" t="inlineStr">
        <is>
          <t>name</t>
        </is>
      </c>
      <c r="D234" s="1" t="n">
        <v>0.05</v>
      </c>
      <c r="E234" s="15" t="n">
        <v>0</v>
      </c>
      <c r="F234" s="15" t="n">
        <v>189</v>
      </c>
      <c r="G234" s="15" t="n">
        <v>0</v>
      </c>
      <c r="H234" s="16">
        <f>G234/F234</f>
        <v/>
      </c>
      <c r="I234" s="16">
        <f>G234/E234</f>
        <v/>
      </c>
      <c r="J234" s="17" t="n">
        <v>0</v>
      </c>
      <c r="K234" s="17" t="n">
        <v>4</v>
      </c>
      <c r="L234" s="17" t="n">
        <v>0</v>
      </c>
      <c r="M234" s="16">
        <f>L234/K234</f>
        <v/>
      </c>
      <c r="N234" s="16">
        <f>L234/J234</f>
        <v/>
      </c>
      <c r="O234" s="18" t="n">
        <v>0</v>
      </c>
      <c r="P234" s="18" t="n">
        <v>0</v>
      </c>
      <c r="Q234" s="16">
        <f>P234/O234</f>
        <v/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4</v>
      </c>
      <c r="AK234" s="1" t="n">
        <v>1</v>
      </c>
      <c r="AL234" s="1" t="n">
        <v>0</v>
      </c>
      <c r="AM234" s="1" t="n">
        <v>0</v>
      </c>
    </row>
    <row r="235">
      <c r="A235" s="14" t="inlineStr">
        <is>
          <t>Average</t>
        </is>
      </c>
      <c r="B235" s="14" t="n"/>
      <c r="C235" s="14" t="n"/>
      <c r="D235" s="14" t="n"/>
      <c r="E235" s="14">
        <f>AVERAGE(E2:E234)</f>
        <v/>
      </c>
      <c r="F235" s="14">
        <f>AVERAGE(F2:F234)</f>
        <v/>
      </c>
      <c r="G235" s="14">
        <f>AVERAGE(G2:G234)</f>
        <v/>
      </c>
      <c r="H235" s="14">
        <f>AVERAGE(H2:H234)</f>
        <v/>
      </c>
      <c r="I235" s="14">
        <f>AVERAGE(I2:I234)</f>
        <v/>
      </c>
      <c r="J235" s="14">
        <f>AVERAGE(J2:J234)</f>
        <v/>
      </c>
      <c r="K235" s="14">
        <f>AVERAGE(K2:K234)</f>
        <v/>
      </c>
      <c r="L235" s="14">
        <f>AVERAGE(L2:L234)</f>
        <v/>
      </c>
      <c r="M235" s="14">
        <f>AVERAGE(M2:M234)</f>
        <v/>
      </c>
      <c r="N235" s="14">
        <f>AVERAGE(N2:N234)</f>
        <v/>
      </c>
      <c r="O235" s="14">
        <f>AVERAGE(O2:O234)</f>
        <v/>
      </c>
      <c r="P235" s="14">
        <f>AVERAGE(P2:P234)</f>
        <v/>
      </c>
      <c r="Q235" s="14">
        <f>AVERAGE(Q2:Q234)</f>
        <v/>
      </c>
      <c r="R235" s="14">
        <f>AVERAGE(R2:R234)</f>
        <v/>
      </c>
      <c r="S235" s="14">
        <f>AVERAGE(S2:S234)</f>
        <v/>
      </c>
      <c r="T235" s="14">
        <f>AVERAGE(T2:T234)</f>
        <v/>
      </c>
      <c r="U235" s="14">
        <f>AVERAGE(U2:U234)</f>
        <v/>
      </c>
      <c r="V235" s="14">
        <f>AVERAGE(V2:V234)</f>
        <v/>
      </c>
      <c r="W235" s="14">
        <f>AVERAGE(W2:W234)</f>
        <v/>
      </c>
      <c r="X235" s="14">
        <f>AVERAGE(X2:X234)</f>
        <v/>
      </c>
      <c r="Y235" s="14">
        <f>AVERAGE(Y2:Y234)</f>
        <v/>
      </c>
      <c r="Z235" s="14">
        <f>AVERAGE(Z2:Z234)</f>
        <v/>
      </c>
      <c r="AA235" s="14">
        <f>AVERAGE(AA2:AA234)</f>
        <v/>
      </c>
      <c r="AB235" s="14">
        <f>AVERAGE(AB2:AB234)</f>
        <v/>
      </c>
      <c r="AC235" s="14">
        <f>AVERAGE(AC2:AC234)</f>
        <v/>
      </c>
      <c r="AD235" s="14">
        <f>AVERAGE(AD2:AD234)</f>
        <v/>
      </c>
      <c r="AE235" s="14">
        <f>AVERAGE(AE2:AE234)</f>
        <v/>
      </c>
      <c r="AF235" s="14">
        <f>AVERAGE(AF2:AF234)</f>
        <v/>
      </c>
      <c r="AG235" s="14">
        <f>AVERAGE(AG2:AG234)</f>
        <v/>
      </c>
      <c r="AH235" s="14">
        <f>AVERAGE(AH2:AH234)</f>
        <v/>
      </c>
      <c r="AI235" s="14">
        <f>AVERAGE(AI2:AI234)</f>
        <v/>
      </c>
      <c r="AJ235" s="14">
        <f>AVERAGE(AJ2:AJ234)</f>
        <v/>
      </c>
      <c r="AK235" s="14">
        <f>AVERAGE(AK2:AK234)</f>
        <v/>
      </c>
      <c r="AL235" s="14">
        <f>AVERAGE(AL2:AL234)</f>
        <v/>
      </c>
      <c r="AM235" s="14">
        <f>AVERAGE(AM2:AM234)</f>
        <v/>
      </c>
    </row>
    <row r="236">
      <c r="E236" s="15" t="n"/>
      <c r="F236" s="15" t="n"/>
      <c r="G236" s="15" t="n"/>
      <c r="H236" s="16" t="n"/>
      <c r="I236" s="16" t="n"/>
      <c r="J236" s="17" t="n"/>
      <c r="K236" s="17" t="n"/>
      <c r="L236" s="17" t="n"/>
      <c r="M236" s="16" t="n"/>
      <c r="N236" s="16" t="n"/>
      <c r="O236" s="18" t="n"/>
      <c r="P236" s="18" t="n"/>
      <c r="Q236" s="16" t="n"/>
    </row>
    <row r="237">
      <c r="E237" s="15" t="n"/>
      <c r="F237" s="15" t="n"/>
      <c r="G237" s="15" t="n"/>
      <c r="H237" s="16" t="n"/>
      <c r="I237" s="16" t="n"/>
      <c r="J237" s="17" t="n"/>
      <c r="K237" s="17" t="n"/>
      <c r="L237" s="17" t="n"/>
      <c r="M237" s="16" t="n"/>
      <c r="N237" s="16" t="n"/>
      <c r="O237" s="18" t="n"/>
      <c r="P237" s="18" t="n"/>
      <c r="Q237" s="16" t="n"/>
    </row>
    <row r="238">
      <c r="E238" s="15" t="n"/>
      <c r="F238" s="15" t="n"/>
      <c r="G238" s="15" t="n"/>
      <c r="H238" s="16" t="n"/>
      <c r="I238" s="16" t="n"/>
      <c r="J238" s="17" t="n"/>
      <c r="K238" s="17" t="n"/>
      <c r="L238" s="17" t="n"/>
      <c r="M238" s="16" t="n"/>
      <c r="N238" s="16" t="n"/>
      <c r="O238" s="18" t="n"/>
      <c r="P238" s="18" t="n"/>
      <c r="Q238" s="16" t="n"/>
    </row>
    <row r="239">
      <c r="E239" s="15" t="n"/>
      <c r="F239" s="15" t="n"/>
      <c r="G239" s="15" t="n"/>
      <c r="H239" s="16" t="n"/>
      <c r="I239" s="16" t="n"/>
      <c r="J239" s="17" t="n"/>
      <c r="K239" s="17" t="n"/>
      <c r="L239" s="17" t="n"/>
      <c r="M239" s="16" t="n"/>
      <c r="N239" s="16" t="n"/>
      <c r="O239" s="18" t="n"/>
      <c r="P239" s="18" t="n"/>
      <c r="Q239" s="16" t="n"/>
    </row>
    <row r="240">
      <c r="E240" s="15" t="n"/>
      <c r="F240" s="15" t="n"/>
      <c r="G240" s="15" t="n"/>
      <c r="H240" s="16" t="n"/>
      <c r="I240" s="16" t="n"/>
      <c r="J240" s="17" t="n"/>
      <c r="K240" s="17" t="n"/>
      <c r="L240" s="17" t="n"/>
      <c r="M240" s="16" t="n"/>
      <c r="N240" s="16" t="n"/>
      <c r="O240" s="18" t="n"/>
      <c r="P240" s="18" t="n"/>
      <c r="Q240" s="16" t="n"/>
    </row>
    <row r="241">
      <c r="E241" s="15" t="n"/>
      <c r="F241" s="15" t="n"/>
      <c r="G241" s="15" t="n"/>
      <c r="H241" s="16" t="n"/>
      <c r="I241" s="16" t="n"/>
      <c r="J241" s="17" t="n"/>
      <c r="K241" s="17" t="n"/>
      <c r="L241" s="17" t="n"/>
      <c r="M241" s="16" t="n"/>
      <c r="N241" s="16" t="n"/>
      <c r="O241" s="18" t="n"/>
      <c r="P241" s="18" t="n"/>
      <c r="Q241" s="16" t="n"/>
    </row>
    <row r="242">
      <c r="E242" s="15" t="n"/>
      <c r="F242" s="15" t="n"/>
      <c r="G242" s="15" t="n"/>
      <c r="H242" s="16" t="n"/>
      <c r="I242" s="16" t="n"/>
      <c r="J242" s="17" t="n"/>
      <c r="K242" s="17" t="n"/>
      <c r="L242" s="17" t="n"/>
      <c r="M242" s="16" t="n"/>
      <c r="N242" s="16" t="n"/>
      <c r="O242" s="18" t="n"/>
      <c r="P242" s="18" t="n"/>
      <c r="Q242" s="16" t="n"/>
    </row>
    <row r="243">
      <c r="E243" s="15" t="n"/>
      <c r="F243" s="15" t="n"/>
      <c r="G243" s="15" t="n"/>
      <c r="H243" s="16" t="n"/>
      <c r="I243" s="16" t="n"/>
      <c r="J243" s="17" t="n"/>
      <c r="K243" s="17" t="n"/>
      <c r="L243" s="17" t="n"/>
      <c r="M243" s="16" t="n"/>
      <c r="N243" s="16" t="n"/>
      <c r="O243" s="18" t="n"/>
      <c r="P243" s="18" t="n"/>
      <c r="Q243" s="16" t="n"/>
    </row>
    <row r="244">
      <c r="E244" s="15" t="n"/>
      <c r="F244" s="15" t="n"/>
      <c r="G244" s="15" t="n"/>
      <c r="H244" s="16" t="n"/>
      <c r="I244" s="16" t="n"/>
      <c r="J244" s="17" t="n"/>
      <c r="K244" s="17" t="n"/>
      <c r="L244" s="17" t="n"/>
      <c r="M244" s="16" t="n"/>
      <c r="N244" s="16" t="n"/>
      <c r="O244" s="18" t="n"/>
      <c r="P244" s="18" t="n"/>
      <c r="Q244" s="16" t="n"/>
    </row>
    <row r="245">
      <c r="E245" s="15" t="n"/>
      <c r="F245" s="15" t="n"/>
      <c r="G245" s="15" t="n"/>
      <c r="H245" s="16" t="n"/>
      <c r="I245" s="16" t="n"/>
      <c r="J245" s="17" t="n"/>
      <c r="K245" s="17" t="n"/>
      <c r="L245" s="17" t="n"/>
      <c r="M245" s="16" t="n"/>
      <c r="N245" s="16" t="n"/>
      <c r="O245" s="18" t="n"/>
      <c r="P245" s="18" t="n"/>
      <c r="Q245" s="16" t="n"/>
    </row>
    <row r="246">
      <c r="E246" s="15" t="n"/>
      <c r="F246" s="15" t="n"/>
      <c r="G246" s="15" t="n"/>
      <c r="H246" s="16" t="n"/>
      <c r="I246" s="16" t="n"/>
      <c r="J246" s="17" t="n"/>
      <c r="K246" s="17" t="n"/>
      <c r="L246" s="17" t="n"/>
      <c r="M246" s="16" t="n"/>
      <c r="N246" s="16" t="n"/>
      <c r="O246" s="18" t="n"/>
      <c r="P246" s="18" t="n"/>
      <c r="Q246" s="16" t="n"/>
    </row>
    <row r="247">
      <c r="E247" s="15" t="n"/>
      <c r="F247" s="15" t="n"/>
      <c r="G247" s="15" t="n"/>
      <c r="H247" s="16" t="n"/>
      <c r="I247" s="16" t="n"/>
      <c r="J247" s="17" t="n"/>
      <c r="K247" s="17" t="n"/>
      <c r="L247" s="17" t="n"/>
      <c r="M247" s="16" t="n"/>
      <c r="N247" s="16" t="n"/>
      <c r="O247" s="18" t="n"/>
      <c r="P247" s="18" t="n"/>
      <c r="Q247" s="16" t="n"/>
    </row>
    <row r="248">
      <c r="E248" s="15" t="n"/>
      <c r="F248" s="15" t="n"/>
      <c r="G248" s="15" t="n"/>
      <c r="H248" s="16" t="n"/>
      <c r="I248" s="16" t="n"/>
      <c r="J248" s="17" t="n"/>
      <c r="K248" s="17" t="n"/>
      <c r="L248" s="17" t="n"/>
      <c r="M248" s="16" t="n"/>
      <c r="N248" s="16" t="n"/>
      <c r="O248" s="18" t="n"/>
      <c r="P248" s="18" t="n"/>
      <c r="Q248" s="16" t="n"/>
    </row>
    <row r="249">
      <c r="E249" s="15" t="n"/>
      <c r="F249" s="15" t="n"/>
      <c r="G249" s="15" t="n"/>
      <c r="H249" s="16" t="n"/>
      <c r="I249" s="16" t="n"/>
      <c r="J249" s="17" t="n"/>
      <c r="K249" s="17" t="n"/>
      <c r="L249" s="17" t="n"/>
      <c r="M249" s="16" t="n"/>
      <c r="N249" s="16" t="n"/>
      <c r="O249" s="18" t="n"/>
      <c r="P249" s="18" t="n"/>
      <c r="Q249" s="16" t="n"/>
    </row>
    <row r="250">
      <c r="E250" s="15" t="n"/>
      <c r="F250" s="15" t="n"/>
      <c r="G250" s="15" t="n"/>
      <c r="H250" s="16" t="n"/>
      <c r="I250" s="16" t="n"/>
      <c r="J250" s="17" t="n"/>
      <c r="K250" s="17" t="n"/>
      <c r="L250" s="17" t="n"/>
      <c r="M250" s="16" t="n"/>
      <c r="N250" s="16" t="n"/>
      <c r="O250" s="18" t="n"/>
      <c r="P250" s="18" t="n"/>
      <c r="Q250" s="16" t="n"/>
    </row>
    <row r="251">
      <c r="E251" s="15" t="n"/>
      <c r="F251" s="15" t="n"/>
      <c r="G251" s="15" t="n"/>
      <c r="H251" s="16" t="n"/>
      <c r="I251" s="16" t="n"/>
      <c r="J251" s="17" t="n"/>
      <c r="K251" s="17" t="n"/>
      <c r="L251" s="17" t="n"/>
      <c r="M251" s="16" t="n"/>
      <c r="N251" s="16" t="n"/>
      <c r="O251" s="18" t="n"/>
      <c r="P251" s="18" t="n"/>
      <c r="Q251" s="16" t="n"/>
    </row>
    <row r="252">
      <c r="E252" s="15" t="n"/>
      <c r="F252" s="15" t="n"/>
      <c r="G252" s="15" t="n"/>
      <c r="H252" s="16" t="n"/>
      <c r="I252" s="16" t="n"/>
      <c r="J252" s="17" t="n"/>
      <c r="K252" s="17" t="n"/>
      <c r="L252" s="17" t="n"/>
      <c r="M252" s="16" t="n"/>
      <c r="N252" s="16" t="n"/>
      <c r="O252" s="18" t="n"/>
      <c r="P252" s="18" t="n"/>
      <c r="Q252" s="16" t="n"/>
    </row>
    <row r="253">
      <c r="E253" s="15" t="n"/>
      <c r="F253" s="15" t="n"/>
      <c r="G253" s="15" t="n"/>
      <c r="H253" s="16" t="n"/>
      <c r="I253" s="16" t="n"/>
      <c r="J253" s="17" t="n"/>
      <c r="K253" s="17" t="n"/>
      <c r="L253" s="17" t="n"/>
      <c r="M253" s="16" t="n"/>
      <c r="N253" s="16" t="n"/>
      <c r="O253" s="18" t="n"/>
      <c r="P253" s="18" t="n"/>
      <c r="Q253" s="16" t="n"/>
    </row>
    <row r="254">
      <c r="E254" s="15" t="n"/>
      <c r="F254" s="15" t="n"/>
      <c r="G254" s="15" t="n"/>
      <c r="H254" s="16" t="n"/>
      <c r="I254" s="16" t="n"/>
      <c r="J254" s="17" t="n"/>
      <c r="K254" s="17" t="n"/>
      <c r="L254" s="17" t="n"/>
      <c r="M254" s="16" t="n"/>
      <c r="N254" s="16" t="n"/>
      <c r="O254" s="18" t="n"/>
      <c r="P254" s="18" t="n"/>
      <c r="Q254" s="16" t="n"/>
    </row>
    <row r="255">
      <c r="E255" s="15" t="n"/>
      <c r="F255" s="15" t="n"/>
      <c r="G255" s="15" t="n"/>
      <c r="H255" s="16" t="n"/>
      <c r="I255" s="16" t="n"/>
      <c r="J255" s="17" t="n"/>
      <c r="K255" s="17" t="n"/>
      <c r="L255" s="17" t="n"/>
      <c r="M255" s="16" t="n"/>
      <c r="N255" s="16" t="n"/>
      <c r="O255" s="18" t="n"/>
      <c r="P255" s="18" t="n"/>
      <c r="Q255" s="16" t="n"/>
    </row>
    <row r="256">
      <c r="E256" s="15" t="n"/>
      <c r="F256" s="15" t="n"/>
      <c r="G256" s="15" t="n"/>
      <c r="H256" s="16" t="n"/>
      <c r="I256" s="16" t="n"/>
      <c r="J256" s="17" t="n"/>
      <c r="K256" s="17" t="n"/>
      <c r="L256" s="17" t="n"/>
      <c r="M256" s="16" t="n"/>
      <c r="N256" s="16" t="n"/>
      <c r="O256" s="18" t="n"/>
      <c r="P256" s="18" t="n"/>
      <c r="Q256" s="16" t="n"/>
    </row>
    <row r="257">
      <c r="E257" s="15" t="n"/>
      <c r="F257" s="15" t="n"/>
      <c r="G257" s="15" t="n"/>
      <c r="H257" s="16" t="n"/>
      <c r="I257" s="16" t="n"/>
      <c r="J257" s="17" t="n"/>
      <c r="K257" s="17" t="n"/>
      <c r="L257" s="17" t="n"/>
      <c r="M257" s="16" t="n"/>
      <c r="N257" s="16" t="n"/>
      <c r="O257" s="18" t="n"/>
      <c r="P257" s="18" t="n"/>
      <c r="Q257" s="16" t="n"/>
    </row>
    <row r="258">
      <c r="E258" s="15" t="n"/>
      <c r="F258" s="15" t="n"/>
      <c r="G258" s="15" t="n"/>
      <c r="H258" s="16" t="n"/>
      <c r="I258" s="16" t="n"/>
      <c r="J258" s="17" t="n"/>
      <c r="K258" s="17" t="n"/>
      <c r="L258" s="17" t="n"/>
      <c r="M258" s="16" t="n"/>
      <c r="N258" s="16" t="n"/>
      <c r="O258" s="18" t="n"/>
      <c r="P258" s="18" t="n"/>
      <c r="Q258" s="16" t="n"/>
    </row>
    <row r="259">
      <c r="E259" s="15" t="n"/>
      <c r="F259" s="15" t="n"/>
      <c r="G259" s="15" t="n"/>
      <c r="H259" s="16" t="n"/>
      <c r="I259" s="16" t="n"/>
      <c r="J259" s="17" t="n"/>
      <c r="K259" s="17" t="n"/>
      <c r="L259" s="17" t="n"/>
      <c r="M259" s="16" t="n"/>
      <c r="N259" s="16" t="n"/>
      <c r="O259" s="18" t="n"/>
      <c r="P259" s="18" t="n"/>
      <c r="Q259" s="16" t="n"/>
    </row>
    <row r="260">
      <c r="E260" s="15" t="n"/>
      <c r="F260" s="15" t="n"/>
      <c r="G260" s="15" t="n"/>
      <c r="H260" s="16" t="n"/>
      <c r="I260" s="16" t="n"/>
      <c r="J260" s="17" t="n"/>
      <c r="K260" s="17" t="n"/>
      <c r="L260" s="17" t="n"/>
      <c r="M260" s="16" t="n"/>
      <c r="N260" s="16" t="n"/>
      <c r="O260" s="18" t="n"/>
      <c r="P260" s="18" t="n"/>
      <c r="Q260" s="16" t="n"/>
    </row>
    <row r="261">
      <c r="E261" s="15" t="n"/>
      <c r="F261" s="15" t="n"/>
      <c r="G261" s="15" t="n"/>
      <c r="H261" s="16" t="n"/>
      <c r="I261" s="16" t="n"/>
      <c r="J261" s="17" t="n"/>
      <c r="K261" s="17" t="n"/>
      <c r="L261" s="17" t="n"/>
      <c r="M261" s="16" t="n"/>
      <c r="N261" s="16" t="n"/>
      <c r="O261" s="18" t="n"/>
      <c r="P261" s="18" t="n"/>
      <c r="Q261" s="16" t="n"/>
    </row>
    <row r="262">
      <c r="E262" s="15" t="n"/>
      <c r="F262" s="15" t="n"/>
      <c r="G262" s="15" t="n"/>
      <c r="H262" s="16" t="n"/>
      <c r="I262" s="16" t="n"/>
      <c r="J262" s="17" t="n"/>
      <c r="K262" s="17" t="n"/>
      <c r="L262" s="17" t="n"/>
      <c r="M262" s="16" t="n"/>
      <c r="N262" s="16" t="n"/>
      <c r="O262" s="18" t="n"/>
      <c r="P262" s="18" t="n"/>
      <c r="Q262" s="16" t="n"/>
    </row>
    <row r="263">
      <c r="E263" s="15" t="n"/>
      <c r="F263" s="15" t="n"/>
      <c r="G263" s="15" t="n"/>
      <c r="H263" s="16" t="n"/>
      <c r="I263" s="16" t="n"/>
      <c r="J263" s="17" t="n"/>
      <c r="K263" s="17" t="n"/>
      <c r="L263" s="17" t="n"/>
      <c r="M263" s="16" t="n"/>
      <c r="N263" s="16" t="n"/>
      <c r="O263" s="18" t="n"/>
      <c r="P263" s="18" t="n"/>
      <c r="Q263" s="16" t="n"/>
    </row>
    <row r="264">
      <c r="E264" s="15" t="n"/>
      <c r="F264" s="15" t="n"/>
      <c r="G264" s="15" t="n"/>
      <c r="H264" s="16" t="n"/>
      <c r="I264" s="16" t="n"/>
      <c r="J264" s="17" t="n"/>
      <c r="K264" s="17" t="n"/>
      <c r="L264" s="17" t="n"/>
      <c r="M264" s="16" t="n"/>
      <c r="N264" s="16" t="n"/>
      <c r="O264" s="18" t="n"/>
      <c r="P264" s="18" t="n"/>
      <c r="Q264" s="16" t="n"/>
    </row>
    <row r="265">
      <c r="E265" s="15" t="n"/>
      <c r="F265" s="15" t="n"/>
      <c r="G265" s="15" t="n"/>
      <c r="H265" s="16" t="n"/>
      <c r="I265" s="16" t="n"/>
      <c r="J265" s="17" t="n"/>
      <c r="K265" s="17" t="n"/>
      <c r="L265" s="17" t="n"/>
      <c r="M265" s="16" t="n"/>
      <c r="N265" s="16" t="n"/>
      <c r="O265" s="18" t="n"/>
      <c r="P265" s="18" t="n"/>
      <c r="Q265" s="16" t="n"/>
    </row>
    <row r="266">
      <c r="E266" s="15" t="n"/>
      <c r="F266" s="15" t="n"/>
      <c r="G266" s="15" t="n"/>
      <c r="H266" s="16" t="n"/>
      <c r="I266" s="16" t="n"/>
      <c r="J266" s="17" t="n"/>
      <c r="K266" s="17" t="n"/>
      <c r="L266" s="17" t="n"/>
      <c r="M266" s="16" t="n"/>
      <c r="N266" s="16" t="n"/>
      <c r="O266" s="18" t="n"/>
      <c r="P266" s="18" t="n"/>
      <c r="Q266" s="16" t="n"/>
    </row>
    <row r="267">
      <c r="E267" s="15" t="n"/>
      <c r="F267" s="15" t="n"/>
      <c r="G267" s="15" t="n"/>
      <c r="H267" s="16" t="n"/>
      <c r="I267" s="16" t="n"/>
      <c r="J267" s="17" t="n"/>
      <c r="K267" s="17" t="n"/>
      <c r="L267" s="17" t="n"/>
      <c r="M267" s="16" t="n"/>
      <c r="N267" s="16" t="n"/>
      <c r="O267" s="18" t="n"/>
      <c r="P267" s="18" t="n"/>
      <c r="Q267" s="16" t="n"/>
    </row>
    <row r="268">
      <c r="E268" s="15" t="n"/>
      <c r="F268" s="15" t="n"/>
      <c r="G268" s="15" t="n"/>
      <c r="H268" s="16" t="n"/>
      <c r="I268" s="16" t="n"/>
      <c r="J268" s="17" t="n"/>
      <c r="K268" s="17" t="n"/>
      <c r="L268" s="17" t="n"/>
      <c r="M268" s="16" t="n"/>
      <c r="N268" s="16" t="n"/>
      <c r="O268" s="18" t="n"/>
      <c r="P268" s="18" t="n"/>
      <c r="Q268" s="16" t="n"/>
    </row>
    <row r="269">
      <c r="E269" s="15" t="n"/>
      <c r="F269" s="15" t="n"/>
      <c r="G269" s="15" t="n"/>
      <c r="H269" s="16" t="n"/>
      <c r="I269" s="16" t="n"/>
      <c r="J269" s="17" t="n"/>
      <c r="K269" s="17" t="n"/>
      <c r="L269" s="17" t="n"/>
      <c r="M269" s="16" t="n"/>
      <c r="N269" s="16" t="n"/>
      <c r="O269" s="18" t="n"/>
      <c r="P269" s="18" t="n"/>
      <c r="Q269" s="16" t="n"/>
    </row>
    <row r="270">
      <c r="E270" s="15" t="n"/>
      <c r="F270" s="15" t="n"/>
      <c r="G270" s="15" t="n"/>
      <c r="H270" s="16" t="n"/>
      <c r="I270" s="16" t="n"/>
      <c r="J270" s="17" t="n"/>
      <c r="K270" s="17" t="n"/>
      <c r="L270" s="17" t="n"/>
      <c r="M270" s="16" t="n"/>
      <c r="N270" s="16" t="n"/>
      <c r="O270" s="18" t="n"/>
      <c r="P270" s="18" t="n"/>
      <c r="Q270" s="16" t="n"/>
    </row>
    <row r="271">
      <c r="E271" s="15" t="n"/>
      <c r="F271" s="15" t="n"/>
      <c r="G271" s="15" t="n"/>
      <c r="H271" s="16" t="n"/>
      <c r="I271" s="16" t="n"/>
      <c r="J271" s="17" t="n"/>
      <c r="K271" s="17" t="n"/>
      <c r="L271" s="17" t="n"/>
      <c r="M271" s="16" t="n"/>
      <c r="N271" s="16" t="n"/>
      <c r="O271" s="18" t="n"/>
      <c r="P271" s="18" t="n"/>
      <c r="Q271" s="16" t="n"/>
    </row>
    <row r="272">
      <c r="E272" s="15" t="n"/>
      <c r="F272" s="15" t="n"/>
      <c r="G272" s="15" t="n"/>
      <c r="H272" s="16" t="n"/>
      <c r="I272" s="16" t="n"/>
      <c r="J272" s="17" t="n"/>
      <c r="K272" s="17" t="n"/>
      <c r="L272" s="17" t="n"/>
      <c r="M272" s="16" t="n"/>
      <c r="N272" s="16" t="n"/>
      <c r="O272" s="18" t="n"/>
      <c r="P272" s="18" t="n"/>
      <c r="Q272" s="16" t="n"/>
    </row>
    <row r="273">
      <c r="E273" s="15" t="n"/>
      <c r="F273" s="15" t="n"/>
      <c r="G273" s="15" t="n"/>
      <c r="H273" s="16" t="n"/>
      <c r="I273" s="16" t="n"/>
      <c r="J273" s="17" t="n"/>
      <c r="K273" s="17" t="n"/>
      <c r="L273" s="17" t="n"/>
      <c r="M273" s="16" t="n"/>
      <c r="N273" s="16" t="n"/>
      <c r="O273" s="18" t="n"/>
      <c r="P273" s="18" t="n"/>
      <c r="Q273" s="16" t="n"/>
    </row>
    <row r="274">
      <c r="E274" s="15" t="n"/>
      <c r="F274" s="15" t="n"/>
      <c r="G274" s="15" t="n"/>
      <c r="H274" s="16" t="n"/>
      <c r="I274" s="16" t="n"/>
      <c r="J274" s="17" t="n"/>
      <c r="K274" s="17" t="n"/>
      <c r="L274" s="17" t="n"/>
      <c r="M274" s="16" t="n"/>
      <c r="N274" s="16" t="n"/>
      <c r="O274" s="18" t="n"/>
      <c r="P274" s="18" t="n"/>
      <c r="Q274" s="16" t="n"/>
    </row>
    <row r="275">
      <c r="E275" s="15" t="n"/>
      <c r="F275" s="15" t="n"/>
      <c r="G275" s="15" t="n"/>
      <c r="H275" s="16" t="n"/>
      <c r="I275" s="16" t="n"/>
      <c r="J275" s="17" t="n"/>
      <c r="K275" s="17" t="n"/>
      <c r="L275" s="17" t="n"/>
      <c r="M275" s="16" t="n"/>
      <c r="N275" s="16" t="n"/>
      <c r="O275" s="18" t="n"/>
      <c r="P275" s="18" t="n"/>
      <c r="Q275" s="16" t="n"/>
    </row>
    <row r="276">
      <c r="E276" s="15" t="n"/>
      <c r="F276" s="15" t="n"/>
      <c r="G276" s="15" t="n"/>
      <c r="H276" s="16" t="n"/>
      <c r="I276" s="16" t="n"/>
      <c r="J276" s="17" t="n"/>
      <c r="K276" s="17" t="n"/>
      <c r="L276" s="17" t="n"/>
      <c r="M276" s="16" t="n"/>
      <c r="N276" s="16" t="n"/>
      <c r="O276" s="18" t="n"/>
      <c r="P276" s="18" t="n"/>
      <c r="Q276" s="16" t="n"/>
    </row>
    <row r="277">
      <c r="E277" s="15" t="n"/>
      <c r="F277" s="15" t="n"/>
      <c r="G277" s="15" t="n"/>
      <c r="H277" s="16" t="n"/>
      <c r="I277" s="16" t="n"/>
      <c r="J277" s="17" t="n"/>
      <c r="K277" s="17" t="n"/>
      <c r="L277" s="17" t="n"/>
      <c r="M277" s="16" t="n"/>
      <c r="N277" s="16" t="n"/>
      <c r="O277" s="18" t="n"/>
      <c r="P277" s="18" t="n"/>
      <c r="Q277" s="16" t="n"/>
    </row>
    <row r="278">
      <c r="E278" s="15" t="n"/>
      <c r="F278" s="15" t="n"/>
      <c r="G278" s="15" t="n"/>
      <c r="H278" s="16" t="n"/>
      <c r="I278" s="16" t="n"/>
      <c r="J278" s="17" t="n"/>
      <c r="K278" s="17" t="n"/>
      <c r="L278" s="17" t="n"/>
      <c r="M278" s="16" t="n"/>
      <c r="N278" s="16" t="n"/>
      <c r="O278" s="18" t="n"/>
      <c r="P278" s="18" t="n"/>
      <c r="Q278" s="16" t="n"/>
    </row>
    <row r="279">
      <c r="E279" s="15" t="n"/>
      <c r="F279" s="15" t="n"/>
      <c r="G279" s="15" t="n"/>
      <c r="H279" s="16" t="n"/>
      <c r="I279" s="16" t="n"/>
      <c r="J279" s="17" t="n"/>
      <c r="K279" s="17" t="n"/>
      <c r="L279" s="17" t="n"/>
      <c r="M279" s="16" t="n"/>
      <c r="N279" s="16" t="n"/>
      <c r="O279" s="18" t="n"/>
      <c r="P279" s="18" t="n"/>
      <c r="Q279" s="16" t="n"/>
    </row>
    <row r="280">
      <c r="E280" s="15" t="n"/>
      <c r="F280" s="15" t="n"/>
      <c r="G280" s="15" t="n"/>
      <c r="H280" s="16" t="n"/>
      <c r="I280" s="16" t="n"/>
      <c r="J280" s="17" t="n"/>
      <c r="K280" s="17" t="n"/>
      <c r="L280" s="17" t="n"/>
      <c r="M280" s="16" t="n"/>
      <c r="N280" s="16" t="n"/>
      <c r="O280" s="18" t="n"/>
      <c r="P280" s="18" t="n"/>
      <c r="Q280" s="16" t="n"/>
    </row>
    <row r="281">
      <c r="E281" s="15" t="n"/>
      <c r="F281" s="15" t="n"/>
      <c r="G281" s="15" t="n"/>
      <c r="H281" s="16" t="n"/>
      <c r="I281" s="16" t="n"/>
      <c r="J281" s="17" t="n"/>
      <c r="K281" s="17" t="n"/>
      <c r="L281" s="17" t="n"/>
      <c r="M281" s="16" t="n"/>
      <c r="N281" s="16" t="n"/>
      <c r="O281" s="18" t="n"/>
      <c r="P281" s="18" t="n"/>
      <c r="Q281" s="16" t="n"/>
    </row>
    <row r="282">
      <c r="E282" s="15" t="n"/>
      <c r="F282" s="15" t="n"/>
      <c r="G282" s="15" t="n"/>
      <c r="H282" s="16" t="n"/>
      <c r="I282" s="16" t="n"/>
      <c r="J282" s="17" t="n"/>
      <c r="K282" s="17" t="n"/>
      <c r="L282" s="17" t="n"/>
      <c r="M282" s="16" t="n"/>
      <c r="N282" s="16" t="n"/>
      <c r="O282" s="18" t="n"/>
      <c r="P282" s="18" t="n"/>
      <c r="Q282" s="16" t="n"/>
    </row>
    <row r="283">
      <c r="E283" s="15" t="n"/>
      <c r="F283" s="15" t="n"/>
      <c r="G283" s="15" t="n"/>
      <c r="H283" s="16" t="n"/>
      <c r="I283" s="16" t="n"/>
      <c r="J283" s="17" t="n"/>
      <c r="K283" s="17" t="n"/>
      <c r="L283" s="17" t="n"/>
      <c r="M283" s="16" t="n"/>
      <c r="N283" s="16" t="n"/>
      <c r="O283" s="18" t="n"/>
      <c r="P283" s="18" t="n"/>
      <c r="Q283" s="16" t="n"/>
    </row>
    <row r="284">
      <c r="E284" s="15" t="n"/>
      <c r="F284" s="15" t="n"/>
      <c r="G284" s="15" t="n"/>
      <c r="H284" s="16" t="n"/>
      <c r="I284" s="16" t="n"/>
      <c r="J284" s="17" t="n"/>
      <c r="K284" s="17" t="n"/>
      <c r="L284" s="17" t="n"/>
      <c r="M284" s="16" t="n"/>
      <c r="N284" s="16" t="n"/>
      <c r="O284" s="18" t="n"/>
      <c r="P284" s="18" t="n"/>
      <c r="Q284" s="16" t="n"/>
    </row>
    <row r="285">
      <c r="E285" s="15" t="n"/>
      <c r="F285" s="15" t="n"/>
      <c r="G285" s="15" t="n"/>
      <c r="H285" s="16" t="n"/>
      <c r="I285" s="16" t="n"/>
      <c r="J285" s="17" t="n"/>
      <c r="K285" s="17" t="n"/>
      <c r="L285" s="17" t="n"/>
      <c r="M285" s="16" t="n"/>
      <c r="N285" s="16" t="n"/>
      <c r="O285" s="18" t="n"/>
      <c r="P285" s="18" t="n"/>
      <c r="Q285" s="16" t="n"/>
    </row>
    <row r="286">
      <c r="E286" s="15" t="n"/>
      <c r="F286" s="15" t="n"/>
      <c r="G286" s="15" t="n"/>
      <c r="H286" s="16" t="n"/>
      <c r="I286" s="16" t="n"/>
      <c r="J286" s="17" t="n"/>
      <c r="K286" s="17" t="n"/>
      <c r="L286" s="17" t="n"/>
      <c r="M286" s="16" t="n"/>
      <c r="N286" s="16" t="n"/>
      <c r="O286" s="18" t="n"/>
      <c r="P286" s="18" t="n"/>
      <c r="Q286" s="16" t="n"/>
    </row>
    <row r="287">
      <c r="E287" s="15" t="n"/>
      <c r="F287" s="15" t="n"/>
      <c r="G287" s="15" t="n"/>
      <c r="H287" s="16" t="n"/>
      <c r="I287" s="16" t="n"/>
      <c r="J287" s="17" t="n"/>
      <c r="K287" s="17" t="n"/>
      <c r="L287" s="17" t="n"/>
      <c r="M287" s="16" t="n"/>
      <c r="N287" s="16" t="n"/>
      <c r="O287" s="18" t="n"/>
      <c r="P287" s="18" t="n"/>
      <c r="Q287" s="16" t="n"/>
    </row>
    <row r="288">
      <c r="E288" s="15" t="n"/>
      <c r="F288" s="15" t="n"/>
      <c r="G288" s="15" t="n"/>
      <c r="H288" s="16" t="n"/>
      <c r="I288" s="16" t="n"/>
      <c r="J288" s="17" t="n"/>
      <c r="K288" s="17" t="n"/>
      <c r="L288" s="17" t="n"/>
      <c r="M288" s="16" t="n"/>
      <c r="N288" s="16" t="n"/>
      <c r="O288" s="18" t="n"/>
      <c r="P288" s="18" t="n"/>
      <c r="Q288" s="16" t="n"/>
    </row>
    <row r="289">
      <c r="E289" s="15" t="n"/>
      <c r="F289" s="15" t="n"/>
      <c r="G289" s="15" t="n"/>
      <c r="H289" s="16" t="n"/>
      <c r="I289" s="16" t="n"/>
      <c r="J289" s="17" t="n"/>
      <c r="K289" s="17" t="n"/>
      <c r="L289" s="17" t="n"/>
      <c r="M289" s="16" t="n"/>
      <c r="N289" s="16" t="n"/>
      <c r="O289" s="18" t="n"/>
      <c r="P289" s="18" t="n"/>
      <c r="Q289" s="16" t="n"/>
    </row>
    <row r="290">
      <c r="E290" s="15" t="n"/>
      <c r="F290" s="15" t="n"/>
      <c r="G290" s="15" t="n"/>
      <c r="H290" s="16" t="n"/>
      <c r="I290" s="16" t="n"/>
      <c r="J290" s="17" t="n"/>
      <c r="K290" s="17" t="n"/>
      <c r="L290" s="17" t="n"/>
      <c r="M290" s="16" t="n"/>
      <c r="N290" s="16" t="n"/>
      <c r="O290" s="18" t="n"/>
      <c r="P290" s="18" t="n"/>
      <c r="Q290" s="16" t="n"/>
    </row>
    <row r="291">
      <c r="E291" s="15" t="n"/>
      <c r="F291" s="15" t="n"/>
      <c r="G291" s="15" t="n"/>
      <c r="H291" s="16" t="n"/>
      <c r="I291" s="16" t="n"/>
      <c r="J291" s="17" t="n"/>
      <c r="K291" s="17" t="n"/>
      <c r="L291" s="17" t="n"/>
      <c r="M291" s="16" t="n"/>
      <c r="N291" s="16" t="n"/>
      <c r="O291" s="18" t="n"/>
      <c r="P291" s="18" t="n"/>
      <c r="Q291" s="16" t="n"/>
    </row>
    <row r="292">
      <c r="E292" s="15" t="n"/>
      <c r="F292" s="15" t="n"/>
      <c r="G292" s="15" t="n"/>
      <c r="H292" s="16" t="n"/>
      <c r="I292" s="16" t="n"/>
      <c r="J292" s="17" t="n"/>
      <c r="K292" s="17" t="n"/>
      <c r="L292" s="17" t="n"/>
      <c r="M292" s="16" t="n"/>
      <c r="N292" s="16" t="n"/>
      <c r="O292" s="18" t="n"/>
      <c r="P292" s="18" t="n"/>
      <c r="Q292" s="16" t="n"/>
    </row>
    <row r="293">
      <c r="E293" s="15" t="n"/>
      <c r="F293" s="15" t="n"/>
      <c r="G293" s="15" t="n"/>
      <c r="H293" s="16" t="n"/>
      <c r="I293" s="16" t="n"/>
      <c r="J293" s="17" t="n"/>
      <c r="K293" s="17" t="n"/>
      <c r="L293" s="17" t="n"/>
      <c r="M293" s="16" t="n"/>
      <c r="N293" s="16" t="n"/>
      <c r="O293" s="18" t="n"/>
      <c r="P293" s="18" t="n"/>
      <c r="Q293" s="16" t="n"/>
    </row>
    <row r="294">
      <c r="E294" s="15" t="n"/>
      <c r="F294" s="15" t="n"/>
      <c r="G294" s="15" t="n"/>
      <c r="H294" s="16" t="n"/>
      <c r="I294" s="16" t="n"/>
      <c r="J294" s="17" t="n"/>
      <c r="K294" s="17" t="n"/>
      <c r="L294" s="17" t="n"/>
      <c r="M294" s="16" t="n"/>
      <c r="N294" s="16" t="n"/>
      <c r="O294" s="18" t="n"/>
      <c r="P294" s="18" t="n"/>
      <c r="Q294" s="16" t="n"/>
    </row>
    <row r="295">
      <c r="E295" s="15" t="n"/>
      <c r="F295" s="15" t="n"/>
      <c r="G295" s="15" t="n"/>
      <c r="H295" s="16" t="n"/>
      <c r="I295" s="16" t="n"/>
      <c r="J295" s="17" t="n"/>
      <c r="K295" s="17" t="n"/>
      <c r="L295" s="17" t="n"/>
      <c r="M295" s="16" t="n"/>
      <c r="N295" s="16" t="n"/>
      <c r="O295" s="18" t="n"/>
      <c r="P295" s="18" t="n"/>
      <c r="Q295" s="16" t="n"/>
    </row>
    <row r="296">
      <c r="E296" s="15" t="n"/>
      <c r="F296" s="15" t="n"/>
      <c r="G296" s="15" t="n"/>
      <c r="H296" s="16" t="n"/>
      <c r="I296" s="16" t="n"/>
      <c r="J296" s="17" t="n"/>
      <c r="K296" s="17" t="n"/>
      <c r="L296" s="17" t="n"/>
      <c r="M296" s="16" t="n"/>
      <c r="N296" s="16" t="n"/>
      <c r="O296" s="18" t="n"/>
      <c r="P296" s="18" t="n"/>
      <c r="Q296" s="16" t="n"/>
    </row>
    <row r="297">
      <c r="E297" s="15" t="n"/>
      <c r="F297" s="15" t="n"/>
      <c r="G297" s="15" t="n"/>
      <c r="H297" s="16" t="n"/>
      <c r="I297" s="16" t="n"/>
      <c r="J297" s="17" t="n"/>
      <c r="K297" s="17" t="n"/>
      <c r="L297" s="17" t="n"/>
      <c r="M297" s="16" t="n"/>
      <c r="N297" s="16" t="n"/>
      <c r="O297" s="18" t="n"/>
      <c r="P297" s="18" t="n"/>
      <c r="Q297" s="16" t="n"/>
    </row>
    <row r="298">
      <c r="E298" s="15" t="n"/>
      <c r="F298" s="15" t="n"/>
      <c r="G298" s="15" t="n"/>
      <c r="H298" s="16" t="n"/>
      <c r="I298" s="16" t="n"/>
      <c r="J298" s="17" t="n"/>
      <c r="K298" s="17" t="n"/>
      <c r="L298" s="17" t="n"/>
      <c r="M298" s="16" t="n"/>
      <c r="N298" s="16" t="n"/>
      <c r="O298" s="18" t="n"/>
      <c r="P298" s="18" t="n"/>
      <c r="Q298" s="16" t="n"/>
    </row>
    <row r="299">
      <c r="E299" s="15" t="n"/>
      <c r="F299" s="15" t="n"/>
      <c r="G299" s="15" t="n"/>
      <c r="H299" s="16" t="n"/>
      <c r="I299" s="16" t="n"/>
      <c r="J299" s="17" t="n"/>
      <c r="K299" s="17" t="n"/>
      <c r="L299" s="17" t="n"/>
      <c r="M299" s="16" t="n"/>
      <c r="N299" s="16" t="n"/>
      <c r="O299" s="18" t="n"/>
      <c r="P299" s="18" t="n"/>
      <c r="Q299" s="16" t="n"/>
    </row>
    <row r="300">
      <c r="E300" s="15" t="n"/>
      <c r="F300" s="15" t="n"/>
      <c r="G300" s="15" t="n"/>
      <c r="H300" s="16" t="n"/>
      <c r="I300" s="16" t="n"/>
      <c r="J300" s="17" t="n"/>
      <c r="K300" s="17" t="n"/>
      <c r="L300" s="17" t="n"/>
      <c r="M300" s="16" t="n"/>
      <c r="N300" s="16" t="n"/>
      <c r="O300" s="18" t="n"/>
      <c r="P300" s="18" t="n"/>
      <c r="Q300" s="16" t="n"/>
    </row>
    <row r="301">
      <c r="E301" s="15" t="n"/>
      <c r="F301" s="15" t="n"/>
      <c r="G301" s="15" t="n"/>
      <c r="H301" s="16" t="n"/>
      <c r="I301" s="16" t="n"/>
      <c r="J301" s="17" t="n"/>
      <c r="K301" s="17" t="n"/>
      <c r="L301" s="17" t="n"/>
      <c r="M301" s="16" t="n"/>
      <c r="N301" s="16" t="n"/>
      <c r="O301" s="18" t="n"/>
      <c r="P301" s="18" t="n"/>
      <c r="Q301" s="16" t="n"/>
    </row>
    <row r="302">
      <c r="E302" s="15" t="n"/>
      <c r="F302" s="15" t="n"/>
      <c r="G302" s="15" t="n"/>
      <c r="H302" s="16" t="n"/>
      <c r="I302" s="16" t="n"/>
      <c r="J302" s="17" t="n"/>
      <c r="K302" s="17" t="n"/>
      <c r="L302" s="17" t="n"/>
      <c r="M302" s="16" t="n"/>
      <c r="N302" s="16" t="n"/>
      <c r="O302" s="18" t="n"/>
      <c r="P302" s="18" t="n"/>
      <c r="Q302" s="16" t="n"/>
    </row>
    <row r="303">
      <c r="E303" s="15" t="n"/>
      <c r="F303" s="15" t="n"/>
      <c r="G303" s="15" t="n"/>
      <c r="H303" s="16" t="n"/>
      <c r="I303" s="16" t="n"/>
      <c r="J303" s="17" t="n"/>
      <c r="K303" s="17" t="n"/>
      <c r="L303" s="17" t="n"/>
      <c r="M303" s="16" t="n"/>
      <c r="N303" s="16" t="n"/>
      <c r="O303" s="18" t="n"/>
      <c r="P303" s="18" t="n"/>
      <c r="Q303" s="16" t="n"/>
    </row>
    <row r="304">
      <c r="E304" s="15" t="n"/>
      <c r="F304" s="15" t="n"/>
      <c r="G304" s="15" t="n"/>
      <c r="H304" s="16" t="n"/>
      <c r="I304" s="16" t="n"/>
      <c r="J304" s="17" t="n"/>
      <c r="K304" s="17" t="n"/>
      <c r="L304" s="17" t="n"/>
      <c r="M304" s="16" t="n"/>
      <c r="N304" s="16" t="n"/>
      <c r="O304" s="18" t="n"/>
      <c r="P304" s="18" t="n"/>
      <c r="Q304" s="16" t="n"/>
    </row>
    <row r="305">
      <c r="E305" s="15" t="n"/>
      <c r="F305" s="15" t="n"/>
      <c r="G305" s="15" t="n"/>
      <c r="H305" s="16" t="n"/>
      <c r="I305" s="16" t="n"/>
      <c r="J305" s="17" t="n"/>
      <c r="K305" s="17" t="n"/>
      <c r="L305" s="17" t="n"/>
      <c r="M305" s="16" t="n"/>
      <c r="N305" s="16" t="n"/>
      <c r="O305" s="18" t="n"/>
      <c r="P305" s="18" t="n"/>
      <c r="Q305" s="16" t="n"/>
    </row>
    <row r="306">
      <c r="E306" s="15" t="n"/>
      <c r="F306" s="15" t="n"/>
      <c r="G306" s="15" t="n"/>
      <c r="H306" s="16" t="n"/>
      <c r="I306" s="16" t="n"/>
      <c r="J306" s="17" t="n"/>
      <c r="K306" s="17" t="n"/>
      <c r="L306" s="17" t="n"/>
      <c r="M306" s="16" t="n"/>
      <c r="N306" s="16" t="n"/>
      <c r="O306" s="18" t="n"/>
      <c r="P306" s="18" t="n"/>
      <c r="Q306" s="16" t="n"/>
    </row>
    <row r="307">
      <c r="E307" s="15" t="n"/>
      <c r="F307" s="15" t="n"/>
      <c r="G307" s="15" t="n"/>
      <c r="H307" s="16" t="n"/>
      <c r="I307" s="16" t="n"/>
      <c r="J307" s="17" t="n"/>
      <c r="K307" s="17" t="n"/>
      <c r="L307" s="17" t="n"/>
      <c r="M307" s="16" t="n"/>
      <c r="N307" s="16" t="n"/>
      <c r="O307" s="18" t="n"/>
      <c r="P307" s="18" t="n"/>
      <c r="Q307" s="16" t="n"/>
    </row>
    <row r="308">
      <c r="E308" s="15" t="n"/>
      <c r="F308" s="15" t="n"/>
      <c r="G308" s="15" t="n"/>
      <c r="H308" s="16" t="n"/>
      <c r="I308" s="16" t="n"/>
      <c r="J308" s="17" t="n"/>
      <c r="K308" s="17" t="n"/>
      <c r="L308" s="17" t="n"/>
      <c r="M308" s="16" t="n"/>
      <c r="N308" s="16" t="n"/>
      <c r="O308" s="18" t="n"/>
      <c r="P308" s="18" t="n"/>
      <c r="Q308" s="16" t="n"/>
    </row>
    <row r="309">
      <c r="E309" s="15" t="n"/>
      <c r="F309" s="15" t="n"/>
      <c r="G309" s="15" t="n"/>
      <c r="H309" s="16" t="n"/>
      <c r="I309" s="16" t="n"/>
      <c r="J309" s="17" t="n"/>
      <c r="K309" s="17" t="n"/>
      <c r="L309" s="17" t="n"/>
      <c r="M309" s="16" t="n"/>
      <c r="N309" s="16" t="n"/>
      <c r="O309" s="18" t="n"/>
      <c r="P309" s="18" t="n"/>
      <c r="Q309" s="16" t="n"/>
    </row>
    <row r="310">
      <c r="E310" s="15" t="n"/>
      <c r="F310" s="15" t="n"/>
      <c r="G310" s="15" t="n"/>
      <c r="H310" s="16" t="n"/>
      <c r="I310" s="16" t="n"/>
      <c r="J310" s="17" t="n"/>
      <c r="K310" s="17" t="n"/>
      <c r="L310" s="17" t="n"/>
      <c r="M310" s="16" t="n"/>
      <c r="N310" s="16" t="n"/>
      <c r="O310" s="18" t="n"/>
      <c r="P310" s="18" t="n"/>
      <c r="Q310" s="16" t="n"/>
    </row>
    <row r="311">
      <c r="E311" s="15" t="n"/>
      <c r="F311" s="15" t="n"/>
      <c r="G311" s="15" t="n"/>
      <c r="H311" s="16" t="n"/>
      <c r="I311" s="16" t="n"/>
      <c r="J311" s="17" t="n"/>
      <c r="K311" s="17" t="n"/>
      <c r="L311" s="17" t="n"/>
      <c r="M311" s="16" t="n"/>
      <c r="N311" s="16" t="n"/>
      <c r="O311" s="18" t="n"/>
      <c r="P311" s="18" t="n"/>
      <c r="Q311" s="16" t="n"/>
    </row>
    <row r="312">
      <c r="E312" s="15" t="n"/>
      <c r="F312" s="15" t="n"/>
      <c r="G312" s="15" t="n"/>
      <c r="H312" s="16" t="n"/>
      <c r="I312" s="16" t="n"/>
      <c r="J312" s="17" t="n"/>
      <c r="K312" s="17" t="n"/>
      <c r="L312" s="17" t="n"/>
      <c r="M312" s="16" t="n"/>
      <c r="N312" s="16" t="n"/>
      <c r="O312" s="18" t="n"/>
      <c r="P312" s="18" t="n"/>
      <c r="Q312" s="16" t="n"/>
    </row>
    <row r="313">
      <c r="E313" s="15" t="n"/>
      <c r="F313" s="15" t="n"/>
      <c r="G313" s="15" t="n"/>
      <c r="H313" s="16" t="n"/>
      <c r="I313" s="16" t="n"/>
      <c r="J313" s="17" t="n"/>
      <c r="K313" s="17" t="n"/>
      <c r="L313" s="17" t="n"/>
      <c r="M313" s="16" t="n"/>
      <c r="N313" s="16" t="n"/>
      <c r="O313" s="18" t="n"/>
      <c r="P313" s="18" t="n"/>
      <c r="Q313" s="16" t="n"/>
    </row>
    <row r="314">
      <c r="E314" s="15" t="n"/>
      <c r="F314" s="15" t="n"/>
      <c r="G314" s="15" t="n"/>
      <c r="H314" s="16" t="n"/>
      <c r="I314" s="16" t="n"/>
      <c r="J314" s="17" t="n"/>
      <c r="K314" s="17" t="n"/>
      <c r="L314" s="17" t="n"/>
      <c r="M314" s="16" t="n"/>
      <c r="N314" s="16" t="n"/>
      <c r="O314" s="18" t="n"/>
      <c r="P314" s="18" t="n"/>
      <c r="Q314" s="16" t="n"/>
    </row>
    <row r="315">
      <c r="E315" s="15" t="n"/>
      <c r="F315" s="15" t="n"/>
      <c r="G315" s="15" t="n"/>
      <c r="H315" s="16" t="n"/>
      <c r="I315" s="16" t="n"/>
      <c r="J315" s="17" t="n"/>
      <c r="K315" s="17" t="n"/>
      <c r="L315" s="17" t="n"/>
      <c r="M315" s="16" t="n"/>
      <c r="N315" s="16" t="n"/>
      <c r="O315" s="18" t="n"/>
      <c r="P315" s="18" t="n"/>
      <c r="Q315" s="16" t="n"/>
    </row>
    <row r="316">
      <c r="E316" s="15" t="n"/>
      <c r="F316" s="15" t="n"/>
      <c r="G316" s="15" t="n"/>
      <c r="H316" s="16" t="n"/>
      <c r="I316" s="16" t="n"/>
      <c r="J316" s="17" t="n"/>
      <c r="K316" s="17" t="n"/>
      <c r="L316" s="17" t="n"/>
      <c r="M316" s="16" t="n"/>
      <c r="N316" s="16" t="n"/>
      <c r="O316" s="18" t="n"/>
      <c r="P316" s="18" t="n"/>
      <c r="Q316" s="16" t="n"/>
    </row>
    <row r="317">
      <c r="E317" s="15" t="n"/>
      <c r="F317" s="15" t="n"/>
      <c r="G317" s="15" t="n"/>
      <c r="H317" s="16" t="n"/>
      <c r="I317" s="16" t="n"/>
      <c r="J317" s="17" t="n"/>
      <c r="K317" s="17" t="n"/>
      <c r="L317" s="17" t="n"/>
      <c r="M317" s="16" t="n"/>
      <c r="N317" s="16" t="n"/>
      <c r="O317" s="18" t="n"/>
      <c r="P317" s="18" t="n"/>
      <c r="Q317" s="16" t="n"/>
    </row>
    <row r="318">
      <c r="E318" s="15" t="n"/>
      <c r="F318" s="15" t="n"/>
      <c r="G318" s="15" t="n"/>
      <c r="H318" s="16" t="n"/>
      <c r="I318" s="16" t="n"/>
      <c r="J318" s="17" t="n"/>
      <c r="K318" s="17" t="n"/>
      <c r="L318" s="17" t="n"/>
      <c r="M318" s="16" t="n"/>
      <c r="N318" s="16" t="n"/>
      <c r="O318" s="18" t="n"/>
      <c r="P318" s="18" t="n"/>
      <c r="Q318" s="16" t="n"/>
    </row>
    <row r="319">
      <c r="E319" s="15" t="n"/>
      <c r="F319" s="15" t="n"/>
      <c r="G319" s="15" t="n"/>
      <c r="H319" s="16" t="n"/>
      <c r="I319" s="16" t="n"/>
      <c r="J319" s="17" t="n"/>
      <c r="K319" s="17" t="n"/>
      <c r="L319" s="17" t="n"/>
      <c r="M319" s="16" t="n"/>
      <c r="N319" s="16" t="n"/>
      <c r="O319" s="18" t="n"/>
      <c r="P319" s="18" t="n"/>
      <c r="Q319" s="16" t="n"/>
    </row>
    <row r="320">
      <c r="E320" s="15" t="n"/>
      <c r="F320" s="15" t="n"/>
      <c r="G320" s="15" t="n"/>
      <c r="H320" s="16" t="n"/>
      <c r="I320" s="16" t="n"/>
      <c r="J320" s="17" t="n"/>
      <c r="K320" s="17" t="n"/>
      <c r="L320" s="17" t="n"/>
      <c r="M320" s="16" t="n"/>
      <c r="N320" s="16" t="n"/>
      <c r="O320" s="18" t="n"/>
      <c r="P320" s="18" t="n"/>
      <c r="Q320" s="16" t="n"/>
    </row>
    <row r="321">
      <c r="E321" s="15" t="n"/>
      <c r="F321" s="15" t="n"/>
      <c r="G321" s="15" t="n"/>
      <c r="H321" s="16" t="n"/>
      <c r="I321" s="16" t="n"/>
      <c r="J321" s="17" t="n"/>
      <c r="K321" s="17" t="n"/>
      <c r="L321" s="17" t="n"/>
      <c r="M321" s="16" t="n"/>
      <c r="N321" s="16" t="n"/>
      <c r="O321" s="18" t="n"/>
      <c r="P321" s="18" t="n"/>
      <c r="Q321" s="16" t="n"/>
    </row>
    <row r="322">
      <c r="E322" s="15" t="n"/>
      <c r="F322" s="15" t="n"/>
      <c r="G322" s="15" t="n"/>
      <c r="H322" s="16" t="n"/>
      <c r="I322" s="16" t="n"/>
      <c r="J322" s="17" t="n"/>
      <c r="K322" s="17" t="n"/>
      <c r="L322" s="17" t="n"/>
      <c r="M322" s="16" t="n"/>
      <c r="N322" s="16" t="n"/>
      <c r="O322" s="18" t="n"/>
      <c r="P322" s="18" t="n"/>
      <c r="Q322" s="16" t="n"/>
    </row>
    <row r="323">
      <c r="E323" s="15" t="n"/>
      <c r="F323" s="15" t="n"/>
      <c r="G323" s="15" t="n"/>
      <c r="H323" s="16" t="n"/>
      <c r="I323" s="16" t="n"/>
      <c r="J323" s="17" t="n"/>
      <c r="K323" s="17" t="n"/>
      <c r="L323" s="17" t="n"/>
      <c r="M323" s="16" t="n"/>
      <c r="N323" s="16" t="n"/>
      <c r="O323" s="18" t="n"/>
      <c r="P323" s="18" t="n"/>
      <c r="Q323" s="16" t="n"/>
    </row>
    <row r="324">
      <c r="E324" s="15" t="n"/>
      <c r="F324" s="15" t="n"/>
      <c r="G324" s="15" t="n"/>
      <c r="H324" s="16" t="n"/>
      <c r="I324" s="16" t="n"/>
      <c r="J324" s="17" t="n"/>
      <c r="K324" s="17" t="n"/>
      <c r="L324" s="17" t="n"/>
      <c r="M324" s="16" t="n"/>
      <c r="N324" s="16" t="n"/>
      <c r="O324" s="18" t="n"/>
      <c r="P324" s="18" t="n"/>
      <c r="Q324" s="16" t="n"/>
    </row>
    <row r="325">
      <c r="E325" s="15" t="n"/>
      <c r="F325" s="15" t="n"/>
      <c r="G325" s="15" t="n"/>
      <c r="H325" s="16" t="n"/>
      <c r="I325" s="16" t="n"/>
      <c r="J325" s="17" t="n"/>
      <c r="K325" s="17" t="n"/>
      <c r="L325" s="17" t="n"/>
      <c r="M325" s="16" t="n"/>
      <c r="N325" s="16" t="n"/>
      <c r="O325" s="18" t="n"/>
      <c r="P325" s="18" t="n"/>
      <c r="Q325" s="16" t="n"/>
    </row>
    <row r="326">
      <c r="E326" s="15" t="n"/>
      <c r="F326" s="15" t="n"/>
      <c r="G326" s="15" t="n"/>
      <c r="H326" s="16" t="n"/>
      <c r="I326" s="16" t="n"/>
      <c r="J326" s="17" t="n"/>
      <c r="K326" s="17" t="n"/>
      <c r="L326" s="17" t="n"/>
      <c r="M326" s="16" t="n"/>
      <c r="N326" s="16" t="n"/>
      <c r="O326" s="18" t="n"/>
      <c r="P326" s="18" t="n"/>
      <c r="Q326" s="16" t="n"/>
    </row>
    <row r="327">
      <c r="E327" s="15" t="n"/>
      <c r="F327" s="15" t="n"/>
      <c r="G327" s="15" t="n"/>
      <c r="H327" s="16" t="n"/>
      <c r="I327" s="16" t="n"/>
      <c r="J327" s="17" t="n"/>
      <c r="K327" s="17" t="n"/>
      <c r="L327" s="17" t="n"/>
      <c r="M327" s="16" t="n"/>
      <c r="N327" s="16" t="n"/>
      <c r="O327" s="18" t="n"/>
      <c r="P327" s="18" t="n"/>
      <c r="Q327" s="16" t="n"/>
    </row>
    <row r="328">
      <c r="E328" s="15" t="n"/>
      <c r="F328" s="15" t="n"/>
      <c r="G328" s="15" t="n"/>
      <c r="H328" s="16" t="n"/>
      <c r="I328" s="16" t="n"/>
      <c r="J328" s="17" t="n"/>
      <c r="K328" s="17" t="n"/>
      <c r="L328" s="17" t="n"/>
      <c r="M328" s="16" t="n"/>
      <c r="N328" s="16" t="n"/>
      <c r="O328" s="18" t="n"/>
      <c r="P328" s="18" t="n"/>
      <c r="Q328" s="16" t="n"/>
    </row>
    <row r="329">
      <c r="E329" s="15" t="n"/>
      <c r="F329" s="15" t="n"/>
      <c r="G329" s="15" t="n"/>
      <c r="H329" s="16" t="n"/>
      <c r="I329" s="16" t="n"/>
      <c r="J329" s="17" t="n"/>
      <c r="K329" s="17" t="n"/>
      <c r="L329" s="17" t="n"/>
      <c r="M329" s="16" t="n"/>
      <c r="N329" s="16" t="n"/>
      <c r="O329" s="18" t="n"/>
      <c r="P329" s="18" t="n"/>
      <c r="Q329" s="16" t="n"/>
    </row>
    <row r="330">
      <c r="E330" s="15" t="n"/>
      <c r="F330" s="15" t="n"/>
      <c r="G330" s="15" t="n"/>
      <c r="H330" s="16" t="n"/>
      <c r="I330" s="16" t="n"/>
      <c r="J330" s="17" t="n"/>
      <c r="K330" s="17" t="n"/>
      <c r="L330" s="17" t="n"/>
      <c r="M330" s="16" t="n"/>
      <c r="N330" s="16" t="n"/>
      <c r="O330" s="18" t="n"/>
      <c r="P330" s="18" t="n"/>
      <c r="Q330" s="16" t="n"/>
    </row>
    <row r="331">
      <c r="E331" s="15" t="n"/>
      <c r="F331" s="15" t="n"/>
      <c r="G331" s="15" t="n"/>
      <c r="H331" s="16" t="n"/>
      <c r="I331" s="16" t="n"/>
      <c r="J331" s="17" t="n"/>
      <c r="K331" s="17" t="n"/>
      <c r="L331" s="17" t="n"/>
      <c r="M331" s="16" t="n"/>
      <c r="N331" s="16" t="n"/>
      <c r="O331" s="18" t="n"/>
      <c r="P331" s="18" t="n"/>
      <c r="Q331" s="16" t="n"/>
    </row>
    <row r="332">
      <c r="E332" s="15" t="n"/>
      <c r="F332" s="15" t="n"/>
      <c r="G332" s="15" t="n"/>
      <c r="H332" s="16" t="n"/>
      <c r="I332" s="16" t="n"/>
      <c r="J332" s="17" t="n"/>
      <c r="K332" s="17" t="n"/>
      <c r="L332" s="17" t="n"/>
      <c r="M332" s="16" t="n"/>
      <c r="N332" s="16" t="n"/>
      <c r="O332" s="18" t="n"/>
      <c r="P332" s="18" t="n"/>
      <c r="Q332" s="16" t="n"/>
    </row>
    <row r="333">
      <c r="E333" s="15" t="n"/>
      <c r="F333" s="15" t="n"/>
      <c r="G333" s="15" t="n"/>
      <c r="H333" s="16" t="n"/>
      <c r="I333" s="16" t="n"/>
      <c r="J333" s="17" t="n"/>
      <c r="K333" s="17" t="n"/>
      <c r="L333" s="17" t="n"/>
      <c r="M333" s="16" t="n"/>
      <c r="N333" s="16" t="n"/>
      <c r="O333" s="18" t="n"/>
      <c r="P333" s="18" t="n"/>
      <c r="Q333" s="16" t="n"/>
    </row>
    <row r="334">
      <c r="E334" s="15" t="n"/>
      <c r="F334" s="15" t="n"/>
      <c r="G334" s="15" t="n"/>
      <c r="H334" s="16" t="n"/>
      <c r="I334" s="16" t="n"/>
      <c r="J334" s="17" t="n"/>
      <c r="K334" s="17" t="n"/>
      <c r="L334" s="17" t="n"/>
      <c r="M334" s="16" t="n"/>
      <c r="N334" s="16" t="n"/>
      <c r="O334" s="18" t="n"/>
      <c r="P334" s="18" t="n"/>
      <c r="Q334" s="16" t="n"/>
    </row>
    <row r="335">
      <c r="E335" s="15" t="n"/>
      <c r="F335" s="15" t="n"/>
      <c r="G335" s="15" t="n"/>
      <c r="H335" s="16" t="n"/>
      <c r="I335" s="16" t="n"/>
      <c r="J335" s="17" t="n"/>
      <c r="K335" s="17" t="n"/>
      <c r="L335" s="17" t="n"/>
      <c r="M335" s="16" t="n"/>
      <c r="N335" s="16" t="n"/>
      <c r="O335" s="18" t="n"/>
      <c r="P335" s="18" t="n"/>
      <c r="Q335" s="16" t="n"/>
    </row>
    <row r="336">
      <c r="E336" s="15" t="n"/>
      <c r="F336" s="15" t="n"/>
      <c r="G336" s="15" t="n"/>
      <c r="H336" s="16" t="n"/>
      <c r="I336" s="16" t="n"/>
      <c r="J336" s="17" t="n"/>
      <c r="K336" s="17" t="n"/>
      <c r="L336" s="17" t="n"/>
      <c r="M336" s="16" t="n"/>
      <c r="N336" s="16" t="n"/>
      <c r="O336" s="18" t="n"/>
      <c r="P336" s="18" t="n"/>
      <c r="Q336" s="16" t="n"/>
    </row>
    <row r="337">
      <c r="E337" s="15" t="n"/>
      <c r="F337" s="15" t="n"/>
      <c r="G337" s="15" t="n"/>
      <c r="H337" s="16" t="n"/>
      <c r="I337" s="16" t="n"/>
      <c r="J337" s="17" t="n"/>
      <c r="K337" s="17" t="n"/>
      <c r="L337" s="17" t="n"/>
      <c r="M337" s="16" t="n"/>
      <c r="N337" s="16" t="n"/>
      <c r="O337" s="18" t="n"/>
      <c r="P337" s="18" t="n"/>
      <c r="Q337" s="16" t="n"/>
    </row>
    <row r="338">
      <c r="E338" s="15" t="n"/>
      <c r="F338" s="15" t="n"/>
      <c r="G338" s="15" t="n"/>
      <c r="H338" s="16" t="n"/>
      <c r="I338" s="16" t="n"/>
      <c r="J338" s="17" t="n"/>
      <c r="K338" s="17" t="n"/>
      <c r="L338" s="17" t="n"/>
      <c r="M338" s="16" t="n"/>
      <c r="N338" s="16" t="n"/>
      <c r="O338" s="18" t="n"/>
      <c r="P338" s="18" t="n"/>
      <c r="Q338" s="16" t="n"/>
    </row>
    <row r="339">
      <c r="E339" s="15" t="n"/>
      <c r="F339" s="15" t="n"/>
      <c r="G339" s="15" t="n"/>
      <c r="H339" s="16" t="n"/>
      <c r="I339" s="16" t="n"/>
      <c r="J339" s="17" t="n"/>
      <c r="K339" s="17" t="n"/>
      <c r="L339" s="17" t="n"/>
      <c r="M339" s="16" t="n"/>
      <c r="N339" s="16" t="n"/>
      <c r="O339" s="18" t="n"/>
      <c r="P339" s="18" t="n"/>
      <c r="Q339" s="16" t="n"/>
    </row>
    <row r="340">
      <c r="E340" s="15" t="n"/>
      <c r="F340" s="15" t="n"/>
      <c r="G340" s="15" t="n"/>
      <c r="H340" s="16" t="n"/>
      <c r="I340" s="16" t="n"/>
      <c r="J340" s="17" t="n"/>
      <c r="K340" s="17" t="n"/>
      <c r="L340" s="17" t="n"/>
      <c r="M340" s="16" t="n"/>
      <c r="N340" s="16" t="n"/>
      <c r="O340" s="18" t="n"/>
      <c r="P340" s="18" t="n"/>
      <c r="Q340" s="16" t="n"/>
    </row>
    <row r="341">
      <c r="E341" s="15" t="n"/>
      <c r="F341" s="15" t="n"/>
      <c r="G341" s="15" t="n"/>
      <c r="H341" s="16" t="n"/>
      <c r="I341" s="16" t="n"/>
      <c r="J341" s="17" t="n"/>
      <c r="K341" s="17" t="n"/>
      <c r="L341" s="17" t="n"/>
      <c r="M341" s="16" t="n"/>
      <c r="N341" s="16" t="n"/>
      <c r="O341" s="18" t="n"/>
      <c r="P341" s="18" t="n"/>
      <c r="Q341" s="16" t="n"/>
    </row>
    <row r="342">
      <c r="E342" s="15" t="n"/>
      <c r="F342" s="15" t="n"/>
      <c r="G342" s="15" t="n"/>
      <c r="H342" s="16" t="n"/>
      <c r="I342" s="16" t="n"/>
      <c r="J342" s="17" t="n"/>
      <c r="K342" s="17" t="n"/>
      <c r="L342" s="17" t="n"/>
      <c r="M342" s="16" t="n"/>
      <c r="N342" s="16" t="n"/>
      <c r="O342" s="18" t="n"/>
      <c r="P342" s="18" t="n"/>
      <c r="Q342" s="16" t="n"/>
    </row>
    <row r="343">
      <c r="E343" s="15" t="n"/>
      <c r="F343" s="15" t="n"/>
      <c r="G343" s="15" t="n"/>
      <c r="H343" s="16" t="n"/>
      <c r="I343" s="16" t="n"/>
      <c r="J343" s="17" t="n"/>
      <c r="K343" s="17" t="n"/>
      <c r="L343" s="17" t="n"/>
      <c r="M343" s="16" t="n"/>
      <c r="N343" s="16" t="n"/>
      <c r="O343" s="18" t="n"/>
      <c r="P343" s="18" t="n"/>
      <c r="Q343" s="16" t="n"/>
    </row>
    <row r="344">
      <c r="E344" s="15" t="n"/>
      <c r="F344" s="15" t="n"/>
      <c r="G344" s="15" t="n"/>
      <c r="H344" s="16" t="n"/>
      <c r="I344" s="16" t="n"/>
      <c r="J344" s="17" t="n"/>
      <c r="K344" s="17" t="n"/>
      <c r="L344" s="17" t="n"/>
      <c r="M344" s="16" t="n"/>
      <c r="N344" s="16" t="n"/>
      <c r="O344" s="18" t="n"/>
      <c r="P344" s="18" t="n"/>
      <c r="Q344" s="16" t="n"/>
    </row>
    <row r="345">
      <c r="E345" s="15" t="n"/>
      <c r="F345" s="15" t="n"/>
      <c r="G345" s="15" t="n"/>
      <c r="H345" s="16" t="n"/>
      <c r="I345" s="16" t="n"/>
      <c r="J345" s="17" t="n"/>
      <c r="K345" s="17" t="n"/>
      <c r="L345" s="17" t="n"/>
      <c r="M345" s="16" t="n"/>
      <c r="N345" s="16" t="n"/>
      <c r="O345" s="18" t="n"/>
      <c r="P345" s="18" t="n"/>
      <c r="Q345" s="16" t="n"/>
    </row>
    <row r="346">
      <c r="E346" s="15" t="n"/>
      <c r="F346" s="15" t="n"/>
      <c r="G346" s="15" t="n"/>
      <c r="H346" s="16" t="n"/>
      <c r="I346" s="16" t="n"/>
      <c r="J346" s="17" t="n"/>
      <c r="K346" s="17" t="n"/>
      <c r="L346" s="17" t="n"/>
      <c r="M346" s="16" t="n"/>
      <c r="N346" s="16" t="n"/>
      <c r="O346" s="18" t="n"/>
      <c r="P346" s="18" t="n"/>
      <c r="Q346" s="16" t="n"/>
    </row>
    <row r="347">
      <c r="E347" s="15" t="n"/>
      <c r="F347" s="15" t="n"/>
      <c r="G347" s="15" t="n"/>
      <c r="H347" s="16" t="n"/>
      <c r="I347" s="16" t="n"/>
      <c r="J347" s="17" t="n"/>
      <c r="K347" s="17" t="n"/>
      <c r="L347" s="17" t="n"/>
      <c r="M347" s="16" t="n"/>
      <c r="N347" s="16" t="n"/>
      <c r="O347" s="18" t="n"/>
      <c r="P347" s="18" t="n"/>
      <c r="Q347" s="16" t="n"/>
    </row>
    <row r="348">
      <c r="E348" s="15" t="n"/>
      <c r="F348" s="15" t="n"/>
      <c r="G348" s="15" t="n"/>
      <c r="H348" s="16" t="n"/>
      <c r="I348" s="16" t="n"/>
      <c r="J348" s="17" t="n"/>
      <c r="K348" s="17" t="n"/>
      <c r="L348" s="17" t="n"/>
      <c r="M348" s="16" t="n"/>
      <c r="N348" s="16" t="n"/>
      <c r="O348" s="18" t="n"/>
      <c r="P348" s="18" t="n"/>
      <c r="Q348" s="16" t="n"/>
    </row>
    <row r="349">
      <c r="E349" s="15" t="n"/>
      <c r="F349" s="15" t="n"/>
      <c r="G349" s="15" t="n"/>
      <c r="H349" s="16" t="n"/>
      <c r="I349" s="16" t="n"/>
      <c r="J349" s="17" t="n"/>
      <c r="K349" s="17" t="n"/>
      <c r="L349" s="17" t="n"/>
      <c r="M349" s="16" t="n"/>
      <c r="N349" s="16" t="n"/>
      <c r="O349" s="18" t="n"/>
      <c r="P349" s="18" t="n"/>
      <c r="Q349" s="16" t="n"/>
    </row>
    <row r="350">
      <c r="E350" s="15" t="n"/>
      <c r="F350" s="15" t="n"/>
      <c r="G350" s="15" t="n"/>
      <c r="H350" s="16" t="n"/>
      <c r="I350" s="16" t="n"/>
      <c r="J350" s="17" t="n"/>
      <c r="K350" s="17" t="n"/>
      <c r="L350" s="17" t="n"/>
      <c r="M350" s="16" t="n"/>
      <c r="N350" s="16" t="n"/>
      <c r="O350" s="18" t="n"/>
      <c r="P350" s="18" t="n"/>
      <c r="Q350" s="16" t="n"/>
    </row>
    <row r="351">
      <c r="E351" s="15" t="n"/>
      <c r="F351" s="15" t="n"/>
      <c r="G351" s="15" t="n"/>
      <c r="H351" s="16" t="n"/>
      <c r="I351" s="16" t="n"/>
      <c r="J351" s="17" t="n"/>
      <c r="K351" s="17" t="n"/>
      <c r="L351" s="17" t="n"/>
      <c r="M351" s="16" t="n"/>
      <c r="N351" s="16" t="n"/>
      <c r="O351" s="18" t="n"/>
      <c r="P351" s="18" t="n"/>
      <c r="Q351" s="16" t="n"/>
    </row>
    <row r="352">
      <c r="E352" s="15" t="n"/>
      <c r="F352" s="15" t="n"/>
      <c r="G352" s="15" t="n"/>
      <c r="H352" s="16" t="n"/>
      <c r="I352" s="16" t="n"/>
      <c r="J352" s="17" t="n"/>
      <c r="K352" s="17" t="n"/>
      <c r="L352" s="17" t="n"/>
      <c r="M352" s="16" t="n"/>
      <c r="N352" s="16" t="n"/>
      <c r="O352" s="18" t="n"/>
      <c r="P352" s="18" t="n"/>
      <c r="Q352" s="16" t="n"/>
    </row>
    <row r="353">
      <c r="E353" s="15" t="n"/>
      <c r="F353" s="15" t="n"/>
      <c r="G353" s="15" t="n"/>
      <c r="H353" s="16" t="n"/>
      <c r="I353" s="16" t="n"/>
      <c r="J353" s="17" t="n"/>
      <c r="K353" s="17" t="n"/>
      <c r="L353" s="17" t="n"/>
      <c r="M353" s="16" t="n"/>
      <c r="N353" s="16" t="n"/>
      <c r="O353" s="18" t="n"/>
      <c r="P353" s="18" t="n"/>
      <c r="Q353" s="16" t="n"/>
    </row>
    <row r="354">
      <c r="E354" s="15" t="n"/>
      <c r="F354" s="15" t="n"/>
      <c r="G354" s="15" t="n"/>
      <c r="H354" s="16" t="n"/>
      <c r="I354" s="16" t="n"/>
      <c r="J354" s="17" t="n"/>
      <c r="K354" s="17" t="n"/>
      <c r="L354" s="17" t="n"/>
      <c r="M354" s="16" t="n"/>
      <c r="N354" s="16" t="n"/>
      <c r="O354" s="18" t="n"/>
      <c r="P354" s="18" t="n"/>
      <c r="Q354" s="16" t="n"/>
    </row>
    <row r="355">
      <c r="E355" s="15" t="n"/>
      <c r="F355" s="15" t="n"/>
      <c r="G355" s="15" t="n"/>
      <c r="H355" s="16" t="n"/>
      <c r="I355" s="16" t="n"/>
      <c r="J355" s="17" t="n"/>
      <c r="K355" s="17" t="n"/>
      <c r="L355" s="17" t="n"/>
      <c r="M355" s="16" t="n"/>
      <c r="N355" s="16" t="n"/>
      <c r="O355" s="18" t="n"/>
      <c r="P355" s="18" t="n"/>
      <c r="Q355" s="16" t="n"/>
    </row>
    <row r="356">
      <c r="E356" s="15" t="n"/>
      <c r="F356" s="15" t="n"/>
      <c r="G356" s="15" t="n"/>
      <c r="H356" s="16" t="n"/>
      <c r="I356" s="16" t="n"/>
      <c r="J356" s="17" t="n"/>
      <c r="K356" s="17" t="n"/>
      <c r="L356" s="17" t="n"/>
      <c r="M356" s="16" t="n"/>
      <c r="N356" s="16" t="n"/>
      <c r="O356" s="18" t="n"/>
      <c r="P356" s="18" t="n"/>
      <c r="Q356" s="16" t="n"/>
    </row>
    <row r="357">
      <c r="E357" s="15" t="n"/>
      <c r="F357" s="15" t="n"/>
      <c r="G357" s="15" t="n"/>
      <c r="H357" s="16" t="n"/>
      <c r="I357" s="16" t="n"/>
      <c r="J357" s="17" t="n"/>
      <c r="K357" s="17" t="n"/>
      <c r="L357" s="17" t="n"/>
      <c r="M357" s="16" t="n"/>
      <c r="N357" s="16" t="n"/>
      <c r="O357" s="18" t="n"/>
      <c r="P357" s="18" t="n"/>
      <c r="Q357" s="16" t="n"/>
    </row>
    <row r="358">
      <c r="E358" s="15" t="n"/>
      <c r="F358" s="15" t="n"/>
      <c r="G358" s="15" t="n"/>
      <c r="H358" s="16" t="n"/>
      <c r="I358" s="16" t="n"/>
      <c r="J358" s="17" t="n"/>
      <c r="K358" s="17" t="n"/>
      <c r="L358" s="17" t="n"/>
      <c r="M358" s="16" t="n"/>
      <c r="N358" s="16" t="n"/>
      <c r="O358" s="18" t="n"/>
      <c r="P358" s="18" t="n"/>
      <c r="Q358" s="16" t="n"/>
    </row>
    <row r="359">
      <c r="E359" s="15" t="n"/>
      <c r="F359" s="15" t="n"/>
      <c r="G359" s="15" t="n"/>
      <c r="H359" s="16" t="n"/>
      <c r="I359" s="16" t="n"/>
      <c r="J359" s="17" t="n"/>
      <c r="K359" s="17" t="n"/>
      <c r="L359" s="17" t="n"/>
      <c r="M359" s="16" t="n"/>
      <c r="N359" s="16" t="n"/>
      <c r="O359" s="18" t="n"/>
      <c r="P359" s="18" t="n"/>
      <c r="Q359" s="16" t="n"/>
    </row>
    <row r="360">
      <c r="E360" s="15" t="n"/>
      <c r="F360" s="15" t="n"/>
      <c r="G360" s="15" t="n"/>
      <c r="H360" s="16" t="n"/>
      <c r="I360" s="16" t="n"/>
      <c r="J360" s="17" t="n"/>
      <c r="K360" s="17" t="n"/>
      <c r="L360" s="17" t="n"/>
      <c r="M360" s="16" t="n"/>
      <c r="N360" s="16" t="n"/>
      <c r="O360" s="18" t="n"/>
      <c r="P360" s="18" t="n"/>
      <c r="Q360" s="16" t="n"/>
    </row>
    <row r="361">
      <c r="E361" s="15" t="n"/>
      <c r="F361" s="15" t="n"/>
      <c r="G361" s="15" t="n"/>
      <c r="H361" s="16" t="n"/>
      <c r="I361" s="16" t="n"/>
      <c r="J361" s="17" t="n"/>
      <c r="K361" s="17" t="n"/>
      <c r="L361" s="17" t="n"/>
      <c r="M361" s="16" t="n"/>
      <c r="N361" s="16" t="n"/>
      <c r="O361" s="18" t="n"/>
      <c r="P361" s="18" t="n"/>
      <c r="Q361" s="16" t="n"/>
    </row>
    <row r="362">
      <c r="E362" s="15" t="n"/>
      <c r="F362" s="15" t="n"/>
      <c r="G362" s="15" t="n"/>
      <c r="H362" s="16" t="n"/>
      <c r="I362" s="16" t="n"/>
      <c r="J362" s="17" t="n"/>
      <c r="K362" s="17" t="n"/>
      <c r="L362" s="17" t="n"/>
      <c r="M362" s="16" t="n"/>
      <c r="N362" s="16" t="n"/>
      <c r="O362" s="18" t="n"/>
      <c r="P362" s="18" t="n"/>
      <c r="Q362" s="16" t="n"/>
    </row>
    <row r="363">
      <c r="E363" s="15" t="n"/>
      <c r="F363" s="15" t="n"/>
      <c r="G363" s="15" t="n"/>
      <c r="H363" s="16" t="n"/>
      <c r="I363" s="16" t="n"/>
      <c r="J363" s="17" t="n"/>
      <c r="K363" s="17" t="n"/>
      <c r="L363" s="17" t="n"/>
      <c r="M363" s="16" t="n"/>
      <c r="N363" s="16" t="n"/>
      <c r="O363" s="18" t="n"/>
      <c r="P363" s="18" t="n"/>
      <c r="Q363" s="16" t="n"/>
    </row>
    <row r="364">
      <c r="E364" s="15" t="n"/>
      <c r="F364" s="15" t="n"/>
      <c r="G364" s="15" t="n"/>
      <c r="H364" s="16" t="n"/>
      <c r="I364" s="16" t="n"/>
      <c r="J364" s="17" t="n"/>
      <c r="K364" s="17" t="n"/>
      <c r="L364" s="17" t="n"/>
      <c r="M364" s="16" t="n"/>
      <c r="N364" s="16" t="n"/>
      <c r="O364" s="18" t="n"/>
      <c r="P364" s="18" t="n"/>
      <c r="Q364" s="16" t="n"/>
    </row>
    <row r="365">
      <c r="E365" s="15" t="n"/>
      <c r="F365" s="15" t="n"/>
      <c r="G365" s="15" t="n"/>
      <c r="H365" s="16" t="n"/>
      <c r="I365" s="16" t="n"/>
      <c r="J365" s="17" t="n"/>
      <c r="K365" s="17" t="n"/>
      <c r="L365" s="17" t="n"/>
      <c r="M365" s="16" t="n"/>
      <c r="N365" s="16" t="n"/>
      <c r="O365" s="18" t="n"/>
      <c r="P365" s="18" t="n"/>
      <c r="Q365" s="16" t="n"/>
    </row>
    <row r="366">
      <c r="E366" s="15" t="n"/>
      <c r="F366" s="15" t="n"/>
      <c r="G366" s="15" t="n"/>
      <c r="H366" s="16" t="n"/>
      <c r="I366" s="16" t="n"/>
      <c r="J366" s="17" t="n"/>
      <c r="K366" s="17" t="n"/>
      <c r="L366" s="17" t="n"/>
      <c r="M366" s="16" t="n"/>
      <c r="N366" s="16" t="n"/>
      <c r="O366" s="18" t="n"/>
      <c r="P366" s="18" t="n"/>
      <c r="Q366" s="16" t="n"/>
    </row>
    <row r="367">
      <c r="E367" s="15" t="n"/>
      <c r="F367" s="15" t="n"/>
      <c r="G367" s="15" t="n"/>
      <c r="H367" s="16" t="n"/>
      <c r="I367" s="16" t="n"/>
      <c r="J367" s="17" t="n"/>
      <c r="K367" s="17" t="n"/>
      <c r="L367" s="17" t="n"/>
      <c r="M367" s="16" t="n"/>
      <c r="N367" s="16" t="n"/>
      <c r="O367" s="18" t="n"/>
      <c r="P367" s="18" t="n"/>
      <c r="Q367" s="16" t="n"/>
    </row>
    <row r="368">
      <c r="E368" s="15" t="n"/>
      <c r="F368" s="15" t="n"/>
      <c r="G368" s="15" t="n"/>
      <c r="H368" s="16" t="n"/>
      <c r="I368" s="16" t="n"/>
      <c r="J368" s="17" t="n"/>
      <c r="K368" s="17" t="n"/>
      <c r="L368" s="17" t="n"/>
      <c r="M368" s="16" t="n"/>
      <c r="N368" s="16" t="n"/>
      <c r="O368" s="18" t="n"/>
      <c r="P368" s="18" t="n"/>
      <c r="Q368" s="16" t="n"/>
    </row>
    <row r="369">
      <c r="E369" s="15" t="n"/>
      <c r="F369" s="15" t="n"/>
      <c r="G369" s="15" t="n"/>
      <c r="H369" s="16" t="n"/>
      <c r="I369" s="16" t="n"/>
      <c r="J369" s="17" t="n"/>
      <c r="K369" s="17" t="n"/>
      <c r="L369" s="17" t="n"/>
      <c r="M369" s="16" t="n"/>
      <c r="N369" s="16" t="n"/>
      <c r="O369" s="18" t="n"/>
      <c r="P369" s="18" t="n"/>
      <c r="Q369" s="16" t="n"/>
    </row>
    <row r="370">
      <c r="E370" s="15" t="n"/>
      <c r="F370" s="15" t="n"/>
      <c r="G370" s="15" t="n"/>
      <c r="H370" s="16" t="n"/>
      <c r="I370" s="16" t="n"/>
      <c r="J370" s="17" t="n"/>
      <c r="K370" s="17" t="n"/>
      <c r="L370" s="17" t="n"/>
      <c r="M370" s="16" t="n"/>
      <c r="N370" s="16" t="n"/>
      <c r="O370" s="18" t="n"/>
      <c r="P370" s="18" t="n"/>
      <c r="Q370" s="16" t="n"/>
    </row>
    <row r="371">
      <c r="E371" s="15" t="n"/>
      <c r="F371" s="15" t="n"/>
      <c r="G371" s="15" t="n"/>
      <c r="H371" s="16" t="n"/>
      <c r="I371" s="16" t="n"/>
      <c r="J371" s="17" t="n"/>
      <c r="K371" s="17" t="n"/>
      <c r="L371" s="17" t="n"/>
      <c r="M371" s="16" t="n"/>
      <c r="N371" s="16" t="n"/>
      <c r="O371" s="18" t="n"/>
      <c r="P371" s="18" t="n"/>
      <c r="Q371" s="16" t="n"/>
    </row>
    <row r="372">
      <c r="E372" s="15" t="n"/>
      <c r="F372" s="15" t="n"/>
      <c r="G372" s="15" t="n"/>
      <c r="H372" s="16" t="n"/>
      <c r="I372" s="16" t="n"/>
      <c r="J372" s="17" t="n"/>
      <c r="K372" s="17" t="n"/>
      <c r="L372" s="17" t="n"/>
      <c r="M372" s="16" t="n"/>
      <c r="N372" s="16" t="n"/>
      <c r="O372" s="18" t="n"/>
      <c r="P372" s="18" t="n"/>
      <c r="Q372" s="16" t="n"/>
    </row>
    <row r="373">
      <c r="E373" s="15" t="n"/>
      <c r="F373" s="15" t="n"/>
      <c r="G373" s="15" t="n"/>
      <c r="H373" s="16" t="n"/>
      <c r="I373" s="16" t="n"/>
      <c r="J373" s="17" t="n"/>
      <c r="K373" s="17" t="n"/>
      <c r="L373" s="17" t="n"/>
      <c r="M373" s="16" t="n"/>
      <c r="N373" s="16" t="n"/>
      <c r="O373" s="18" t="n"/>
      <c r="P373" s="18" t="n"/>
      <c r="Q373" s="16" t="n"/>
    </row>
    <row r="374">
      <c r="E374" s="15" t="n"/>
      <c r="F374" s="15" t="n"/>
      <c r="G374" s="15" t="n"/>
      <c r="H374" s="16" t="n"/>
      <c r="I374" s="16" t="n"/>
      <c r="J374" s="17" t="n"/>
      <c r="K374" s="17" t="n"/>
      <c r="L374" s="17" t="n"/>
      <c r="M374" s="16" t="n"/>
      <c r="N374" s="16" t="n"/>
      <c r="O374" s="18" t="n"/>
      <c r="P374" s="18" t="n"/>
      <c r="Q374" s="16" t="n"/>
    </row>
    <row r="375">
      <c r="E375" s="15" t="n"/>
      <c r="F375" s="15" t="n"/>
      <c r="G375" s="15" t="n"/>
      <c r="H375" s="16" t="n"/>
      <c r="I375" s="16" t="n"/>
      <c r="J375" s="17" t="n"/>
      <c r="K375" s="17" t="n"/>
      <c r="L375" s="17" t="n"/>
      <c r="M375" s="16" t="n"/>
      <c r="N375" s="16" t="n"/>
      <c r="O375" s="18" t="n"/>
      <c r="P375" s="18" t="n"/>
      <c r="Q375" s="16" t="n"/>
    </row>
    <row r="376">
      <c r="E376" s="15" t="n"/>
      <c r="F376" s="15" t="n"/>
      <c r="G376" s="15" t="n"/>
      <c r="H376" s="16" t="n"/>
      <c r="I376" s="16" t="n"/>
      <c r="J376" s="17" t="n"/>
      <c r="K376" s="17" t="n"/>
      <c r="L376" s="17" t="n"/>
      <c r="M376" s="16" t="n"/>
      <c r="N376" s="16" t="n"/>
      <c r="O376" s="18" t="n"/>
      <c r="P376" s="18" t="n"/>
      <c r="Q376" s="16" t="n"/>
    </row>
    <row r="377">
      <c r="E377" s="15" t="n"/>
      <c r="F377" s="15" t="n"/>
      <c r="G377" s="15" t="n"/>
      <c r="H377" s="16" t="n"/>
      <c r="I377" s="16" t="n"/>
      <c r="J377" s="17" t="n"/>
      <c r="K377" s="17" t="n"/>
      <c r="L377" s="17" t="n"/>
      <c r="M377" s="16" t="n"/>
      <c r="N377" s="16" t="n"/>
      <c r="O377" s="18" t="n"/>
      <c r="P377" s="18" t="n"/>
      <c r="Q377" s="16" t="n"/>
    </row>
    <row r="378">
      <c r="E378" s="15" t="n"/>
      <c r="F378" s="15" t="n"/>
      <c r="G378" s="15" t="n"/>
      <c r="H378" s="16" t="n"/>
      <c r="I378" s="16" t="n"/>
      <c r="J378" s="17" t="n"/>
      <c r="K378" s="17" t="n"/>
      <c r="L378" s="17" t="n"/>
      <c r="M378" s="16" t="n"/>
      <c r="N378" s="16" t="n"/>
      <c r="O378" s="18" t="n"/>
      <c r="P378" s="18" t="n"/>
      <c r="Q378" s="16" t="n"/>
    </row>
    <row r="379">
      <c r="E379" s="15" t="n"/>
      <c r="F379" s="15" t="n"/>
      <c r="G379" s="15" t="n"/>
      <c r="H379" s="16" t="n"/>
      <c r="I379" s="16" t="n"/>
      <c r="J379" s="17" t="n"/>
      <c r="K379" s="17" t="n"/>
      <c r="L379" s="17" t="n"/>
      <c r="M379" s="16" t="n"/>
      <c r="N379" s="16" t="n"/>
      <c r="O379" s="18" t="n"/>
      <c r="P379" s="18" t="n"/>
      <c r="Q379" s="16" t="n"/>
    </row>
    <row r="380">
      <c r="E380" s="15" t="n"/>
      <c r="F380" s="15" t="n"/>
      <c r="G380" s="15" t="n"/>
      <c r="H380" s="16" t="n"/>
      <c r="I380" s="16" t="n"/>
      <c r="J380" s="17" t="n"/>
      <c r="K380" s="17" t="n"/>
      <c r="L380" s="17" t="n"/>
      <c r="M380" s="16" t="n"/>
      <c r="N380" s="16" t="n"/>
      <c r="O380" s="18" t="n"/>
      <c r="P380" s="18" t="n"/>
      <c r="Q380" s="16" t="n"/>
    </row>
    <row r="381">
      <c r="E381" s="15" t="n"/>
      <c r="F381" s="15" t="n"/>
      <c r="G381" s="15" t="n"/>
      <c r="H381" s="16" t="n"/>
      <c r="I381" s="16" t="n"/>
      <c r="J381" s="17" t="n"/>
      <c r="K381" s="17" t="n"/>
      <c r="L381" s="17" t="n"/>
      <c r="M381" s="16" t="n"/>
      <c r="N381" s="16" t="n"/>
      <c r="O381" s="18" t="n"/>
      <c r="P381" s="18" t="n"/>
      <c r="Q381" s="16" t="n"/>
    </row>
    <row r="382">
      <c r="E382" s="15" t="n"/>
      <c r="F382" s="15" t="n"/>
      <c r="G382" s="15" t="n"/>
      <c r="H382" s="16" t="n"/>
      <c r="I382" s="16" t="n"/>
      <c r="J382" s="17" t="n"/>
      <c r="K382" s="17" t="n"/>
      <c r="L382" s="17" t="n"/>
      <c r="M382" s="16" t="n"/>
      <c r="N382" s="16" t="n"/>
      <c r="O382" s="18" t="n"/>
      <c r="P382" s="18" t="n"/>
      <c r="Q382" s="16" t="n"/>
    </row>
    <row r="383">
      <c r="E383" s="15" t="n"/>
      <c r="F383" s="15" t="n"/>
      <c r="G383" s="15" t="n"/>
      <c r="H383" s="16" t="n"/>
      <c r="I383" s="16" t="n"/>
      <c r="J383" s="17" t="n"/>
      <c r="K383" s="17" t="n"/>
      <c r="L383" s="17" t="n"/>
      <c r="M383" s="16" t="n"/>
      <c r="N383" s="16" t="n"/>
      <c r="O383" s="18" t="n"/>
      <c r="P383" s="18" t="n"/>
      <c r="Q383" s="16" t="n"/>
    </row>
    <row r="384">
      <c r="E384" s="15" t="n"/>
      <c r="F384" s="15" t="n"/>
      <c r="G384" s="15" t="n"/>
      <c r="H384" s="16" t="n"/>
      <c r="I384" s="16" t="n"/>
      <c r="J384" s="17" t="n"/>
      <c r="K384" s="17" t="n"/>
      <c r="L384" s="17" t="n"/>
      <c r="M384" s="16" t="n"/>
      <c r="N384" s="16" t="n"/>
      <c r="O384" s="18" t="n"/>
      <c r="P384" s="18" t="n"/>
      <c r="Q384" s="16" t="n"/>
    </row>
    <row r="385">
      <c r="E385" s="15" t="n"/>
      <c r="F385" s="15" t="n"/>
      <c r="G385" s="15" t="n"/>
      <c r="H385" s="16" t="n"/>
      <c r="I385" s="16" t="n"/>
      <c r="J385" s="17" t="n"/>
      <c r="K385" s="17" t="n"/>
      <c r="L385" s="17" t="n"/>
      <c r="M385" s="16" t="n"/>
      <c r="N385" s="16" t="n"/>
      <c r="O385" s="18" t="n"/>
      <c r="P385" s="18" t="n"/>
      <c r="Q385" s="16" t="n"/>
    </row>
    <row r="386">
      <c r="E386" s="15" t="n"/>
      <c r="F386" s="15" t="n"/>
      <c r="G386" s="15" t="n"/>
      <c r="H386" s="16" t="n"/>
      <c r="I386" s="16" t="n"/>
      <c r="J386" s="17" t="n"/>
      <c r="K386" s="17" t="n"/>
      <c r="L386" s="17" t="n"/>
      <c r="M386" s="16" t="n"/>
      <c r="N386" s="16" t="n"/>
      <c r="O386" s="18" t="n"/>
      <c r="P386" s="18" t="n"/>
      <c r="Q386" s="16" t="n"/>
    </row>
    <row r="387">
      <c r="E387" s="15" t="n"/>
      <c r="F387" s="15" t="n"/>
      <c r="G387" s="15" t="n"/>
      <c r="H387" s="16" t="n"/>
      <c r="I387" s="16" t="n"/>
      <c r="J387" s="17" t="n"/>
      <c r="K387" s="17" t="n"/>
      <c r="L387" s="17" t="n"/>
      <c r="M387" s="16" t="n"/>
      <c r="N387" s="16" t="n"/>
      <c r="O387" s="18" t="n"/>
      <c r="P387" s="18" t="n"/>
      <c r="Q387" s="16" t="n"/>
    </row>
    <row r="388">
      <c r="E388" s="15" t="n"/>
      <c r="F388" s="15" t="n"/>
      <c r="G388" s="15" t="n"/>
      <c r="H388" s="16" t="n"/>
      <c r="I388" s="16" t="n"/>
      <c r="J388" s="17" t="n"/>
      <c r="K388" s="17" t="n"/>
      <c r="L388" s="17" t="n"/>
      <c r="M388" s="16" t="n"/>
      <c r="N388" s="16" t="n"/>
      <c r="O388" s="18" t="n"/>
      <c r="P388" s="18" t="n"/>
      <c r="Q388" s="16" t="n"/>
    </row>
    <row r="389">
      <c r="E389" s="15" t="n"/>
      <c r="F389" s="15" t="n"/>
      <c r="G389" s="15" t="n"/>
      <c r="H389" s="16" t="n"/>
      <c r="I389" s="16" t="n"/>
      <c r="J389" s="17" t="n"/>
      <c r="K389" s="17" t="n"/>
      <c r="L389" s="17" t="n"/>
      <c r="M389" s="16" t="n"/>
      <c r="N389" s="16" t="n"/>
      <c r="O389" s="18" t="n"/>
      <c r="P389" s="18" t="n"/>
      <c r="Q389" s="16" t="n"/>
    </row>
    <row r="390">
      <c r="E390" s="15" t="n"/>
      <c r="F390" s="15" t="n"/>
      <c r="G390" s="15" t="n"/>
      <c r="H390" s="16" t="n"/>
      <c r="I390" s="16" t="n"/>
      <c r="J390" s="17" t="n"/>
      <c r="K390" s="17" t="n"/>
      <c r="L390" s="17" t="n"/>
      <c r="M390" s="16" t="n"/>
      <c r="N390" s="16" t="n"/>
      <c r="O390" s="18" t="n"/>
      <c r="P390" s="18" t="n"/>
      <c r="Q390" s="16" t="n"/>
    </row>
    <row r="391">
      <c r="E391" s="15" t="n"/>
      <c r="F391" s="15" t="n"/>
      <c r="G391" s="15" t="n"/>
      <c r="H391" s="16" t="n"/>
      <c r="I391" s="16" t="n"/>
      <c r="J391" s="17" t="n"/>
      <c r="K391" s="17" t="n"/>
      <c r="L391" s="17" t="n"/>
      <c r="M391" s="16" t="n"/>
      <c r="N391" s="16" t="n"/>
      <c r="O391" s="18" t="n"/>
      <c r="P391" s="18" t="n"/>
      <c r="Q391" s="16" t="n"/>
    </row>
    <row r="392">
      <c r="E392" s="15" t="n"/>
      <c r="F392" s="15" t="n"/>
      <c r="G392" s="15" t="n"/>
      <c r="H392" s="16" t="n"/>
      <c r="I392" s="16" t="n"/>
      <c r="J392" s="17" t="n"/>
      <c r="K392" s="17" t="n"/>
      <c r="L392" s="17" t="n"/>
      <c r="M392" s="16" t="n"/>
      <c r="N392" s="16" t="n"/>
      <c r="O392" s="18" t="n"/>
      <c r="P392" s="18" t="n"/>
      <c r="Q392" s="16" t="n"/>
    </row>
    <row r="393">
      <c r="E393" s="15" t="n"/>
      <c r="F393" s="15" t="n"/>
      <c r="G393" s="15" t="n"/>
      <c r="H393" s="16" t="n"/>
      <c r="I393" s="16" t="n"/>
      <c r="J393" s="17" t="n"/>
      <c r="K393" s="17" t="n"/>
      <c r="L393" s="17" t="n"/>
      <c r="M393" s="16" t="n"/>
      <c r="N393" s="16" t="n"/>
      <c r="O393" s="18" t="n"/>
      <c r="P393" s="18" t="n"/>
      <c r="Q393" s="16" t="n"/>
    </row>
    <row r="394">
      <c r="E394" s="15" t="n"/>
      <c r="F394" s="15" t="n"/>
      <c r="G394" s="15" t="n"/>
      <c r="H394" s="16" t="n"/>
      <c r="I394" s="16" t="n"/>
      <c r="J394" s="17" t="n"/>
      <c r="K394" s="17" t="n"/>
      <c r="L394" s="17" t="n"/>
      <c r="M394" s="16" t="n"/>
      <c r="N394" s="16" t="n"/>
      <c r="O394" s="18" t="n"/>
      <c r="P394" s="18" t="n"/>
      <c r="Q394" s="16" t="n"/>
    </row>
    <row r="395">
      <c r="E395" s="15" t="n"/>
      <c r="F395" s="15" t="n"/>
      <c r="G395" s="15" t="n"/>
      <c r="H395" s="16" t="n"/>
      <c r="I395" s="16" t="n"/>
      <c r="J395" s="17" t="n"/>
      <c r="K395" s="17" t="n"/>
      <c r="L395" s="17" t="n"/>
      <c r="M395" s="16" t="n"/>
      <c r="N395" s="16" t="n"/>
      <c r="O395" s="18" t="n"/>
      <c r="P395" s="18" t="n"/>
      <c r="Q395" s="16" t="n"/>
    </row>
    <row r="396">
      <c r="E396" s="15" t="n"/>
      <c r="F396" s="15" t="n"/>
      <c r="G396" s="15" t="n"/>
      <c r="H396" s="16" t="n"/>
      <c r="I396" s="16" t="n"/>
      <c r="J396" s="17" t="n"/>
      <c r="K396" s="17" t="n"/>
      <c r="L396" s="17" t="n"/>
      <c r="M396" s="16" t="n"/>
      <c r="N396" s="16" t="n"/>
      <c r="O396" s="18" t="n"/>
      <c r="P396" s="18" t="n"/>
      <c r="Q396" s="16" t="n"/>
    </row>
    <row r="397">
      <c r="E397" s="15" t="n"/>
      <c r="F397" s="15" t="n"/>
      <c r="G397" s="15" t="n"/>
      <c r="H397" s="16" t="n"/>
      <c r="I397" s="16" t="n"/>
      <c r="J397" s="17" t="n"/>
      <c r="K397" s="17" t="n"/>
      <c r="L397" s="17" t="n"/>
      <c r="M397" s="16" t="n"/>
      <c r="N397" s="16" t="n"/>
      <c r="O397" s="18" t="n"/>
      <c r="P397" s="18" t="n"/>
      <c r="Q397" s="16" t="n"/>
    </row>
    <row r="398">
      <c r="E398" s="15" t="n"/>
      <c r="F398" s="15" t="n"/>
      <c r="G398" s="15" t="n"/>
      <c r="H398" s="16" t="n"/>
      <c r="I398" s="16" t="n"/>
      <c r="J398" s="17" t="n"/>
      <c r="K398" s="17" t="n"/>
      <c r="L398" s="17" t="n"/>
      <c r="M398" s="16" t="n"/>
      <c r="N398" s="16" t="n"/>
      <c r="O398" s="18" t="n"/>
      <c r="P398" s="18" t="n"/>
      <c r="Q398" s="16" t="n"/>
    </row>
    <row r="399">
      <c r="E399" s="15" t="n"/>
      <c r="F399" s="15" t="n"/>
      <c r="G399" s="15" t="n"/>
      <c r="H399" s="16" t="n"/>
      <c r="I399" s="16" t="n"/>
      <c r="J399" s="17" t="n"/>
      <c r="K399" s="17" t="n"/>
      <c r="L399" s="17" t="n"/>
      <c r="M399" s="16" t="n"/>
      <c r="N399" s="16" t="n"/>
      <c r="O399" s="18" t="n"/>
      <c r="P399" s="18" t="n"/>
      <c r="Q399" s="16" t="n"/>
    </row>
    <row r="400">
      <c r="E400" s="15" t="n"/>
      <c r="F400" s="15" t="n"/>
      <c r="G400" s="15" t="n"/>
      <c r="H400" s="16" t="n"/>
      <c r="I400" s="16" t="n"/>
      <c r="J400" s="17" t="n"/>
      <c r="K400" s="17" t="n"/>
      <c r="L400" s="17" t="n"/>
      <c r="M400" s="16" t="n"/>
      <c r="N400" s="16" t="n"/>
      <c r="O400" s="18" t="n"/>
      <c r="P400" s="18" t="n"/>
      <c r="Q400" s="16" t="n"/>
    </row>
    <row r="401">
      <c r="E401" s="15" t="n"/>
      <c r="F401" s="15" t="n"/>
      <c r="G401" s="15" t="n"/>
      <c r="H401" s="16" t="n"/>
      <c r="I401" s="16" t="n"/>
      <c r="J401" s="17" t="n"/>
      <c r="K401" s="17" t="n"/>
      <c r="L401" s="17" t="n"/>
      <c r="M401" s="16" t="n"/>
      <c r="N401" s="16" t="n"/>
      <c r="O401" s="18" t="n"/>
      <c r="P401" s="18" t="n"/>
      <c r="Q401" s="16" t="n"/>
    </row>
    <row r="402">
      <c r="E402" s="15" t="n"/>
      <c r="F402" s="15" t="n"/>
      <c r="G402" s="15" t="n"/>
      <c r="H402" s="16" t="n"/>
      <c r="I402" s="16" t="n"/>
      <c r="J402" s="17" t="n"/>
      <c r="K402" s="17" t="n"/>
      <c r="L402" s="17" t="n"/>
      <c r="M402" s="16" t="n"/>
      <c r="N402" s="16" t="n"/>
      <c r="O402" s="18" t="n"/>
      <c r="P402" s="18" t="n"/>
      <c r="Q402" s="16" t="n"/>
    </row>
    <row r="403">
      <c r="E403" s="15" t="n"/>
      <c r="F403" s="15" t="n"/>
      <c r="G403" s="15" t="n"/>
      <c r="H403" s="16" t="n"/>
      <c r="I403" s="16" t="n"/>
      <c r="J403" s="17" t="n"/>
      <c r="K403" s="17" t="n"/>
      <c r="L403" s="17" t="n"/>
      <c r="M403" s="16" t="n"/>
      <c r="N403" s="16" t="n"/>
      <c r="O403" s="18" t="n"/>
      <c r="P403" s="18" t="n"/>
      <c r="Q403" s="16" t="n"/>
    </row>
    <row r="404">
      <c r="E404" s="15" t="n"/>
      <c r="F404" s="15" t="n"/>
      <c r="G404" s="15" t="n"/>
      <c r="H404" s="16" t="n"/>
      <c r="I404" s="16" t="n"/>
      <c r="J404" s="17" t="n"/>
      <c r="K404" s="17" t="n"/>
      <c r="L404" s="17" t="n"/>
      <c r="M404" s="16" t="n"/>
      <c r="N404" s="16" t="n"/>
      <c r="O404" s="18" t="n"/>
      <c r="P404" s="18" t="n"/>
      <c r="Q404" s="16" t="n"/>
    </row>
    <row r="405">
      <c r="E405" s="15" t="n"/>
      <c r="F405" s="15" t="n"/>
      <c r="G405" s="15" t="n"/>
      <c r="H405" s="16" t="n"/>
      <c r="I405" s="16" t="n"/>
      <c r="J405" s="17" t="n"/>
      <c r="K405" s="17" t="n"/>
      <c r="L405" s="17" t="n"/>
      <c r="M405" s="16" t="n"/>
      <c r="N405" s="16" t="n"/>
      <c r="O405" s="18" t="n"/>
      <c r="P405" s="18" t="n"/>
      <c r="Q405" s="16" t="n"/>
    </row>
    <row r="406">
      <c r="E406" s="15" t="n"/>
      <c r="F406" s="15" t="n"/>
      <c r="G406" s="15" t="n"/>
      <c r="H406" s="16" t="n"/>
      <c r="I406" s="16" t="n"/>
      <c r="J406" s="17" t="n"/>
      <c r="K406" s="17" t="n"/>
      <c r="L406" s="17" t="n"/>
      <c r="M406" s="16" t="n"/>
      <c r="N406" s="16" t="n"/>
      <c r="O406" s="18" t="n"/>
      <c r="P406" s="18" t="n"/>
      <c r="Q406" s="16" t="n"/>
    </row>
    <row r="407">
      <c r="E407" s="15" t="n"/>
      <c r="F407" s="15" t="n"/>
      <c r="G407" s="15" t="n"/>
      <c r="H407" s="16" t="n"/>
      <c r="I407" s="16" t="n"/>
      <c r="J407" s="17" t="n"/>
      <c r="K407" s="17" t="n"/>
      <c r="L407" s="17" t="n"/>
      <c r="M407" s="16" t="n"/>
      <c r="N407" s="16" t="n"/>
      <c r="O407" s="18" t="n"/>
      <c r="P407" s="18" t="n"/>
      <c r="Q407" s="16" t="n"/>
    </row>
    <row r="408">
      <c r="E408" s="15" t="n"/>
      <c r="F408" s="15" t="n"/>
      <c r="G408" s="15" t="n"/>
      <c r="H408" s="16" t="n"/>
      <c r="I408" s="16" t="n"/>
      <c r="J408" s="17" t="n"/>
      <c r="K408" s="17" t="n"/>
      <c r="L408" s="17" t="n"/>
      <c r="M408" s="16" t="n"/>
      <c r="N408" s="16" t="n"/>
      <c r="O408" s="18" t="n"/>
      <c r="P408" s="18" t="n"/>
      <c r="Q408" s="16" t="n"/>
    </row>
    <row r="409">
      <c r="E409" s="15" t="n"/>
      <c r="F409" s="15" t="n"/>
      <c r="G409" s="15" t="n"/>
      <c r="H409" s="16" t="n"/>
      <c r="I409" s="16" t="n"/>
      <c r="J409" s="17" t="n"/>
      <c r="K409" s="17" t="n"/>
      <c r="L409" s="17" t="n"/>
      <c r="M409" s="16" t="n"/>
      <c r="N409" s="16" t="n"/>
      <c r="O409" s="18" t="n"/>
      <c r="P409" s="18" t="n"/>
      <c r="Q409" s="16" t="n"/>
    </row>
    <row r="410">
      <c r="E410" s="15" t="n"/>
      <c r="F410" s="15" t="n"/>
      <c r="G410" s="15" t="n"/>
      <c r="H410" s="16" t="n"/>
      <c r="I410" s="16" t="n"/>
      <c r="J410" s="17" t="n"/>
      <c r="K410" s="17" t="n"/>
      <c r="L410" s="17" t="n"/>
      <c r="M410" s="16" t="n"/>
      <c r="N410" s="16" t="n"/>
      <c r="O410" s="18" t="n"/>
      <c r="P410" s="18" t="n"/>
      <c r="Q410" s="16" t="n"/>
    </row>
    <row r="411">
      <c r="E411" s="15" t="n"/>
      <c r="F411" s="15" t="n"/>
      <c r="G411" s="15" t="n"/>
      <c r="H411" s="16" t="n"/>
      <c r="I411" s="16" t="n"/>
      <c r="J411" s="17" t="n"/>
      <c r="K411" s="17" t="n"/>
      <c r="L411" s="17" t="n"/>
      <c r="M411" s="16" t="n"/>
      <c r="N411" s="16" t="n"/>
      <c r="O411" s="18" t="n"/>
      <c r="P411" s="18" t="n"/>
      <c r="Q411" s="16" t="n"/>
    </row>
    <row r="412">
      <c r="E412" s="15" t="n"/>
      <c r="F412" s="15" t="n"/>
      <c r="G412" s="15" t="n"/>
      <c r="H412" s="16" t="n"/>
      <c r="I412" s="16" t="n"/>
      <c r="J412" s="17" t="n"/>
      <c r="K412" s="17" t="n"/>
      <c r="L412" s="17" t="n"/>
      <c r="M412" s="16" t="n"/>
      <c r="N412" s="16" t="n"/>
      <c r="O412" s="18" t="n"/>
      <c r="P412" s="18" t="n"/>
      <c r="Q412" s="16" t="n"/>
    </row>
    <row r="413">
      <c r="E413" s="15" t="n"/>
      <c r="F413" s="15" t="n"/>
      <c r="G413" s="15" t="n"/>
      <c r="H413" s="16" t="n"/>
      <c r="I413" s="16" t="n"/>
      <c r="J413" s="17" t="n"/>
      <c r="K413" s="17" t="n"/>
      <c r="L413" s="17" t="n"/>
      <c r="M413" s="16" t="n"/>
      <c r="N413" s="16" t="n"/>
      <c r="O413" s="18" t="n"/>
      <c r="P413" s="18" t="n"/>
      <c r="Q413" s="16" t="n"/>
    </row>
    <row r="414">
      <c r="E414" s="15" t="n"/>
      <c r="F414" s="15" t="n"/>
      <c r="G414" s="15" t="n"/>
      <c r="H414" s="16" t="n"/>
      <c r="I414" s="16" t="n"/>
      <c r="J414" s="17" t="n"/>
      <c r="K414" s="17" t="n"/>
      <c r="L414" s="17" t="n"/>
      <c r="M414" s="16" t="n"/>
      <c r="N414" s="16" t="n"/>
      <c r="O414" s="18" t="n"/>
      <c r="P414" s="18" t="n"/>
      <c r="Q414" s="16" t="n"/>
    </row>
    <row r="415">
      <c r="E415" s="15" t="n"/>
      <c r="F415" s="15" t="n"/>
      <c r="G415" s="15" t="n"/>
      <c r="H415" s="16" t="n"/>
      <c r="I415" s="16" t="n"/>
      <c r="J415" s="17" t="n"/>
      <c r="K415" s="17" t="n"/>
      <c r="L415" s="17" t="n"/>
      <c r="M415" s="16" t="n"/>
      <c r="N415" s="16" t="n"/>
      <c r="O415" s="18" t="n"/>
      <c r="P415" s="18" t="n"/>
      <c r="Q415" s="16" t="n"/>
    </row>
    <row r="416">
      <c r="E416" s="15" t="n"/>
      <c r="F416" s="15" t="n"/>
      <c r="G416" s="15" t="n"/>
      <c r="H416" s="16" t="n"/>
      <c r="I416" s="16" t="n"/>
      <c r="J416" s="17" t="n"/>
      <c r="K416" s="17" t="n"/>
      <c r="L416" s="17" t="n"/>
      <c r="M416" s="16" t="n"/>
      <c r="N416" s="16" t="n"/>
      <c r="O416" s="18" t="n"/>
      <c r="P416" s="18" t="n"/>
      <c r="Q416" s="16" t="n"/>
    </row>
    <row r="417">
      <c r="E417" s="15" t="n"/>
      <c r="F417" s="15" t="n"/>
      <c r="G417" s="15" t="n"/>
      <c r="H417" s="16" t="n"/>
      <c r="I417" s="16" t="n"/>
      <c r="J417" s="17" t="n"/>
      <c r="K417" s="17" t="n"/>
      <c r="L417" s="17" t="n"/>
      <c r="M417" s="16" t="n"/>
      <c r="N417" s="16" t="n"/>
      <c r="O417" s="18" t="n"/>
      <c r="P417" s="18" t="n"/>
      <c r="Q417" s="16" t="n"/>
    </row>
    <row r="418">
      <c r="E418" s="15" t="n"/>
      <c r="F418" s="15" t="n"/>
      <c r="G418" s="15" t="n"/>
      <c r="H418" s="16" t="n"/>
      <c r="I418" s="16" t="n"/>
      <c r="J418" s="17" t="n"/>
      <c r="K418" s="17" t="n"/>
      <c r="L418" s="17" t="n"/>
      <c r="M418" s="16" t="n"/>
      <c r="N418" s="16" t="n"/>
      <c r="O418" s="18" t="n"/>
      <c r="P418" s="18" t="n"/>
      <c r="Q418" s="16" t="n"/>
    </row>
    <row r="419">
      <c r="E419" s="15" t="n"/>
      <c r="F419" s="15" t="n"/>
      <c r="G419" s="15" t="n"/>
      <c r="H419" s="16" t="n"/>
      <c r="I419" s="16" t="n"/>
      <c r="J419" s="17" t="n"/>
      <c r="K419" s="17" t="n"/>
      <c r="L419" s="17" t="n"/>
      <c r="M419" s="16" t="n"/>
      <c r="N419" s="16" t="n"/>
      <c r="O419" s="18" t="n"/>
      <c r="P419" s="18" t="n"/>
      <c r="Q419" s="16" t="n"/>
    </row>
    <row r="420">
      <c r="E420" s="15" t="n"/>
      <c r="F420" s="15" t="n"/>
      <c r="G420" s="15" t="n"/>
      <c r="H420" s="16" t="n"/>
      <c r="I420" s="16" t="n"/>
      <c r="J420" s="17" t="n"/>
      <c r="K420" s="17" t="n"/>
      <c r="L420" s="17" t="n"/>
      <c r="M420" s="16" t="n"/>
      <c r="N420" s="16" t="n"/>
      <c r="O420" s="18" t="n"/>
      <c r="P420" s="18" t="n"/>
      <c r="Q420" s="16" t="n"/>
    </row>
    <row r="421">
      <c r="E421" s="15" t="n"/>
      <c r="F421" s="15" t="n"/>
      <c r="G421" s="15" t="n"/>
      <c r="H421" s="16" t="n"/>
      <c r="I421" s="16" t="n"/>
      <c r="J421" s="17" t="n"/>
      <c r="K421" s="17" t="n"/>
      <c r="L421" s="17" t="n"/>
      <c r="M421" s="16" t="n"/>
      <c r="N421" s="16" t="n"/>
      <c r="O421" s="18" t="n"/>
      <c r="P421" s="18" t="n"/>
      <c r="Q421" s="16" t="n"/>
    </row>
    <row r="422">
      <c r="E422" s="15" t="n"/>
      <c r="F422" s="15" t="n"/>
      <c r="G422" s="15" t="n"/>
      <c r="H422" s="16" t="n"/>
      <c r="I422" s="16" t="n"/>
      <c r="J422" s="17" t="n"/>
      <c r="K422" s="17" t="n"/>
      <c r="L422" s="17" t="n"/>
      <c r="M422" s="16" t="n"/>
      <c r="N422" s="16" t="n"/>
      <c r="O422" s="18" t="n"/>
      <c r="P422" s="18" t="n"/>
      <c r="Q422" s="16" t="n"/>
    </row>
    <row r="423">
      <c r="E423" s="15" t="n"/>
      <c r="F423" s="15" t="n"/>
      <c r="G423" s="15" t="n"/>
      <c r="H423" s="16" t="n"/>
      <c r="I423" s="16" t="n"/>
      <c r="J423" s="17" t="n"/>
      <c r="K423" s="17" t="n"/>
      <c r="L423" s="17" t="n"/>
      <c r="M423" s="16" t="n"/>
      <c r="N423" s="16" t="n"/>
      <c r="O423" s="18" t="n"/>
      <c r="P423" s="18" t="n"/>
      <c r="Q423" s="16" t="n"/>
    </row>
    <row r="424">
      <c r="E424" s="15" t="n"/>
      <c r="F424" s="15" t="n"/>
      <c r="G424" s="15" t="n"/>
      <c r="H424" s="16" t="n"/>
      <c r="I424" s="16" t="n"/>
      <c r="J424" s="17" t="n"/>
      <c r="K424" s="17" t="n"/>
      <c r="L424" s="17" t="n"/>
      <c r="M424" s="16" t="n"/>
      <c r="N424" s="16" t="n"/>
      <c r="O424" s="18" t="n"/>
      <c r="P424" s="18" t="n"/>
      <c r="Q424" s="16" t="n"/>
    </row>
    <row r="425">
      <c r="E425" s="15" t="n"/>
      <c r="F425" s="15" t="n"/>
      <c r="G425" s="15" t="n"/>
      <c r="H425" s="16" t="n"/>
      <c r="I425" s="16" t="n"/>
      <c r="J425" s="17" t="n"/>
      <c r="K425" s="17" t="n"/>
      <c r="L425" s="17" t="n"/>
      <c r="M425" s="16" t="n"/>
      <c r="N425" s="16" t="n"/>
      <c r="O425" s="18" t="n"/>
      <c r="P425" s="18" t="n"/>
      <c r="Q425" s="16" t="n"/>
    </row>
    <row r="426">
      <c r="E426" s="15" t="n"/>
      <c r="F426" s="15" t="n"/>
      <c r="G426" s="15" t="n"/>
      <c r="H426" s="16" t="n"/>
      <c r="I426" s="16" t="n"/>
      <c r="J426" s="17" t="n"/>
      <c r="K426" s="17" t="n"/>
      <c r="L426" s="17" t="n"/>
      <c r="M426" s="16" t="n"/>
      <c r="N426" s="16" t="n"/>
      <c r="O426" s="18" t="n"/>
      <c r="P426" s="18" t="n"/>
      <c r="Q426" s="16" t="n"/>
    </row>
    <row r="427">
      <c r="E427" s="15" t="n"/>
      <c r="F427" s="15" t="n"/>
      <c r="G427" s="15" t="n"/>
      <c r="H427" s="16" t="n"/>
      <c r="I427" s="16" t="n"/>
      <c r="J427" s="17" t="n"/>
      <c r="K427" s="17" t="n"/>
      <c r="L427" s="17" t="n"/>
      <c r="M427" s="16" t="n"/>
      <c r="N427" s="16" t="n"/>
      <c r="O427" s="18" t="n"/>
      <c r="P427" s="18" t="n"/>
      <c r="Q427" s="16" t="n"/>
    </row>
    <row r="428">
      <c r="E428" s="15" t="n"/>
      <c r="F428" s="15" t="n"/>
      <c r="G428" s="15" t="n"/>
      <c r="H428" s="16" t="n"/>
      <c r="I428" s="16" t="n"/>
      <c r="J428" s="17" t="n"/>
      <c r="K428" s="17" t="n"/>
      <c r="L428" s="17" t="n"/>
      <c r="M428" s="16" t="n"/>
      <c r="N428" s="16" t="n"/>
      <c r="O428" s="18" t="n"/>
      <c r="P428" s="18" t="n"/>
      <c r="Q428" s="16" t="n"/>
    </row>
    <row r="429">
      <c r="E429" s="15" t="n"/>
      <c r="F429" s="15" t="n"/>
      <c r="G429" s="15" t="n"/>
      <c r="H429" s="16" t="n"/>
      <c r="I429" s="16" t="n"/>
      <c r="J429" s="17" t="n"/>
      <c r="K429" s="17" t="n"/>
      <c r="L429" s="17" t="n"/>
      <c r="M429" s="16" t="n"/>
      <c r="N429" s="16" t="n"/>
      <c r="O429" s="18" t="n"/>
      <c r="P429" s="18" t="n"/>
      <c r="Q429" s="16" t="n"/>
    </row>
    <row r="430">
      <c r="E430" s="15" t="n"/>
      <c r="F430" s="15" t="n"/>
      <c r="G430" s="15" t="n"/>
      <c r="H430" s="16" t="n"/>
      <c r="I430" s="16" t="n"/>
      <c r="J430" s="17" t="n"/>
      <c r="K430" s="17" t="n"/>
      <c r="L430" s="17" t="n"/>
      <c r="M430" s="16" t="n"/>
      <c r="N430" s="16" t="n"/>
      <c r="O430" s="18" t="n"/>
      <c r="P430" s="18" t="n"/>
      <c r="Q430" s="16" t="n"/>
    </row>
    <row r="431">
      <c r="E431" s="15" t="n"/>
      <c r="F431" s="15" t="n"/>
      <c r="G431" s="15" t="n"/>
      <c r="H431" s="16" t="n"/>
      <c r="I431" s="16" t="n"/>
      <c r="J431" s="17" t="n"/>
      <c r="K431" s="17" t="n"/>
      <c r="L431" s="17" t="n"/>
      <c r="M431" s="16" t="n"/>
      <c r="N431" s="16" t="n"/>
      <c r="O431" s="18" t="n"/>
      <c r="P431" s="18" t="n"/>
      <c r="Q431" s="16" t="n"/>
    </row>
    <row r="432">
      <c r="E432" s="15" t="n"/>
      <c r="F432" s="15" t="n"/>
      <c r="G432" s="15" t="n"/>
      <c r="H432" s="16" t="n"/>
      <c r="I432" s="16" t="n"/>
      <c r="J432" s="17" t="n"/>
      <c r="K432" s="17" t="n"/>
      <c r="L432" s="17" t="n"/>
      <c r="M432" s="16" t="n"/>
      <c r="N432" s="16" t="n"/>
      <c r="O432" s="18" t="n"/>
      <c r="P432" s="18" t="n"/>
      <c r="Q432" s="16" t="n"/>
    </row>
    <row r="433">
      <c r="E433" s="15" t="n"/>
      <c r="F433" s="15" t="n"/>
      <c r="G433" s="15" t="n"/>
      <c r="H433" s="16" t="n"/>
      <c r="I433" s="16" t="n"/>
      <c r="J433" s="17" t="n"/>
      <c r="K433" s="17" t="n"/>
      <c r="L433" s="17" t="n"/>
      <c r="M433" s="16" t="n"/>
      <c r="N433" s="16" t="n"/>
      <c r="O433" s="18" t="n"/>
      <c r="P433" s="18" t="n"/>
      <c r="Q433" s="16" t="n"/>
    </row>
    <row r="434">
      <c r="E434" s="15" t="n"/>
      <c r="F434" s="15" t="n"/>
      <c r="G434" s="15" t="n"/>
      <c r="H434" s="16" t="n"/>
      <c r="I434" s="16" t="n"/>
      <c r="J434" s="17" t="n"/>
      <c r="K434" s="17" t="n"/>
      <c r="L434" s="17" t="n"/>
      <c r="M434" s="16" t="n"/>
      <c r="N434" s="16" t="n"/>
      <c r="O434" s="18" t="n"/>
      <c r="P434" s="18" t="n"/>
      <c r="Q434" s="16" t="n"/>
    </row>
    <row r="435">
      <c r="E435" s="15" t="n"/>
      <c r="F435" s="15" t="n"/>
      <c r="G435" s="15" t="n"/>
      <c r="H435" s="16" t="n"/>
      <c r="I435" s="16" t="n"/>
      <c r="J435" s="17" t="n"/>
      <c r="K435" s="17" t="n"/>
      <c r="L435" s="17" t="n"/>
      <c r="M435" s="16" t="n"/>
      <c r="N435" s="16" t="n"/>
      <c r="O435" s="18" t="n"/>
      <c r="P435" s="18" t="n"/>
      <c r="Q435" s="16" t="n"/>
    </row>
    <row r="436">
      <c r="E436" s="15" t="n"/>
      <c r="F436" s="15" t="n"/>
      <c r="G436" s="15" t="n"/>
      <c r="H436" s="16" t="n"/>
      <c r="I436" s="16" t="n"/>
      <c r="J436" s="17" t="n"/>
      <c r="K436" s="17" t="n"/>
      <c r="L436" s="17" t="n"/>
      <c r="M436" s="16" t="n"/>
      <c r="N436" s="16" t="n"/>
      <c r="O436" s="18" t="n"/>
      <c r="P436" s="18" t="n"/>
      <c r="Q436" s="16" t="n"/>
    </row>
    <row r="437">
      <c r="E437" s="15" t="n"/>
      <c r="F437" s="15" t="n"/>
      <c r="G437" s="15" t="n"/>
      <c r="H437" s="16" t="n"/>
      <c r="I437" s="16" t="n"/>
      <c r="J437" s="17" t="n"/>
      <c r="K437" s="17" t="n"/>
      <c r="L437" s="17" t="n"/>
      <c r="M437" s="16" t="n"/>
      <c r="N437" s="16" t="n"/>
      <c r="O437" s="18" t="n"/>
      <c r="P437" s="18" t="n"/>
      <c r="Q437" s="16" t="n"/>
    </row>
    <row r="438">
      <c r="E438" s="15" t="n"/>
      <c r="F438" s="15" t="n"/>
      <c r="G438" s="15" t="n"/>
      <c r="H438" s="16" t="n"/>
      <c r="I438" s="16" t="n"/>
      <c r="J438" s="17" t="n"/>
      <c r="K438" s="17" t="n"/>
      <c r="L438" s="17" t="n"/>
      <c r="M438" s="16" t="n"/>
      <c r="N438" s="16" t="n"/>
      <c r="O438" s="18" t="n"/>
      <c r="P438" s="18" t="n"/>
      <c r="Q438" s="16" t="n"/>
    </row>
    <row r="439">
      <c r="E439" s="15" t="n"/>
      <c r="F439" s="15" t="n"/>
      <c r="G439" s="15" t="n"/>
      <c r="H439" s="16" t="n"/>
      <c r="I439" s="16" t="n"/>
      <c r="J439" s="17" t="n"/>
      <c r="K439" s="17" t="n"/>
      <c r="L439" s="17" t="n"/>
      <c r="M439" s="16" t="n"/>
      <c r="N439" s="16" t="n"/>
      <c r="O439" s="18" t="n"/>
      <c r="P439" s="18" t="n"/>
      <c r="Q439" s="16" t="n"/>
    </row>
    <row r="440">
      <c r="E440" s="15" t="n"/>
      <c r="F440" s="15" t="n"/>
      <c r="G440" s="15" t="n"/>
      <c r="H440" s="16" t="n"/>
      <c r="I440" s="16" t="n"/>
      <c r="J440" s="17" t="n"/>
      <c r="K440" s="17" t="n"/>
      <c r="L440" s="17" t="n"/>
      <c r="M440" s="16" t="n"/>
      <c r="N440" s="16" t="n"/>
      <c r="O440" s="18" t="n"/>
      <c r="P440" s="18" t="n"/>
      <c r="Q440" s="16" t="n"/>
    </row>
    <row r="441">
      <c r="E441" s="15" t="n"/>
      <c r="F441" s="15" t="n"/>
      <c r="G441" s="15" t="n"/>
      <c r="H441" s="16" t="n"/>
      <c r="I441" s="16" t="n"/>
      <c r="J441" s="17" t="n"/>
      <c r="K441" s="17" t="n"/>
      <c r="L441" s="17" t="n"/>
      <c r="M441" s="16" t="n"/>
      <c r="N441" s="16" t="n"/>
      <c r="O441" s="18" t="n"/>
      <c r="P441" s="18" t="n"/>
      <c r="Q441" s="16" t="n"/>
    </row>
    <row r="442">
      <c r="E442" s="15" t="n"/>
      <c r="F442" s="15" t="n"/>
      <c r="G442" s="15" t="n"/>
      <c r="H442" s="16" t="n"/>
      <c r="I442" s="16" t="n"/>
      <c r="J442" s="17" t="n"/>
      <c r="K442" s="17" t="n"/>
      <c r="L442" s="17" t="n"/>
      <c r="M442" s="16" t="n"/>
      <c r="N442" s="16" t="n"/>
      <c r="O442" s="18" t="n"/>
      <c r="P442" s="18" t="n"/>
      <c r="Q442" s="16" t="n"/>
    </row>
    <row r="443">
      <c r="E443" s="15" t="n"/>
      <c r="F443" s="15" t="n"/>
      <c r="G443" s="15" t="n"/>
      <c r="H443" s="16" t="n"/>
      <c r="I443" s="16" t="n"/>
      <c r="J443" s="17" t="n"/>
      <c r="K443" s="17" t="n"/>
      <c r="L443" s="17" t="n"/>
      <c r="M443" s="16" t="n"/>
      <c r="N443" s="16" t="n"/>
      <c r="O443" s="18" t="n"/>
      <c r="P443" s="18" t="n"/>
      <c r="Q443" s="16" t="n"/>
    </row>
    <row r="444">
      <c r="E444" s="15" t="n"/>
      <c r="F444" s="15" t="n"/>
      <c r="G444" s="15" t="n"/>
      <c r="H444" s="16" t="n"/>
      <c r="I444" s="16" t="n"/>
      <c r="J444" s="17" t="n"/>
      <c r="K444" s="17" t="n"/>
      <c r="L444" s="17" t="n"/>
      <c r="M444" s="16" t="n"/>
      <c r="N444" s="16" t="n"/>
      <c r="O444" s="18" t="n"/>
      <c r="P444" s="18" t="n"/>
      <c r="Q444" s="16" t="n"/>
    </row>
    <row r="445">
      <c r="E445" s="15" t="n"/>
      <c r="F445" s="15" t="n"/>
      <c r="G445" s="15" t="n"/>
      <c r="H445" s="16" t="n"/>
      <c r="I445" s="16" t="n"/>
      <c r="J445" s="17" t="n"/>
      <c r="K445" s="17" t="n"/>
      <c r="L445" s="17" t="n"/>
      <c r="M445" s="16" t="n"/>
      <c r="N445" s="16" t="n"/>
      <c r="O445" s="18" t="n"/>
      <c r="P445" s="18" t="n"/>
      <c r="Q445" s="16" t="n"/>
    </row>
    <row r="446">
      <c r="E446" s="15" t="n"/>
      <c r="F446" s="15" t="n"/>
      <c r="G446" s="15" t="n"/>
      <c r="H446" s="16" t="n"/>
      <c r="I446" s="16" t="n"/>
      <c r="J446" s="17" t="n"/>
      <c r="K446" s="17" t="n"/>
      <c r="L446" s="17" t="n"/>
      <c r="M446" s="16" t="n"/>
      <c r="N446" s="16" t="n"/>
      <c r="O446" s="18" t="n"/>
      <c r="P446" s="18" t="n"/>
      <c r="Q446" s="16" t="n"/>
    </row>
    <row r="447">
      <c r="E447" s="15" t="n"/>
      <c r="F447" s="15" t="n"/>
      <c r="G447" s="15" t="n"/>
      <c r="H447" s="16" t="n"/>
      <c r="I447" s="16" t="n"/>
      <c r="J447" s="17" t="n"/>
      <c r="K447" s="17" t="n"/>
      <c r="L447" s="17" t="n"/>
      <c r="M447" s="16" t="n"/>
      <c r="N447" s="16" t="n"/>
      <c r="O447" s="18" t="n"/>
      <c r="P447" s="18" t="n"/>
      <c r="Q447" s="16" t="n"/>
    </row>
    <row r="448">
      <c r="E448" s="15" t="n"/>
      <c r="F448" s="15" t="n"/>
      <c r="G448" s="15" t="n"/>
      <c r="H448" s="16" t="n"/>
      <c r="I448" s="16" t="n"/>
      <c r="J448" s="17" t="n"/>
      <c r="K448" s="17" t="n"/>
      <c r="L448" s="17" t="n"/>
      <c r="M448" s="16" t="n"/>
      <c r="N448" s="16" t="n"/>
      <c r="O448" s="18" t="n"/>
      <c r="P448" s="18" t="n"/>
      <c r="Q448" s="16" t="n"/>
    </row>
    <row r="449">
      <c r="E449" s="15" t="n"/>
      <c r="F449" s="15" t="n"/>
      <c r="G449" s="15" t="n"/>
      <c r="H449" s="16" t="n"/>
      <c r="I449" s="16" t="n"/>
      <c r="J449" s="17" t="n"/>
      <c r="K449" s="17" t="n"/>
      <c r="L449" s="17" t="n"/>
      <c r="M449" s="16" t="n"/>
      <c r="N449" s="16" t="n"/>
      <c r="O449" s="18" t="n"/>
      <c r="P449" s="18" t="n"/>
      <c r="Q449" s="16" t="n"/>
    </row>
    <row r="450">
      <c r="E450" s="15" t="n"/>
      <c r="F450" s="15" t="n"/>
      <c r="G450" s="15" t="n"/>
      <c r="H450" s="16" t="n"/>
      <c r="I450" s="16" t="n"/>
      <c r="J450" s="17" t="n"/>
      <c r="K450" s="17" t="n"/>
      <c r="L450" s="17" t="n"/>
      <c r="M450" s="16" t="n"/>
      <c r="N450" s="16" t="n"/>
      <c r="O450" s="18" t="n"/>
      <c r="P450" s="18" t="n"/>
      <c r="Q450" s="16" t="n"/>
    </row>
    <row r="451">
      <c r="E451" s="15" t="n"/>
      <c r="F451" s="15" t="n"/>
      <c r="G451" s="15" t="n"/>
      <c r="H451" s="16" t="n"/>
      <c r="I451" s="16" t="n"/>
      <c r="J451" s="17" t="n"/>
      <c r="K451" s="17" t="n"/>
      <c r="L451" s="17" t="n"/>
      <c r="M451" s="16" t="n"/>
      <c r="N451" s="16" t="n"/>
      <c r="O451" s="18" t="n"/>
      <c r="P451" s="18" t="n"/>
      <c r="Q451" s="16" t="n"/>
    </row>
    <row r="452">
      <c r="E452" s="15" t="n"/>
      <c r="F452" s="15" t="n"/>
      <c r="G452" s="15" t="n"/>
      <c r="H452" s="16" t="n"/>
      <c r="I452" s="16" t="n"/>
      <c r="J452" s="17" t="n"/>
      <c r="K452" s="17" t="n"/>
      <c r="L452" s="17" t="n"/>
      <c r="M452" s="16" t="n"/>
      <c r="N452" s="16" t="n"/>
      <c r="O452" s="18" t="n"/>
      <c r="P452" s="18" t="n"/>
      <c r="Q452" s="16" t="n"/>
    </row>
    <row r="453">
      <c r="E453" s="15" t="n"/>
      <c r="F453" s="15" t="n"/>
      <c r="G453" s="15" t="n"/>
      <c r="H453" s="16" t="n"/>
      <c r="I453" s="16" t="n"/>
      <c r="J453" s="17" t="n"/>
      <c r="K453" s="17" t="n"/>
      <c r="L453" s="17" t="n"/>
      <c r="M453" s="16" t="n"/>
      <c r="N453" s="16" t="n"/>
      <c r="O453" s="18" t="n"/>
      <c r="P453" s="18" t="n"/>
      <c r="Q453" s="16" t="n"/>
    </row>
    <row r="454">
      <c r="E454" s="15" t="n"/>
      <c r="F454" s="15" t="n"/>
      <c r="G454" s="15" t="n"/>
      <c r="H454" s="16" t="n"/>
      <c r="I454" s="16" t="n"/>
      <c r="J454" s="17" t="n"/>
      <c r="K454" s="17" t="n"/>
      <c r="L454" s="17" t="n"/>
      <c r="M454" s="16" t="n"/>
      <c r="N454" s="16" t="n"/>
      <c r="O454" s="18" t="n"/>
      <c r="P454" s="18" t="n"/>
      <c r="Q454" s="16" t="n"/>
    </row>
    <row r="455">
      <c r="E455" s="15" t="n"/>
      <c r="F455" s="15" t="n"/>
      <c r="G455" s="15" t="n"/>
      <c r="H455" s="16" t="n"/>
      <c r="I455" s="16" t="n"/>
      <c r="J455" s="17" t="n"/>
      <c r="K455" s="17" t="n"/>
      <c r="L455" s="17" t="n"/>
      <c r="M455" s="16" t="n"/>
      <c r="N455" s="16" t="n"/>
      <c r="O455" s="18" t="n"/>
      <c r="P455" s="18" t="n"/>
      <c r="Q455" s="16" t="n"/>
    </row>
    <row r="456">
      <c r="E456" s="15" t="n"/>
      <c r="F456" s="15" t="n"/>
      <c r="G456" s="15" t="n"/>
      <c r="H456" s="16" t="n"/>
      <c r="I456" s="16" t="n"/>
      <c r="J456" s="17" t="n"/>
      <c r="K456" s="17" t="n"/>
      <c r="L456" s="17" t="n"/>
      <c r="M456" s="16" t="n"/>
      <c r="N456" s="16" t="n"/>
      <c r="O456" s="18" t="n"/>
      <c r="P456" s="18" t="n"/>
      <c r="Q456" s="16" t="n"/>
    </row>
    <row r="457">
      <c r="E457" s="15" t="n"/>
      <c r="F457" s="15" t="n"/>
      <c r="G457" s="15" t="n"/>
      <c r="H457" s="16" t="n"/>
      <c r="I457" s="16" t="n"/>
      <c r="J457" s="17" t="n"/>
      <c r="K457" s="17" t="n"/>
      <c r="L457" s="17" t="n"/>
      <c r="M457" s="16" t="n"/>
      <c r="N457" s="16" t="n"/>
      <c r="O457" s="18" t="n"/>
      <c r="P457" s="18" t="n"/>
      <c r="Q457" s="16" t="n"/>
    </row>
    <row r="458">
      <c r="E458" s="15" t="n"/>
      <c r="F458" s="15" t="n"/>
      <c r="G458" s="15" t="n"/>
      <c r="H458" s="16" t="n"/>
      <c r="I458" s="16" t="n"/>
      <c r="J458" s="17" t="n"/>
      <c r="K458" s="17" t="n"/>
      <c r="L458" s="17" t="n"/>
      <c r="M458" s="16" t="n"/>
      <c r="N458" s="16" t="n"/>
      <c r="O458" s="18" t="n"/>
      <c r="P458" s="18" t="n"/>
      <c r="Q458" s="16" t="n"/>
    </row>
    <row r="459">
      <c r="E459" s="15" t="n"/>
      <c r="F459" s="15" t="n"/>
      <c r="G459" s="15" t="n"/>
      <c r="H459" s="16" t="n"/>
      <c r="I459" s="16" t="n"/>
      <c r="J459" s="17" t="n"/>
      <c r="K459" s="17" t="n"/>
      <c r="L459" s="17" t="n"/>
      <c r="M459" s="16" t="n"/>
      <c r="N459" s="16" t="n"/>
      <c r="O459" s="18" t="n"/>
      <c r="P459" s="18" t="n"/>
      <c r="Q459" s="16" t="n"/>
    </row>
    <row r="460">
      <c r="E460" s="15" t="n"/>
      <c r="F460" s="15" t="n"/>
      <c r="G460" s="15" t="n"/>
      <c r="H460" s="16" t="n"/>
      <c r="I460" s="16" t="n"/>
      <c r="J460" s="17" t="n"/>
      <c r="K460" s="17" t="n"/>
      <c r="L460" s="17" t="n"/>
      <c r="M460" s="16" t="n"/>
      <c r="N460" s="16" t="n"/>
      <c r="O460" s="18" t="n"/>
      <c r="P460" s="18" t="n"/>
      <c r="Q460" s="16" t="n"/>
    </row>
    <row r="461">
      <c r="E461" s="15" t="n"/>
      <c r="F461" s="15" t="n"/>
      <c r="G461" s="15" t="n"/>
      <c r="H461" s="16" t="n"/>
      <c r="I461" s="16" t="n"/>
      <c r="J461" s="17" t="n"/>
      <c r="K461" s="17" t="n"/>
      <c r="L461" s="17" t="n"/>
      <c r="M461" s="16" t="n"/>
      <c r="N461" s="16" t="n"/>
      <c r="O461" s="18" t="n"/>
      <c r="P461" s="18" t="n"/>
      <c r="Q461" s="16" t="n"/>
    </row>
    <row r="462">
      <c r="E462" s="15" t="n"/>
      <c r="F462" s="15" t="n"/>
      <c r="G462" s="15" t="n"/>
      <c r="H462" s="16" t="n"/>
      <c r="I462" s="16" t="n"/>
      <c r="J462" s="17" t="n"/>
      <c r="K462" s="17" t="n"/>
      <c r="L462" s="17" t="n"/>
      <c r="M462" s="16" t="n"/>
      <c r="N462" s="16" t="n"/>
      <c r="O462" s="18" t="n"/>
      <c r="P462" s="18" t="n"/>
      <c r="Q462" s="16" t="n"/>
    </row>
    <row r="463">
      <c r="E463" s="15" t="n"/>
      <c r="F463" s="15" t="n"/>
      <c r="G463" s="15" t="n"/>
      <c r="H463" s="16" t="n"/>
      <c r="I463" s="16" t="n"/>
      <c r="J463" s="17" t="n"/>
      <c r="K463" s="17" t="n"/>
      <c r="L463" s="17" t="n"/>
      <c r="M463" s="16" t="n"/>
      <c r="N463" s="16" t="n"/>
      <c r="O463" s="18" t="n"/>
      <c r="P463" s="18" t="n"/>
      <c r="Q463" s="16" t="n"/>
    </row>
    <row r="464">
      <c r="E464" s="15" t="n"/>
      <c r="F464" s="15" t="n"/>
      <c r="G464" s="15" t="n"/>
      <c r="H464" s="16" t="n"/>
      <c r="I464" s="16" t="n"/>
      <c r="J464" s="17" t="n"/>
      <c r="K464" s="17" t="n"/>
      <c r="L464" s="17" t="n"/>
      <c r="M464" s="16" t="n"/>
      <c r="N464" s="16" t="n"/>
      <c r="O464" s="18" t="n"/>
      <c r="P464" s="18" t="n"/>
      <c r="Q464" s="16" t="n"/>
    </row>
    <row r="465">
      <c r="E465" s="15" t="n"/>
      <c r="F465" s="15" t="n"/>
      <c r="G465" s="15" t="n"/>
      <c r="H465" s="16" t="n"/>
      <c r="I465" s="16" t="n"/>
      <c r="J465" s="17" t="n"/>
      <c r="K465" s="17" t="n"/>
      <c r="L465" s="17" t="n"/>
      <c r="M465" s="16" t="n"/>
      <c r="N465" s="16" t="n"/>
      <c r="O465" s="18" t="n"/>
      <c r="P465" s="18" t="n"/>
      <c r="Q465" s="16" t="n"/>
    </row>
    <row r="466">
      <c r="E466" s="15" t="n"/>
      <c r="F466" s="15" t="n"/>
      <c r="G466" s="15" t="n"/>
      <c r="H466" s="16" t="n"/>
      <c r="I466" s="16" t="n"/>
      <c r="J466" s="17" t="n"/>
      <c r="K466" s="17" t="n"/>
      <c r="L466" s="17" t="n"/>
      <c r="M466" s="16" t="n"/>
      <c r="N466" s="16" t="n"/>
      <c r="O466" s="18" t="n"/>
      <c r="P466" s="18" t="n"/>
      <c r="Q466" s="16" t="n"/>
    </row>
    <row r="467">
      <c r="E467" s="15" t="n"/>
      <c r="F467" s="15" t="n"/>
      <c r="G467" s="15" t="n"/>
      <c r="H467" s="16" t="n"/>
      <c r="I467" s="16" t="n"/>
      <c r="J467" s="17" t="n"/>
      <c r="K467" s="17" t="n"/>
      <c r="L467" s="17" t="n"/>
      <c r="M467" s="16" t="n"/>
      <c r="N467" s="16" t="n"/>
      <c r="O467" s="18" t="n"/>
      <c r="P467" s="18" t="n"/>
      <c r="Q467" s="16" t="n"/>
    </row>
    <row r="468">
      <c r="E468" s="15" t="n"/>
      <c r="F468" s="15" t="n"/>
      <c r="G468" s="15" t="n"/>
      <c r="H468" s="16" t="n"/>
      <c r="I468" s="16" t="n"/>
      <c r="J468" s="17" t="n"/>
      <c r="K468" s="17" t="n"/>
      <c r="L468" s="17" t="n"/>
      <c r="M468" s="16" t="n"/>
      <c r="N468" s="16" t="n"/>
      <c r="O468" s="18" t="n"/>
      <c r="P468" s="18" t="n"/>
      <c r="Q468" s="16" t="n"/>
    </row>
    <row r="469">
      <c r="E469" s="15" t="n"/>
      <c r="F469" s="15" t="n"/>
      <c r="G469" s="15" t="n"/>
      <c r="H469" s="16" t="n"/>
      <c r="I469" s="16" t="n"/>
      <c r="J469" s="17" t="n"/>
      <c r="K469" s="17" t="n"/>
      <c r="L469" s="17" t="n"/>
      <c r="M469" s="16" t="n"/>
      <c r="N469" s="16" t="n"/>
      <c r="O469" s="18" t="n"/>
      <c r="P469" s="18" t="n"/>
      <c r="Q469" s="16" t="n"/>
    </row>
    <row r="470">
      <c r="E470" s="15" t="n"/>
      <c r="F470" s="15" t="n"/>
      <c r="G470" s="15" t="n"/>
      <c r="H470" s="16" t="n"/>
      <c r="I470" s="16" t="n"/>
      <c r="J470" s="17" t="n"/>
      <c r="K470" s="17" t="n"/>
      <c r="L470" s="17" t="n"/>
      <c r="M470" s="16" t="n"/>
      <c r="N470" s="16" t="n"/>
      <c r="O470" s="18" t="n"/>
      <c r="P470" s="18" t="n"/>
      <c r="Q470" s="16" t="n"/>
    </row>
    <row r="471">
      <c r="E471" s="15" t="n"/>
      <c r="F471" s="15" t="n"/>
      <c r="G471" s="15" t="n"/>
      <c r="H471" s="16" t="n"/>
      <c r="I471" s="16" t="n"/>
      <c r="J471" s="17" t="n"/>
      <c r="K471" s="17" t="n"/>
      <c r="L471" s="17" t="n"/>
      <c r="M471" s="16" t="n"/>
      <c r="N471" s="16" t="n"/>
      <c r="O471" s="18" t="n"/>
      <c r="P471" s="18" t="n"/>
      <c r="Q471" s="16" t="n"/>
    </row>
    <row r="472">
      <c r="E472" s="15" t="n"/>
      <c r="F472" s="15" t="n"/>
      <c r="G472" s="15" t="n"/>
      <c r="H472" s="16" t="n"/>
      <c r="I472" s="16" t="n"/>
      <c r="J472" s="17" t="n"/>
      <c r="K472" s="17" t="n"/>
      <c r="L472" s="17" t="n"/>
      <c r="M472" s="16" t="n"/>
      <c r="N472" s="16" t="n"/>
      <c r="O472" s="18" t="n"/>
      <c r="P472" s="18" t="n"/>
      <c r="Q472" s="16" t="n"/>
    </row>
    <row r="473">
      <c r="E473" s="15" t="n"/>
      <c r="F473" s="15" t="n"/>
      <c r="G473" s="15" t="n"/>
      <c r="H473" s="16" t="n"/>
      <c r="I473" s="16" t="n"/>
      <c r="J473" s="17" t="n"/>
      <c r="K473" s="17" t="n"/>
      <c r="L473" s="17" t="n"/>
      <c r="M473" s="16" t="n"/>
      <c r="N473" s="16" t="n"/>
      <c r="O473" s="18" t="n"/>
      <c r="P473" s="18" t="n"/>
      <c r="Q473" s="16" t="n"/>
    </row>
    <row r="474">
      <c r="E474" s="15" t="n"/>
      <c r="F474" s="15" t="n"/>
      <c r="G474" s="15" t="n"/>
      <c r="H474" s="16" t="n"/>
      <c r="I474" s="16" t="n"/>
      <c r="J474" s="17" t="n"/>
      <c r="K474" s="17" t="n"/>
      <c r="L474" s="17" t="n"/>
      <c r="M474" s="16" t="n"/>
      <c r="N474" s="16" t="n"/>
      <c r="O474" s="18" t="n"/>
      <c r="P474" s="18" t="n"/>
      <c r="Q474" s="16" t="n"/>
    </row>
    <row r="475">
      <c r="E475" s="15" t="n"/>
      <c r="F475" s="15" t="n"/>
      <c r="G475" s="15" t="n"/>
      <c r="H475" s="16" t="n"/>
      <c r="I475" s="16" t="n"/>
      <c r="J475" s="17" t="n"/>
      <c r="K475" s="17" t="n"/>
      <c r="L475" s="17" t="n"/>
      <c r="M475" s="16" t="n"/>
      <c r="N475" s="16" t="n"/>
      <c r="O475" s="18" t="n"/>
      <c r="P475" s="18" t="n"/>
      <c r="Q475" s="16" t="n"/>
    </row>
    <row r="476">
      <c r="E476" s="15" t="n"/>
      <c r="F476" s="15" t="n"/>
      <c r="G476" s="15" t="n"/>
      <c r="H476" s="16" t="n"/>
      <c r="I476" s="16" t="n"/>
      <c r="J476" s="17" t="n"/>
      <c r="K476" s="17" t="n"/>
      <c r="L476" s="17" t="n"/>
      <c r="M476" s="16" t="n"/>
      <c r="N476" s="16" t="n"/>
      <c r="O476" s="18" t="n"/>
      <c r="P476" s="18" t="n"/>
      <c r="Q476" s="16" t="n"/>
    </row>
    <row r="477">
      <c r="E477" s="15" t="n"/>
      <c r="F477" s="15" t="n"/>
      <c r="G477" s="15" t="n"/>
      <c r="H477" s="16" t="n"/>
      <c r="I477" s="16" t="n"/>
      <c r="J477" s="17" t="n"/>
      <c r="K477" s="17" t="n"/>
      <c r="L477" s="17" t="n"/>
      <c r="M477" s="16" t="n"/>
      <c r="N477" s="16" t="n"/>
      <c r="O477" s="18" t="n"/>
      <c r="P477" s="18" t="n"/>
      <c r="Q477" s="16" t="n"/>
    </row>
    <row r="478">
      <c r="E478" s="15" t="n"/>
      <c r="F478" s="15" t="n"/>
      <c r="G478" s="15" t="n"/>
      <c r="H478" s="16" t="n"/>
      <c r="I478" s="16" t="n"/>
      <c r="J478" s="17" t="n"/>
      <c r="K478" s="17" t="n"/>
      <c r="L478" s="17" t="n"/>
      <c r="M478" s="16" t="n"/>
      <c r="N478" s="16" t="n"/>
      <c r="O478" s="18" t="n"/>
      <c r="P478" s="18" t="n"/>
      <c r="Q478" s="16" t="n"/>
    </row>
    <row r="479">
      <c r="E479" s="15" t="n"/>
      <c r="F479" s="15" t="n"/>
      <c r="G479" s="15" t="n"/>
      <c r="H479" s="16" t="n"/>
      <c r="I479" s="16" t="n"/>
      <c r="J479" s="17" t="n"/>
      <c r="K479" s="17" t="n"/>
      <c r="L479" s="17" t="n"/>
      <c r="M479" s="16" t="n"/>
      <c r="N479" s="16" t="n"/>
      <c r="O479" s="18" t="n"/>
      <c r="P479" s="18" t="n"/>
      <c r="Q479" s="16" t="n"/>
    </row>
    <row r="480">
      <c r="E480" s="15" t="n"/>
      <c r="F480" s="15" t="n"/>
      <c r="G480" s="15" t="n"/>
      <c r="H480" s="16" t="n"/>
      <c r="I480" s="16" t="n"/>
      <c r="J480" s="17" t="n"/>
      <c r="K480" s="17" t="n"/>
      <c r="L480" s="17" t="n"/>
      <c r="M480" s="16" t="n"/>
      <c r="N480" s="16" t="n"/>
      <c r="O480" s="18" t="n"/>
      <c r="P480" s="18" t="n"/>
      <c r="Q480" s="16" t="n"/>
    </row>
    <row r="481">
      <c r="E481" s="15" t="n"/>
      <c r="F481" s="15" t="n"/>
      <c r="G481" s="15" t="n"/>
      <c r="H481" s="16" t="n"/>
      <c r="I481" s="16" t="n"/>
      <c r="J481" s="17" t="n"/>
      <c r="K481" s="17" t="n"/>
      <c r="L481" s="17" t="n"/>
      <c r="M481" s="16" t="n"/>
      <c r="N481" s="16" t="n"/>
      <c r="O481" s="18" t="n"/>
      <c r="P481" s="18" t="n"/>
      <c r="Q481" s="16" t="n"/>
    </row>
    <row r="482">
      <c r="E482" s="15" t="n"/>
      <c r="F482" s="15" t="n"/>
      <c r="G482" s="15" t="n"/>
      <c r="H482" s="16" t="n"/>
      <c r="I482" s="16" t="n"/>
      <c r="J482" s="17" t="n"/>
      <c r="K482" s="17" t="n"/>
      <c r="L482" s="17" t="n"/>
      <c r="M482" s="16" t="n"/>
      <c r="N482" s="16" t="n"/>
      <c r="O482" s="18" t="n"/>
      <c r="P482" s="18" t="n"/>
      <c r="Q482" s="16" t="n"/>
    </row>
    <row r="483">
      <c r="E483" s="15" t="n"/>
      <c r="F483" s="15" t="n"/>
      <c r="G483" s="15" t="n"/>
      <c r="H483" s="16" t="n"/>
      <c r="I483" s="16" t="n"/>
      <c r="J483" s="17" t="n"/>
      <c r="K483" s="17" t="n"/>
      <c r="L483" s="17" t="n"/>
      <c r="M483" s="16" t="n"/>
      <c r="N483" s="16" t="n"/>
      <c r="O483" s="18" t="n"/>
      <c r="P483" s="18" t="n"/>
      <c r="Q483" s="16" t="n"/>
    </row>
    <row r="484">
      <c r="E484" s="15" t="n"/>
      <c r="F484" s="15" t="n"/>
      <c r="G484" s="15" t="n"/>
      <c r="H484" s="16" t="n"/>
      <c r="I484" s="16" t="n"/>
      <c r="J484" s="17" t="n"/>
      <c r="K484" s="17" t="n"/>
      <c r="L484" s="17" t="n"/>
      <c r="M484" s="16" t="n"/>
      <c r="N484" s="16" t="n"/>
      <c r="O484" s="18" t="n"/>
      <c r="P484" s="18" t="n"/>
      <c r="Q484" s="16" t="n"/>
    </row>
    <row r="485">
      <c r="E485" s="15" t="n"/>
      <c r="F485" s="15" t="n"/>
      <c r="G485" s="15" t="n"/>
      <c r="H485" s="16" t="n"/>
      <c r="I485" s="16" t="n"/>
      <c r="J485" s="17" t="n"/>
      <c r="K485" s="17" t="n"/>
      <c r="L485" s="17" t="n"/>
      <c r="M485" s="16" t="n"/>
      <c r="N485" s="16" t="n"/>
      <c r="O485" s="18" t="n"/>
      <c r="P485" s="18" t="n"/>
      <c r="Q485" s="16" t="n"/>
    </row>
    <row r="486">
      <c r="E486" s="15" t="n"/>
      <c r="F486" s="15" t="n"/>
      <c r="G486" s="15" t="n"/>
      <c r="H486" s="16" t="n"/>
      <c r="I486" s="16" t="n"/>
      <c r="J486" s="17" t="n"/>
      <c r="K486" s="17" t="n"/>
      <c r="L486" s="17" t="n"/>
      <c r="M486" s="16" t="n"/>
      <c r="N486" s="16" t="n"/>
      <c r="O486" s="18" t="n"/>
      <c r="P486" s="18" t="n"/>
      <c r="Q486" s="16" t="n"/>
    </row>
    <row r="487">
      <c r="E487" s="15" t="n"/>
      <c r="F487" s="15" t="n"/>
      <c r="G487" s="15" t="n"/>
      <c r="H487" s="16" t="n"/>
      <c r="I487" s="16" t="n"/>
      <c r="J487" s="17" t="n"/>
      <c r="K487" s="17" t="n"/>
      <c r="L487" s="17" t="n"/>
      <c r="M487" s="16" t="n"/>
      <c r="N487" s="16" t="n"/>
      <c r="O487" s="18" t="n"/>
      <c r="P487" s="18" t="n"/>
      <c r="Q487" s="16" t="n"/>
    </row>
    <row r="488">
      <c r="E488" s="15" t="n"/>
      <c r="F488" s="15" t="n"/>
      <c r="G488" s="15" t="n"/>
      <c r="H488" s="16" t="n"/>
      <c r="I488" s="16" t="n"/>
      <c r="J488" s="17" t="n"/>
      <c r="K488" s="17" t="n"/>
      <c r="L488" s="17" t="n"/>
      <c r="M488" s="16" t="n"/>
      <c r="N488" s="16" t="n"/>
      <c r="O488" s="18" t="n"/>
      <c r="P488" s="18" t="n"/>
      <c r="Q488" s="16" t="n"/>
    </row>
    <row r="489">
      <c r="E489" s="15" t="n"/>
      <c r="F489" s="15" t="n"/>
      <c r="G489" s="15" t="n"/>
      <c r="H489" s="16" t="n"/>
      <c r="I489" s="16" t="n"/>
      <c r="J489" s="17" t="n"/>
      <c r="K489" s="17" t="n"/>
      <c r="L489" s="17" t="n"/>
      <c r="M489" s="16" t="n"/>
      <c r="N489" s="16" t="n"/>
      <c r="O489" s="18" t="n"/>
      <c r="P489" s="18" t="n"/>
      <c r="Q489" s="16" t="n"/>
    </row>
    <row r="490">
      <c r="E490" s="15" t="n"/>
      <c r="F490" s="15" t="n"/>
      <c r="G490" s="15" t="n"/>
      <c r="H490" s="16" t="n"/>
      <c r="I490" s="16" t="n"/>
      <c r="J490" s="17" t="n"/>
      <c r="K490" s="17" t="n"/>
      <c r="L490" s="17" t="n"/>
      <c r="M490" s="16" t="n"/>
      <c r="N490" s="16" t="n"/>
      <c r="O490" s="18" t="n"/>
      <c r="P490" s="18" t="n"/>
      <c r="Q490" s="16" t="n"/>
    </row>
    <row r="491">
      <c r="E491" s="15" t="n"/>
      <c r="F491" s="15" t="n"/>
      <c r="G491" s="15" t="n"/>
      <c r="H491" s="16" t="n"/>
      <c r="I491" s="16" t="n"/>
      <c r="J491" s="17" t="n"/>
      <c r="K491" s="17" t="n"/>
      <c r="L491" s="17" t="n"/>
      <c r="M491" s="16" t="n"/>
      <c r="N491" s="16" t="n"/>
      <c r="O491" s="18" t="n"/>
      <c r="P491" s="18" t="n"/>
      <c r="Q491" s="16" t="n"/>
    </row>
    <row r="492">
      <c r="E492" s="15" t="n"/>
      <c r="F492" s="15" t="n"/>
      <c r="G492" s="15" t="n"/>
      <c r="H492" s="16" t="n"/>
      <c r="I492" s="16" t="n"/>
      <c r="J492" s="17" t="n"/>
      <c r="K492" s="17" t="n"/>
      <c r="L492" s="17" t="n"/>
      <c r="M492" s="16" t="n"/>
      <c r="N492" s="16" t="n"/>
      <c r="O492" s="18" t="n"/>
      <c r="P492" s="18" t="n"/>
      <c r="Q492" s="16" t="n"/>
    </row>
    <row r="493">
      <c r="E493" s="15" t="n"/>
      <c r="F493" s="15" t="n"/>
      <c r="G493" s="15" t="n"/>
      <c r="H493" s="16" t="n"/>
      <c r="I493" s="16" t="n"/>
      <c r="J493" s="17" t="n"/>
      <c r="K493" s="17" t="n"/>
      <c r="L493" s="17" t="n"/>
      <c r="M493" s="16" t="n"/>
      <c r="N493" s="16" t="n"/>
      <c r="O493" s="18" t="n"/>
      <c r="P493" s="18" t="n"/>
      <c r="Q493" s="16" t="n"/>
    </row>
    <row r="494">
      <c r="E494" s="15" t="n"/>
      <c r="F494" s="15" t="n"/>
      <c r="G494" s="15" t="n"/>
      <c r="H494" s="16" t="n"/>
      <c r="I494" s="16" t="n"/>
      <c r="J494" s="17" t="n"/>
      <c r="K494" s="17" t="n"/>
      <c r="L494" s="17" t="n"/>
      <c r="M494" s="16" t="n"/>
      <c r="N494" s="16" t="n"/>
      <c r="O494" s="18" t="n"/>
      <c r="P494" s="18" t="n"/>
      <c r="Q494" s="16" t="n"/>
    </row>
    <row r="495">
      <c r="E495" s="15" t="n"/>
      <c r="F495" s="15" t="n"/>
      <c r="G495" s="15" t="n"/>
      <c r="H495" s="16" t="n"/>
      <c r="I495" s="16" t="n"/>
      <c r="J495" s="17" t="n"/>
      <c r="K495" s="17" t="n"/>
      <c r="L495" s="17" t="n"/>
      <c r="M495" s="16" t="n"/>
      <c r="N495" s="16" t="n"/>
      <c r="O495" s="18" t="n"/>
      <c r="P495" s="18" t="n"/>
      <c r="Q495" s="16" t="n"/>
    </row>
    <row r="496">
      <c r="E496" s="15" t="n"/>
      <c r="F496" s="15" t="n"/>
      <c r="G496" s="15" t="n"/>
      <c r="H496" s="16" t="n"/>
      <c r="I496" s="16" t="n"/>
      <c r="J496" s="17" t="n"/>
      <c r="K496" s="17" t="n"/>
      <c r="L496" s="17" t="n"/>
      <c r="M496" s="16" t="n"/>
      <c r="N496" s="16" t="n"/>
      <c r="O496" s="18" t="n"/>
      <c r="P496" s="18" t="n"/>
      <c r="Q496" s="16" t="n"/>
    </row>
    <row r="497">
      <c r="E497" s="15" t="n"/>
      <c r="F497" s="15" t="n"/>
      <c r="G497" s="15" t="n"/>
      <c r="H497" s="16" t="n"/>
      <c r="I497" s="16" t="n"/>
      <c r="J497" s="17" t="n"/>
      <c r="K497" s="17" t="n"/>
      <c r="L497" s="17" t="n"/>
      <c r="M497" s="16" t="n"/>
      <c r="N497" s="16" t="n"/>
      <c r="O497" s="18" t="n"/>
      <c r="P497" s="18" t="n"/>
      <c r="Q497" s="16" t="n"/>
    </row>
    <row r="498">
      <c r="E498" s="15" t="n"/>
      <c r="F498" s="15" t="n"/>
      <c r="G498" s="15" t="n"/>
      <c r="H498" s="16" t="n"/>
      <c r="I498" s="16" t="n"/>
      <c r="J498" s="17" t="n"/>
      <c r="K498" s="17" t="n"/>
      <c r="L498" s="17" t="n"/>
      <c r="M498" s="16" t="n"/>
      <c r="N498" s="16" t="n"/>
      <c r="O498" s="18" t="n"/>
      <c r="P498" s="18" t="n"/>
      <c r="Q498" s="16" t="n"/>
    </row>
    <row r="499">
      <c r="E499" s="15" t="n"/>
      <c r="F499" s="15" t="n"/>
      <c r="G499" s="15" t="n"/>
      <c r="H499" s="16" t="n"/>
      <c r="I499" s="16" t="n"/>
      <c r="J499" s="17" t="n"/>
      <c r="K499" s="17" t="n"/>
      <c r="L499" s="17" t="n"/>
      <c r="M499" s="16" t="n"/>
      <c r="N499" s="16" t="n"/>
      <c r="O499" s="18" t="n"/>
      <c r="P499" s="18" t="n"/>
      <c r="Q499" s="16" t="n"/>
    </row>
    <row r="500">
      <c r="E500" s="15" t="n"/>
      <c r="F500" s="15" t="n"/>
      <c r="G500" s="15" t="n"/>
      <c r="H500" s="16" t="n"/>
      <c r="I500" s="16" t="n"/>
      <c r="J500" s="17" t="n"/>
      <c r="K500" s="17" t="n"/>
      <c r="L500" s="17" t="n"/>
      <c r="M500" s="16" t="n"/>
      <c r="N500" s="16" t="n"/>
      <c r="O500" s="18" t="n"/>
      <c r="P500" s="18" t="n"/>
      <c r="Q500" s="16" t="n"/>
    </row>
    <row r="501">
      <c r="E501" s="15" t="n"/>
      <c r="F501" s="15" t="n"/>
      <c r="G501" s="15" t="n"/>
      <c r="H501" s="16" t="n"/>
      <c r="I501" s="16" t="n"/>
      <c r="J501" s="17" t="n"/>
      <c r="K501" s="17" t="n"/>
      <c r="L501" s="17" t="n"/>
      <c r="M501" s="16" t="n"/>
      <c r="N501" s="16" t="n"/>
      <c r="O501" s="18" t="n"/>
      <c r="P501" s="18" t="n"/>
      <c r="Q501" s="16" t="n"/>
    </row>
    <row r="502">
      <c r="E502" s="15" t="n"/>
      <c r="F502" s="15" t="n"/>
      <c r="G502" s="15" t="n"/>
      <c r="H502" s="16" t="n"/>
      <c r="I502" s="16" t="n"/>
      <c r="J502" s="17" t="n"/>
      <c r="K502" s="17" t="n"/>
      <c r="L502" s="17" t="n"/>
      <c r="M502" s="16" t="n"/>
      <c r="N502" s="16" t="n"/>
      <c r="O502" s="18" t="n"/>
      <c r="P502" s="18" t="n"/>
      <c r="Q502" s="16" t="n"/>
    </row>
    <row r="503">
      <c r="E503" s="15" t="n"/>
      <c r="F503" s="15" t="n"/>
      <c r="G503" s="15" t="n"/>
      <c r="H503" s="16" t="n"/>
      <c r="I503" s="16" t="n"/>
      <c r="J503" s="17" t="n"/>
      <c r="K503" s="17" t="n"/>
      <c r="L503" s="17" t="n"/>
      <c r="M503" s="16" t="n"/>
      <c r="N503" s="16" t="n"/>
      <c r="O503" s="18" t="n"/>
      <c r="P503" s="18" t="n"/>
      <c r="Q503" s="16" t="n"/>
    </row>
    <row r="504">
      <c r="E504" s="15" t="n"/>
      <c r="F504" s="15" t="n"/>
      <c r="G504" s="15" t="n"/>
      <c r="H504" s="16" t="n"/>
      <c r="I504" s="16" t="n"/>
      <c r="J504" s="17" t="n"/>
      <c r="K504" s="17" t="n"/>
      <c r="L504" s="17" t="n"/>
      <c r="M504" s="16" t="n"/>
      <c r="N504" s="16" t="n"/>
      <c r="O504" s="18" t="n"/>
      <c r="P504" s="18" t="n"/>
      <c r="Q504" s="16" t="n"/>
    </row>
    <row r="505">
      <c r="E505" s="15" t="n"/>
      <c r="F505" s="15" t="n"/>
      <c r="G505" s="15" t="n"/>
      <c r="H505" s="16" t="n"/>
      <c r="I505" s="16" t="n"/>
      <c r="J505" s="17" t="n"/>
      <c r="K505" s="17" t="n"/>
      <c r="L505" s="17" t="n"/>
      <c r="M505" s="16" t="n"/>
      <c r="N505" s="16" t="n"/>
      <c r="O505" s="18" t="n"/>
      <c r="P505" s="18" t="n"/>
      <c r="Q505" s="16" t="n"/>
    </row>
    <row r="506">
      <c r="E506" s="15" t="n"/>
      <c r="F506" s="15" t="n"/>
      <c r="G506" s="15" t="n"/>
      <c r="H506" s="16" t="n"/>
      <c r="I506" s="16" t="n"/>
      <c r="J506" s="17" t="n"/>
      <c r="K506" s="17" t="n"/>
      <c r="L506" s="17" t="n"/>
      <c r="M506" s="16" t="n"/>
      <c r="N506" s="16" t="n"/>
      <c r="O506" s="18" t="n"/>
      <c r="P506" s="18" t="n"/>
      <c r="Q506" s="16" t="n"/>
    </row>
    <row r="507">
      <c r="E507" s="15" t="n"/>
      <c r="F507" s="15" t="n"/>
      <c r="G507" s="15" t="n"/>
      <c r="H507" s="16" t="n"/>
      <c r="I507" s="16" t="n"/>
      <c r="J507" s="17" t="n"/>
      <c r="K507" s="17" t="n"/>
      <c r="L507" s="17" t="n"/>
      <c r="M507" s="16" t="n"/>
      <c r="N507" s="16" t="n"/>
      <c r="O507" s="18" t="n"/>
      <c r="P507" s="18" t="n"/>
      <c r="Q507" s="16" t="n"/>
    </row>
    <row r="508">
      <c r="E508" s="15" t="n"/>
      <c r="F508" s="15" t="n"/>
      <c r="G508" s="15" t="n"/>
      <c r="H508" s="16" t="n"/>
      <c r="I508" s="16" t="n"/>
      <c r="J508" s="17" t="n"/>
      <c r="K508" s="17" t="n"/>
      <c r="L508" s="17" t="n"/>
      <c r="M508" s="16" t="n"/>
      <c r="N508" s="16" t="n"/>
      <c r="O508" s="18" t="n"/>
      <c r="P508" s="18" t="n"/>
      <c r="Q508" s="16" t="n"/>
    </row>
    <row r="509">
      <c r="E509" s="15" t="n"/>
      <c r="F509" s="15" t="n"/>
      <c r="G509" s="15" t="n"/>
      <c r="H509" s="16" t="n"/>
      <c r="I509" s="16" t="n"/>
      <c r="J509" s="17" t="n"/>
      <c r="K509" s="17" t="n"/>
      <c r="L509" s="17" t="n"/>
      <c r="M509" s="16" t="n"/>
      <c r="N509" s="16" t="n"/>
      <c r="O509" s="18" t="n"/>
      <c r="P509" s="18" t="n"/>
      <c r="Q509" s="16" t="n"/>
    </row>
    <row r="510">
      <c r="E510" s="15" t="n"/>
      <c r="F510" s="15" t="n"/>
      <c r="G510" s="15" t="n"/>
      <c r="H510" s="16" t="n"/>
      <c r="I510" s="16" t="n"/>
      <c r="J510" s="17" t="n"/>
      <c r="K510" s="17" t="n"/>
      <c r="L510" s="17" t="n"/>
      <c r="M510" s="16" t="n"/>
      <c r="N510" s="16" t="n"/>
      <c r="O510" s="18" t="n"/>
      <c r="P510" s="18" t="n"/>
      <c r="Q510" s="16" t="n"/>
    </row>
    <row r="511">
      <c r="E511" s="15" t="n"/>
      <c r="F511" s="15" t="n"/>
      <c r="G511" s="15" t="n"/>
      <c r="H511" s="16" t="n"/>
      <c r="I511" s="16" t="n"/>
      <c r="J511" s="17" t="n"/>
      <c r="K511" s="17" t="n"/>
      <c r="L511" s="17" t="n"/>
      <c r="M511" s="16" t="n"/>
      <c r="N511" s="16" t="n"/>
      <c r="O511" s="18" t="n"/>
      <c r="P511" s="18" t="n"/>
      <c r="Q511" s="16" t="n"/>
    </row>
    <row r="512">
      <c r="E512" s="15" t="n"/>
      <c r="F512" s="15" t="n"/>
      <c r="G512" s="15" t="n"/>
      <c r="H512" s="16" t="n"/>
      <c r="I512" s="16" t="n"/>
      <c r="J512" s="17" t="n"/>
      <c r="K512" s="17" t="n"/>
      <c r="L512" s="17" t="n"/>
      <c r="M512" s="16" t="n"/>
      <c r="N512" s="16" t="n"/>
      <c r="O512" s="18" t="n"/>
      <c r="P512" s="18" t="n"/>
      <c r="Q512" s="16" t="n"/>
    </row>
    <row r="513">
      <c r="E513" s="15" t="n"/>
      <c r="F513" s="15" t="n"/>
      <c r="G513" s="15" t="n"/>
      <c r="H513" s="16" t="n"/>
      <c r="I513" s="16" t="n"/>
      <c r="J513" s="17" t="n"/>
      <c r="K513" s="17" t="n"/>
      <c r="L513" s="17" t="n"/>
      <c r="M513" s="16" t="n"/>
      <c r="N513" s="16" t="n"/>
      <c r="O513" s="18" t="n"/>
      <c r="P513" s="18" t="n"/>
      <c r="Q513" s="16" t="n"/>
    </row>
    <row r="514">
      <c r="E514" s="15" t="n"/>
      <c r="F514" s="15" t="n"/>
      <c r="G514" s="15" t="n"/>
      <c r="H514" s="16" t="n"/>
      <c r="I514" s="16" t="n"/>
      <c r="J514" s="17" t="n"/>
      <c r="K514" s="17" t="n"/>
      <c r="L514" s="17" t="n"/>
      <c r="M514" s="16" t="n"/>
      <c r="N514" s="16" t="n"/>
      <c r="O514" s="18" t="n"/>
      <c r="P514" s="18" t="n"/>
      <c r="Q514" s="16" t="n"/>
    </row>
    <row r="515">
      <c r="E515" s="15" t="n"/>
      <c r="F515" s="15" t="n"/>
      <c r="G515" s="15" t="n"/>
      <c r="H515" s="16" t="n"/>
      <c r="I515" s="16" t="n"/>
      <c r="J515" s="17" t="n"/>
      <c r="K515" s="17" t="n"/>
      <c r="L515" s="17" t="n"/>
      <c r="M515" s="16" t="n"/>
      <c r="N515" s="16" t="n"/>
      <c r="O515" s="18" t="n"/>
      <c r="P515" s="18" t="n"/>
      <c r="Q515" s="16" t="n"/>
    </row>
    <row r="516">
      <c r="E516" s="15" t="n"/>
      <c r="F516" s="15" t="n"/>
      <c r="G516" s="15" t="n"/>
      <c r="H516" s="16" t="n"/>
      <c r="I516" s="16" t="n"/>
      <c r="J516" s="17" t="n"/>
      <c r="K516" s="17" t="n"/>
      <c r="L516" s="17" t="n"/>
      <c r="M516" s="16" t="n"/>
      <c r="N516" s="16" t="n"/>
      <c r="O516" s="18" t="n"/>
      <c r="P516" s="18" t="n"/>
      <c r="Q516" s="16" t="n"/>
    </row>
    <row r="517">
      <c r="E517" s="15" t="n"/>
      <c r="F517" s="15" t="n"/>
      <c r="G517" s="15" t="n"/>
      <c r="H517" s="16" t="n"/>
      <c r="I517" s="16" t="n"/>
      <c r="J517" s="17" t="n"/>
      <c r="K517" s="17" t="n"/>
      <c r="L517" s="17" t="n"/>
      <c r="M517" s="16" t="n"/>
      <c r="N517" s="16" t="n"/>
      <c r="O517" s="18" t="n"/>
      <c r="P517" s="18" t="n"/>
      <c r="Q517" s="16" t="n"/>
    </row>
    <row r="518">
      <c r="E518" s="15" t="n"/>
      <c r="F518" s="15" t="n"/>
      <c r="G518" s="15" t="n"/>
      <c r="H518" s="16" t="n"/>
      <c r="I518" s="16" t="n"/>
      <c r="J518" s="17" t="n"/>
      <c r="K518" s="17" t="n"/>
      <c r="L518" s="17" t="n"/>
      <c r="M518" s="16" t="n"/>
      <c r="N518" s="16" t="n"/>
      <c r="O518" s="18" t="n"/>
      <c r="P518" s="18" t="n"/>
      <c r="Q518" s="16" t="n"/>
    </row>
    <row r="519">
      <c r="E519" s="15" t="n"/>
      <c r="F519" s="15" t="n"/>
      <c r="G519" s="15" t="n"/>
      <c r="H519" s="16" t="n"/>
      <c r="I519" s="16" t="n"/>
      <c r="J519" s="17" t="n"/>
      <c r="K519" s="17" t="n"/>
      <c r="L519" s="17" t="n"/>
      <c r="M519" s="16" t="n"/>
      <c r="N519" s="16" t="n"/>
      <c r="O519" s="18" t="n"/>
      <c r="P519" s="18" t="n"/>
      <c r="Q519" s="16" t="n"/>
    </row>
    <row r="520">
      <c r="E520" s="15" t="n"/>
      <c r="F520" s="15" t="n"/>
      <c r="G520" s="15" t="n"/>
      <c r="H520" s="16" t="n"/>
      <c r="I520" s="16" t="n"/>
      <c r="J520" s="17" t="n"/>
      <c r="K520" s="17" t="n"/>
      <c r="L520" s="17" t="n"/>
      <c r="M520" s="16" t="n"/>
      <c r="N520" s="16" t="n"/>
      <c r="O520" s="18" t="n"/>
      <c r="P520" s="18" t="n"/>
      <c r="Q520" s="16" t="n"/>
    </row>
    <row r="521">
      <c r="E521" s="15" t="n"/>
      <c r="F521" s="15" t="n"/>
      <c r="G521" s="15" t="n"/>
      <c r="H521" s="16" t="n"/>
      <c r="I521" s="16" t="n"/>
      <c r="J521" s="17" t="n"/>
      <c r="K521" s="17" t="n"/>
      <c r="L521" s="17" t="n"/>
      <c r="M521" s="16" t="n"/>
      <c r="N521" s="16" t="n"/>
      <c r="O521" s="18" t="n"/>
      <c r="P521" s="18" t="n"/>
      <c r="Q521" s="16" t="n"/>
    </row>
    <row r="522">
      <c r="E522" s="15" t="n"/>
      <c r="F522" s="15" t="n"/>
      <c r="G522" s="15" t="n"/>
      <c r="H522" s="16" t="n"/>
      <c r="I522" s="16" t="n"/>
      <c r="J522" s="17" t="n"/>
      <c r="K522" s="17" t="n"/>
      <c r="L522" s="17" t="n"/>
      <c r="M522" s="16" t="n"/>
      <c r="N522" s="16" t="n"/>
      <c r="O522" s="18" t="n"/>
      <c r="P522" s="18" t="n"/>
      <c r="Q522" s="16" t="n"/>
    </row>
    <row r="523">
      <c r="E523" s="15" t="n"/>
      <c r="F523" s="15" t="n"/>
      <c r="G523" s="15" t="n"/>
      <c r="H523" s="16" t="n"/>
      <c r="I523" s="16" t="n"/>
      <c r="J523" s="17" t="n"/>
      <c r="K523" s="17" t="n"/>
      <c r="L523" s="17" t="n"/>
      <c r="M523" s="16" t="n"/>
      <c r="N523" s="16" t="n"/>
      <c r="O523" s="18" t="n"/>
      <c r="P523" s="18" t="n"/>
      <c r="Q523" s="16" t="n"/>
    </row>
    <row r="524">
      <c r="E524" s="15" t="n"/>
      <c r="F524" s="15" t="n"/>
      <c r="G524" s="15" t="n"/>
      <c r="H524" s="16" t="n"/>
      <c r="I524" s="16" t="n"/>
      <c r="J524" s="17" t="n"/>
      <c r="K524" s="17" t="n"/>
      <c r="L524" s="17" t="n"/>
      <c r="M524" s="16" t="n"/>
      <c r="N524" s="16" t="n"/>
      <c r="O524" s="18" t="n"/>
      <c r="P524" s="18" t="n"/>
      <c r="Q524" s="16" t="n"/>
    </row>
    <row r="525">
      <c r="E525" s="15" t="n"/>
      <c r="F525" s="15" t="n"/>
      <c r="G525" s="15" t="n"/>
      <c r="H525" s="16" t="n"/>
      <c r="I525" s="16" t="n"/>
      <c r="J525" s="17" t="n"/>
      <c r="K525" s="17" t="n"/>
      <c r="L525" s="17" t="n"/>
      <c r="M525" s="16" t="n"/>
      <c r="N525" s="16" t="n"/>
      <c r="O525" s="18" t="n"/>
      <c r="P525" s="18" t="n"/>
      <c r="Q525" s="16" t="n"/>
    </row>
    <row r="526">
      <c r="E526" s="15" t="n"/>
      <c r="F526" s="15" t="n"/>
      <c r="G526" s="15" t="n"/>
      <c r="H526" s="16" t="n"/>
      <c r="I526" s="16" t="n"/>
      <c r="J526" s="17" t="n"/>
      <c r="K526" s="17" t="n"/>
      <c r="L526" s="17" t="n"/>
      <c r="M526" s="16" t="n"/>
      <c r="N526" s="16" t="n"/>
      <c r="O526" s="18" t="n"/>
      <c r="P526" s="18" t="n"/>
      <c r="Q526" s="16" t="n"/>
    </row>
    <row r="527">
      <c r="E527" s="15" t="n"/>
      <c r="F527" s="15" t="n"/>
      <c r="G527" s="15" t="n"/>
      <c r="H527" s="16" t="n"/>
      <c r="I527" s="16" t="n"/>
      <c r="J527" s="17" t="n"/>
      <c r="K527" s="17" t="n"/>
      <c r="L527" s="17" t="n"/>
      <c r="M527" s="16" t="n"/>
      <c r="N527" s="16" t="n"/>
      <c r="O527" s="18" t="n"/>
      <c r="P527" s="18" t="n"/>
      <c r="Q527" s="16" t="n"/>
    </row>
    <row r="528">
      <c r="E528" s="15" t="n"/>
      <c r="F528" s="15" t="n"/>
      <c r="G528" s="15" t="n"/>
      <c r="H528" s="16" t="n"/>
      <c r="I528" s="16" t="n"/>
      <c r="J528" s="17" t="n"/>
      <c r="K528" s="17" t="n"/>
      <c r="L528" s="17" t="n"/>
      <c r="M528" s="16" t="n"/>
      <c r="N528" s="16" t="n"/>
      <c r="O528" s="18" t="n"/>
      <c r="P528" s="18" t="n"/>
      <c r="Q528" s="16" t="n"/>
    </row>
    <row r="529">
      <c r="E529" s="15" t="n"/>
      <c r="F529" s="15" t="n"/>
      <c r="G529" s="15" t="n"/>
      <c r="H529" s="16" t="n"/>
      <c r="I529" s="16" t="n"/>
      <c r="J529" s="17" t="n"/>
      <c r="K529" s="17" t="n"/>
      <c r="L529" s="17" t="n"/>
      <c r="M529" s="16" t="n"/>
      <c r="N529" s="16" t="n"/>
      <c r="O529" s="18" t="n"/>
      <c r="P529" s="18" t="n"/>
      <c r="Q529" s="16" t="n"/>
    </row>
    <row r="530">
      <c r="E530" s="15" t="n"/>
      <c r="F530" s="15" t="n"/>
      <c r="G530" s="15" t="n"/>
      <c r="H530" s="16" t="n"/>
      <c r="I530" s="16" t="n"/>
      <c r="J530" s="17" t="n"/>
      <c r="K530" s="17" t="n"/>
      <c r="L530" s="17" t="n"/>
      <c r="M530" s="16" t="n"/>
      <c r="N530" s="16" t="n"/>
      <c r="O530" s="18" t="n"/>
      <c r="P530" s="18" t="n"/>
      <c r="Q530" s="16" t="n"/>
    </row>
    <row r="531">
      <c r="E531" s="15" t="n"/>
      <c r="F531" s="15" t="n"/>
      <c r="G531" s="15" t="n"/>
      <c r="H531" s="16" t="n"/>
      <c r="I531" s="16" t="n"/>
      <c r="J531" s="17" t="n"/>
      <c r="K531" s="17" t="n"/>
      <c r="L531" s="17" t="n"/>
      <c r="M531" s="16" t="n"/>
      <c r="N531" s="16" t="n"/>
      <c r="O531" s="18" t="n"/>
      <c r="P531" s="18" t="n"/>
      <c r="Q531" s="16" t="n"/>
    </row>
    <row r="532">
      <c r="E532" s="15" t="n"/>
      <c r="F532" s="15" t="n"/>
      <c r="G532" s="15" t="n"/>
      <c r="H532" s="16" t="n"/>
      <c r="I532" s="16" t="n"/>
      <c r="J532" s="17" t="n"/>
      <c r="K532" s="17" t="n"/>
      <c r="L532" s="17" t="n"/>
      <c r="M532" s="16" t="n"/>
      <c r="N532" s="16" t="n"/>
      <c r="O532" s="18" t="n"/>
      <c r="P532" s="18" t="n"/>
      <c r="Q532" s="16" t="n"/>
    </row>
    <row r="533">
      <c r="E533" s="15" t="n"/>
      <c r="F533" s="15" t="n"/>
      <c r="G533" s="15" t="n"/>
      <c r="H533" s="16" t="n"/>
      <c r="I533" s="16" t="n"/>
      <c r="J533" s="17" t="n"/>
      <c r="K533" s="17" t="n"/>
      <c r="L533" s="17" t="n"/>
      <c r="M533" s="16" t="n"/>
      <c r="N533" s="16" t="n"/>
      <c r="O533" s="18" t="n"/>
      <c r="P533" s="18" t="n"/>
      <c r="Q533" s="16" t="n"/>
    </row>
    <row r="534">
      <c r="E534" s="15" t="n"/>
      <c r="F534" s="15" t="n"/>
      <c r="G534" s="15" t="n"/>
      <c r="H534" s="16" t="n"/>
      <c r="I534" s="16" t="n"/>
      <c r="J534" s="17" t="n"/>
      <c r="K534" s="17" t="n"/>
      <c r="L534" s="17" t="n"/>
      <c r="M534" s="16" t="n"/>
      <c r="N534" s="16" t="n"/>
      <c r="O534" s="18" t="n"/>
      <c r="P534" s="18" t="n"/>
      <c r="Q534" s="16" t="n"/>
    </row>
    <row r="535">
      <c r="E535" s="15" t="n"/>
      <c r="F535" s="15" t="n"/>
      <c r="G535" s="15" t="n"/>
      <c r="H535" s="16" t="n"/>
      <c r="I535" s="16" t="n"/>
      <c r="J535" s="17" t="n"/>
      <c r="K535" s="17" t="n"/>
      <c r="L535" s="17" t="n"/>
      <c r="M535" s="16" t="n"/>
      <c r="N535" s="16" t="n"/>
      <c r="O535" s="18" t="n"/>
      <c r="P535" s="18" t="n"/>
      <c r="Q535" s="16" t="n"/>
    </row>
    <row r="536">
      <c r="E536" s="15" t="n"/>
      <c r="F536" s="15" t="n"/>
      <c r="G536" s="15" t="n"/>
      <c r="H536" s="16" t="n"/>
      <c r="I536" s="16" t="n"/>
      <c r="J536" s="17" t="n"/>
      <c r="K536" s="17" t="n"/>
      <c r="L536" s="17" t="n"/>
      <c r="M536" s="16" t="n"/>
      <c r="N536" s="16" t="n"/>
      <c r="O536" s="18" t="n"/>
      <c r="P536" s="18" t="n"/>
      <c r="Q536" s="16" t="n"/>
    </row>
    <row r="537">
      <c r="E537" s="15" t="n"/>
      <c r="F537" s="15" t="n"/>
      <c r="G537" s="15" t="n"/>
      <c r="H537" s="16" t="n"/>
      <c r="I537" s="16" t="n"/>
      <c r="J537" s="17" t="n"/>
      <c r="K537" s="17" t="n"/>
      <c r="L537" s="17" t="n"/>
      <c r="M537" s="16" t="n"/>
      <c r="N537" s="16" t="n"/>
      <c r="O537" s="18" t="n"/>
      <c r="P537" s="18" t="n"/>
      <c r="Q537" s="16" t="n"/>
    </row>
    <row r="538">
      <c r="E538" s="15" t="n"/>
      <c r="F538" s="15" t="n"/>
      <c r="G538" s="15" t="n"/>
      <c r="H538" s="16" t="n"/>
      <c r="I538" s="16" t="n"/>
      <c r="J538" s="17" t="n"/>
      <c r="K538" s="17" t="n"/>
      <c r="L538" s="17" t="n"/>
      <c r="M538" s="16" t="n"/>
      <c r="N538" s="16" t="n"/>
      <c r="O538" s="18" t="n"/>
      <c r="P538" s="18" t="n"/>
      <c r="Q538" s="16" t="n"/>
    </row>
    <row r="539">
      <c r="E539" s="15" t="n"/>
      <c r="F539" s="15" t="n"/>
      <c r="G539" s="15" t="n"/>
      <c r="H539" s="16" t="n"/>
      <c r="I539" s="16" t="n"/>
      <c r="J539" s="17" t="n"/>
      <c r="K539" s="17" t="n"/>
      <c r="L539" s="17" t="n"/>
      <c r="M539" s="16" t="n"/>
      <c r="N539" s="16" t="n"/>
      <c r="O539" s="18" t="n"/>
      <c r="P539" s="18" t="n"/>
      <c r="Q539" s="16" t="n"/>
    </row>
    <row r="540">
      <c r="E540" s="15" t="n"/>
      <c r="F540" s="15" t="n"/>
      <c r="G540" s="15" t="n"/>
      <c r="H540" s="16" t="n"/>
      <c r="I540" s="16" t="n"/>
      <c r="J540" s="17" t="n"/>
      <c r="K540" s="17" t="n"/>
      <c r="L540" s="17" t="n"/>
      <c r="M540" s="16" t="n"/>
      <c r="N540" s="16" t="n"/>
      <c r="O540" s="18" t="n"/>
      <c r="P540" s="18" t="n"/>
      <c r="Q540" s="16" t="n"/>
    </row>
    <row r="541">
      <c r="E541" s="15" t="n"/>
      <c r="F541" s="15" t="n"/>
      <c r="G541" s="15" t="n"/>
      <c r="H541" s="16" t="n"/>
      <c r="I541" s="16" t="n"/>
      <c r="J541" s="17" t="n"/>
      <c r="K541" s="17" t="n"/>
      <c r="L541" s="17" t="n"/>
      <c r="M541" s="16" t="n"/>
      <c r="N541" s="16" t="n"/>
      <c r="O541" s="18" t="n"/>
      <c r="P541" s="18" t="n"/>
      <c r="Q541" s="16" t="n"/>
    </row>
    <row r="542">
      <c r="E542" s="15" t="n"/>
      <c r="F542" s="15" t="n"/>
      <c r="G542" s="15" t="n"/>
      <c r="H542" s="16" t="n"/>
      <c r="I542" s="16" t="n"/>
      <c r="J542" s="17" t="n"/>
      <c r="K542" s="17" t="n"/>
      <c r="L542" s="17" t="n"/>
      <c r="M542" s="16" t="n"/>
      <c r="N542" s="16" t="n"/>
      <c r="O542" s="18" t="n"/>
      <c r="P542" s="18" t="n"/>
      <c r="Q542" s="16" t="n"/>
    </row>
    <row r="543">
      <c r="E543" s="15" t="n"/>
      <c r="F543" s="15" t="n"/>
      <c r="G543" s="15" t="n"/>
      <c r="H543" s="16" t="n"/>
      <c r="I543" s="16" t="n"/>
      <c r="J543" s="17" t="n"/>
      <c r="K543" s="17" t="n"/>
      <c r="L543" s="17" t="n"/>
      <c r="M543" s="16" t="n"/>
      <c r="N543" s="16" t="n"/>
      <c r="O543" s="18" t="n"/>
      <c r="P543" s="18" t="n"/>
      <c r="Q543" s="16" t="n"/>
    </row>
    <row r="544">
      <c r="E544" s="15" t="n"/>
      <c r="F544" s="15" t="n"/>
      <c r="G544" s="15" t="n"/>
      <c r="H544" s="16" t="n"/>
      <c r="I544" s="16" t="n"/>
      <c r="J544" s="17" t="n"/>
      <c r="K544" s="17" t="n"/>
      <c r="L544" s="17" t="n"/>
      <c r="M544" s="16" t="n"/>
      <c r="N544" s="16" t="n"/>
      <c r="O544" s="18" t="n"/>
      <c r="P544" s="18" t="n"/>
      <c r="Q544" s="16" t="n"/>
    </row>
    <row r="545">
      <c r="E545" s="15" t="n"/>
      <c r="F545" s="15" t="n"/>
      <c r="G545" s="15" t="n"/>
      <c r="H545" s="16" t="n"/>
      <c r="I545" s="16" t="n"/>
      <c r="J545" s="17" t="n"/>
      <c r="K545" s="17" t="n"/>
      <c r="L545" s="17" t="n"/>
      <c r="M545" s="16" t="n"/>
      <c r="N545" s="16" t="n"/>
      <c r="O545" s="18" t="n"/>
      <c r="P545" s="18" t="n"/>
      <c r="Q545" s="16" t="n"/>
    </row>
    <row r="546">
      <c r="E546" s="15" t="n"/>
      <c r="F546" s="15" t="n"/>
      <c r="G546" s="15" t="n"/>
      <c r="H546" s="16" t="n"/>
      <c r="I546" s="16" t="n"/>
      <c r="J546" s="17" t="n"/>
      <c r="K546" s="17" t="n"/>
      <c r="L546" s="17" t="n"/>
      <c r="M546" s="16" t="n"/>
      <c r="N546" s="16" t="n"/>
      <c r="O546" s="18" t="n"/>
      <c r="P546" s="18" t="n"/>
      <c r="Q546" s="16" t="n"/>
    </row>
    <row r="547">
      <c r="E547" s="15" t="n"/>
      <c r="F547" s="15" t="n"/>
      <c r="G547" s="15" t="n"/>
      <c r="H547" s="16" t="n"/>
      <c r="I547" s="16" t="n"/>
      <c r="J547" s="17" t="n"/>
      <c r="K547" s="17" t="n"/>
      <c r="L547" s="17" t="n"/>
      <c r="M547" s="16" t="n"/>
      <c r="N547" s="16" t="n"/>
      <c r="O547" s="18" t="n"/>
      <c r="P547" s="18" t="n"/>
      <c r="Q547" s="16" t="n"/>
    </row>
    <row r="548">
      <c r="E548" s="15" t="n"/>
      <c r="F548" s="15" t="n"/>
      <c r="G548" s="15" t="n"/>
      <c r="H548" s="16" t="n"/>
      <c r="I548" s="16" t="n"/>
      <c r="J548" s="17" t="n"/>
      <c r="K548" s="17" t="n"/>
      <c r="L548" s="17" t="n"/>
      <c r="M548" s="16" t="n"/>
      <c r="N548" s="16" t="n"/>
      <c r="O548" s="18" t="n"/>
      <c r="P548" s="18" t="n"/>
      <c r="Q548" s="16" t="n"/>
    </row>
    <row r="549">
      <c r="E549" s="15" t="n"/>
      <c r="F549" s="15" t="n"/>
      <c r="G549" s="15" t="n"/>
      <c r="H549" s="16" t="n"/>
      <c r="I549" s="16" t="n"/>
      <c r="J549" s="17" t="n"/>
      <c r="K549" s="17" t="n"/>
      <c r="L549" s="17" t="n"/>
      <c r="M549" s="16" t="n"/>
      <c r="N549" s="16" t="n"/>
      <c r="O549" s="18" t="n"/>
      <c r="P549" s="18" t="n"/>
      <c r="Q549" s="16" t="n"/>
    </row>
    <row r="550">
      <c r="E550" s="15" t="n"/>
      <c r="F550" s="15" t="n"/>
      <c r="G550" s="15" t="n"/>
      <c r="H550" s="16" t="n"/>
      <c r="I550" s="16" t="n"/>
      <c r="J550" s="17" t="n"/>
      <c r="K550" s="17" t="n"/>
      <c r="L550" s="17" t="n"/>
      <c r="M550" s="16" t="n"/>
      <c r="N550" s="16" t="n"/>
      <c r="O550" s="18" t="n"/>
      <c r="P550" s="18" t="n"/>
      <c r="Q550" s="16" t="n"/>
    </row>
    <row r="551">
      <c r="E551" s="15" t="n"/>
      <c r="F551" s="15" t="n"/>
      <c r="G551" s="15" t="n"/>
      <c r="H551" s="16" t="n"/>
      <c r="I551" s="16" t="n"/>
      <c r="J551" s="17" t="n"/>
      <c r="K551" s="17" t="n"/>
      <c r="L551" s="17" t="n"/>
      <c r="M551" s="16" t="n"/>
      <c r="N551" s="16" t="n"/>
      <c r="O551" s="18" t="n"/>
      <c r="P551" s="18" t="n"/>
      <c r="Q551" s="16" t="n"/>
    </row>
    <row r="552">
      <c r="E552" s="15" t="n"/>
      <c r="F552" s="15" t="n"/>
      <c r="G552" s="15" t="n"/>
      <c r="H552" s="16" t="n"/>
      <c r="I552" s="16" t="n"/>
      <c r="J552" s="17" t="n"/>
      <c r="K552" s="17" t="n"/>
      <c r="L552" s="17" t="n"/>
      <c r="M552" s="16" t="n"/>
      <c r="N552" s="16" t="n"/>
      <c r="O552" s="18" t="n"/>
      <c r="P552" s="18" t="n"/>
      <c r="Q552" s="16" t="n"/>
    </row>
    <row r="553">
      <c r="E553" s="15" t="n"/>
      <c r="F553" s="15" t="n"/>
      <c r="G553" s="15" t="n"/>
      <c r="H553" s="16" t="n"/>
      <c r="I553" s="16" t="n"/>
      <c r="J553" s="17" t="n"/>
      <c r="K553" s="17" t="n"/>
      <c r="L553" s="17" t="n"/>
      <c r="M553" s="16" t="n"/>
      <c r="N553" s="16" t="n"/>
      <c r="O553" s="18" t="n"/>
      <c r="P553" s="18" t="n"/>
      <c r="Q553" s="16" t="n"/>
    </row>
    <row r="554">
      <c r="E554" s="15" t="n"/>
      <c r="F554" s="15" t="n"/>
      <c r="G554" s="15" t="n"/>
      <c r="H554" s="16" t="n"/>
      <c r="I554" s="16" t="n"/>
      <c r="J554" s="17" t="n"/>
      <c r="K554" s="17" t="n"/>
      <c r="L554" s="17" t="n"/>
      <c r="M554" s="16" t="n"/>
      <c r="N554" s="16" t="n"/>
      <c r="O554" s="18" t="n"/>
      <c r="P554" s="18" t="n"/>
      <c r="Q554" s="16" t="n"/>
    </row>
    <row r="555">
      <c r="E555" s="15" t="n"/>
      <c r="F555" s="15" t="n"/>
      <c r="G555" s="15" t="n"/>
      <c r="H555" s="16" t="n"/>
      <c r="I555" s="16" t="n"/>
      <c r="J555" s="17" t="n"/>
      <c r="K555" s="17" t="n"/>
      <c r="L555" s="17" t="n"/>
      <c r="M555" s="16" t="n"/>
      <c r="N555" s="16" t="n"/>
      <c r="O555" s="18" t="n"/>
      <c r="P555" s="18" t="n"/>
      <c r="Q555" s="16" t="n"/>
    </row>
    <row r="556">
      <c r="E556" s="15" t="n"/>
      <c r="F556" s="15" t="n"/>
      <c r="G556" s="15" t="n"/>
      <c r="H556" s="16" t="n"/>
      <c r="I556" s="16" t="n"/>
      <c r="J556" s="17" t="n"/>
      <c r="K556" s="17" t="n"/>
      <c r="L556" s="17" t="n"/>
      <c r="M556" s="16" t="n"/>
      <c r="N556" s="16" t="n"/>
      <c r="O556" s="18" t="n"/>
      <c r="P556" s="18" t="n"/>
      <c r="Q556" s="16" t="n"/>
    </row>
    <row r="557">
      <c r="E557" s="15" t="n"/>
      <c r="F557" s="15" t="n"/>
      <c r="G557" s="15" t="n"/>
      <c r="H557" s="16" t="n"/>
      <c r="I557" s="16" t="n"/>
      <c r="J557" s="17" t="n"/>
      <c r="K557" s="17" t="n"/>
      <c r="L557" s="17" t="n"/>
      <c r="M557" s="16" t="n"/>
      <c r="N557" s="16" t="n"/>
      <c r="O557" s="18" t="n"/>
      <c r="P557" s="18" t="n"/>
      <c r="Q557" s="16" t="n"/>
    </row>
    <row r="558">
      <c r="E558" s="15" t="n"/>
      <c r="F558" s="15" t="n"/>
      <c r="G558" s="15" t="n"/>
      <c r="H558" s="16" t="n"/>
      <c r="I558" s="16" t="n"/>
      <c r="J558" s="17" t="n"/>
      <c r="K558" s="17" t="n"/>
      <c r="L558" s="17" t="n"/>
      <c r="M558" s="16" t="n"/>
      <c r="N558" s="16" t="n"/>
      <c r="O558" s="18" t="n"/>
      <c r="P558" s="18" t="n"/>
      <c r="Q558" s="16" t="n"/>
    </row>
    <row r="559">
      <c r="E559" s="15" t="n"/>
      <c r="F559" s="15" t="n"/>
      <c r="G559" s="15" t="n"/>
      <c r="H559" s="16" t="n"/>
      <c r="I559" s="16" t="n"/>
      <c r="J559" s="17" t="n"/>
      <c r="K559" s="17" t="n"/>
      <c r="L559" s="17" t="n"/>
      <c r="M559" s="16" t="n"/>
      <c r="N559" s="16" t="n"/>
      <c r="O559" s="18" t="n"/>
      <c r="P559" s="18" t="n"/>
      <c r="Q559" s="16" t="n"/>
    </row>
    <row r="560">
      <c r="E560" s="15" t="n"/>
      <c r="F560" s="15" t="n"/>
      <c r="G560" s="15" t="n"/>
      <c r="H560" s="16" t="n"/>
      <c r="I560" s="16" t="n"/>
      <c r="J560" s="17" t="n"/>
      <c r="K560" s="17" t="n"/>
      <c r="L560" s="17" t="n"/>
      <c r="M560" s="16" t="n"/>
      <c r="N560" s="16" t="n"/>
      <c r="O560" s="18" t="n"/>
      <c r="P560" s="18" t="n"/>
      <c r="Q560" s="16" t="n"/>
    </row>
    <row r="561">
      <c r="E561" s="15" t="n"/>
      <c r="F561" s="15" t="n"/>
      <c r="G561" s="15" t="n"/>
      <c r="H561" s="16" t="n"/>
      <c r="I561" s="16" t="n"/>
      <c r="J561" s="17" t="n"/>
      <c r="K561" s="17" t="n"/>
      <c r="L561" s="17" t="n"/>
      <c r="M561" s="16" t="n"/>
      <c r="N561" s="16" t="n"/>
      <c r="O561" s="18" t="n"/>
      <c r="P561" s="18" t="n"/>
      <c r="Q561" s="16" t="n"/>
    </row>
    <row r="562">
      <c r="E562" s="15" t="n"/>
      <c r="F562" s="15" t="n"/>
      <c r="G562" s="15" t="n"/>
      <c r="H562" s="16" t="n"/>
      <c r="I562" s="16" t="n"/>
      <c r="J562" s="17" t="n"/>
      <c r="K562" s="17" t="n"/>
      <c r="L562" s="17" t="n"/>
      <c r="M562" s="16" t="n"/>
      <c r="N562" s="16" t="n"/>
      <c r="O562" s="18" t="n"/>
      <c r="P562" s="18" t="n"/>
      <c r="Q562" s="16" t="n"/>
    </row>
    <row r="563">
      <c r="E563" s="15" t="n"/>
      <c r="F563" s="15" t="n"/>
      <c r="G563" s="15" t="n"/>
      <c r="H563" s="16" t="n"/>
      <c r="I563" s="16" t="n"/>
      <c r="J563" s="17" t="n"/>
      <c r="K563" s="17" t="n"/>
      <c r="L563" s="17" t="n"/>
      <c r="M563" s="16" t="n"/>
      <c r="N563" s="16" t="n"/>
      <c r="O563" s="18" t="n"/>
      <c r="P563" s="18" t="n"/>
      <c r="Q563" s="16" t="n"/>
    </row>
    <row r="564">
      <c r="E564" s="15" t="n"/>
      <c r="F564" s="15" t="n"/>
      <c r="G564" s="15" t="n"/>
      <c r="H564" s="16" t="n"/>
      <c r="I564" s="16" t="n"/>
      <c r="J564" s="17" t="n"/>
      <c r="K564" s="17" t="n"/>
      <c r="L564" s="17" t="n"/>
      <c r="M564" s="16" t="n"/>
      <c r="N564" s="16" t="n"/>
      <c r="O564" s="18" t="n"/>
      <c r="P564" s="18" t="n"/>
      <c r="Q564" s="16" t="n"/>
    </row>
    <row r="565">
      <c r="E565" s="15" t="n"/>
      <c r="F565" s="15" t="n"/>
      <c r="G565" s="15" t="n"/>
      <c r="H565" s="16" t="n"/>
      <c r="I565" s="16" t="n"/>
      <c r="J565" s="17" t="n"/>
      <c r="K565" s="17" t="n"/>
      <c r="L565" s="17" t="n"/>
      <c r="M565" s="16" t="n"/>
      <c r="N565" s="16" t="n"/>
      <c r="O565" s="18" t="n"/>
      <c r="P565" s="18" t="n"/>
      <c r="Q565" s="16" t="n"/>
    </row>
    <row r="566">
      <c r="E566" s="15" t="n"/>
      <c r="F566" s="15" t="n"/>
      <c r="G566" s="15" t="n"/>
      <c r="H566" s="16" t="n"/>
      <c r="I566" s="16" t="n"/>
      <c r="J566" s="17" t="n"/>
      <c r="K566" s="17" t="n"/>
      <c r="L566" s="17" t="n"/>
      <c r="M566" s="16" t="n"/>
      <c r="N566" s="16" t="n"/>
      <c r="O566" s="18" t="n"/>
      <c r="P566" s="18" t="n"/>
      <c r="Q566" s="16" t="n"/>
    </row>
    <row r="567">
      <c r="E567" s="15" t="n"/>
      <c r="F567" s="15" t="n"/>
      <c r="G567" s="15" t="n"/>
      <c r="H567" s="16" t="n"/>
      <c r="I567" s="16" t="n"/>
      <c r="J567" s="17" t="n"/>
      <c r="K567" s="17" t="n"/>
      <c r="L567" s="17" t="n"/>
      <c r="M567" s="16" t="n"/>
      <c r="N567" s="16" t="n"/>
      <c r="O567" s="18" t="n"/>
      <c r="P567" s="18" t="n"/>
      <c r="Q567" s="16" t="n"/>
    </row>
    <row r="568">
      <c r="E568" s="15" t="n"/>
      <c r="F568" s="15" t="n"/>
      <c r="G568" s="15" t="n"/>
      <c r="H568" s="16" t="n"/>
      <c r="I568" s="16" t="n"/>
      <c r="J568" s="17" t="n"/>
      <c r="K568" s="17" t="n"/>
      <c r="L568" s="17" t="n"/>
      <c r="M568" s="16" t="n"/>
      <c r="N568" s="16" t="n"/>
      <c r="O568" s="18" t="n"/>
      <c r="P568" s="18" t="n"/>
      <c r="Q568" s="16" t="n"/>
    </row>
    <row r="569">
      <c r="E569" s="15" t="n"/>
      <c r="F569" s="15" t="n"/>
      <c r="G569" s="15" t="n"/>
      <c r="H569" s="16" t="n"/>
      <c r="I569" s="16" t="n"/>
      <c r="J569" s="17" t="n"/>
      <c r="K569" s="17" t="n"/>
      <c r="L569" s="17" t="n"/>
      <c r="M569" s="16" t="n"/>
      <c r="N569" s="16" t="n"/>
      <c r="O569" s="18" t="n"/>
      <c r="P569" s="18" t="n"/>
      <c r="Q569" s="16" t="n"/>
    </row>
    <row r="570">
      <c r="E570" s="15" t="n"/>
      <c r="F570" s="15" t="n"/>
      <c r="G570" s="15" t="n"/>
      <c r="H570" s="16" t="n"/>
      <c r="I570" s="16" t="n"/>
      <c r="J570" s="17" t="n"/>
      <c r="K570" s="17" t="n"/>
      <c r="L570" s="17" t="n"/>
      <c r="M570" s="16" t="n"/>
      <c r="N570" s="16" t="n"/>
      <c r="O570" s="18" t="n"/>
      <c r="P570" s="18" t="n"/>
      <c r="Q570" s="16" t="n"/>
    </row>
    <row r="571">
      <c r="E571" s="15" t="n"/>
      <c r="F571" s="15" t="n"/>
      <c r="G571" s="15" t="n"/>
      <c r="H571" s="16" t="n"/>
      <c r="I571" s="16" t="n"/>
      <c r="J571" s="17" t="n"/>
      <c r="K571" s="17" t="n"/>
      <c r="L571" s="17" t="n"/>
      <c r="M571" s="16" t="n"/>
      <c r="N571" s="16" t="n"/>
      <c r="O571" s="18" t="n"/>
      <c r="P571" s="18" t="n"/>
      <c r="Q571" s="16" t="n"/>
    </row>
    <row r="572">
      <c r="E572" s="15" t="n"/>
      <c r="F572" s="15" t="n"/>
      <c r="G572" s="15" t="n"/>
      <c r="H572" s="16" t="n"/>
      <c r="I572" s="16" t="n"/>
      <c r="J572" s="17" t="n"/>
      <c r="K572" s="17" t="n"/>
      <c r="L572" s="17" t="n"/>
      <c r="M572" s="16" t="n"/>
      <c r="N572" s="16" t="n"/>
      <c r="O572" s="18" t="n"/>
      <c r="P572" s="18" t="n"/>
      <c r="Q572" s="16" t="n"/>
    </row>
    <row r="573">
      <c r="E573" s="15" t="n"/>
      <c r="F573" s="15" t="n"/>
      <c r="G573" s="15" t="n"/>
      <c r="H573" s="16" t="n"/>
      <c r="I573" s="16" t="n"/>
      <c r="J573" s="17" t="n"/>
      <c r="K573" s="17" t="n"/>
      <c r="L573" s="17" t="n"/>
      <c r="M573" s="16" t="n"/>
      <c r="N573" s="16" t="n"/>
      <c r="O573" s="18" t="n"/>
      <c r="P573" s="18" t="n"/>
      <c r="Q573" s="16" t="n"/>
    </row>
    <row r="574">
      <c r="E574" s="15" t="n"/>
      <c r="F574" s="15" t="n"/>
      <c r="G574" s="15" t="n"/>
      <c r="H574" s="16" t="n"/>
      <c r="I574" s="16" t="n"/>
      <c r="J574" s="17" t="n"/>
      <c r="K574" s="17" t="n"/>
      <c r="L574" s="17" t="n"/>
      <c r="M574" s="16" t="n"/>
      <c r="N574" s="16" t="n"/>
      <c r="O574" s="18" t="n"/>
      <c r="P574" s="18" t="n"/>
      <c r="Q574" s="16" t="n"/>
    </row>
    <row r="575">
      <c r="E575" s="15" t="n"/>
      <c r="F575" s="15" t="n"/>
      <c r="G575" s="15" t="n"/>
      <c r="H575" s="16" t="n"/>
      <c r="I575" s="16" t="n"/>
      <c r="J575" s="17" t="n"/>
      <c r="K575" s="17" t="n"/>
      <c r="L575" s="17" t="n"/>
      <c r="M575" s="16" t="n"/>
      <c r="N575" s="16" t="n"/>
      <c r="O575" s="18" t="n"/>
      <c r="P575" s="18" t="n"/>
      <c r="Q575" s="16" t="n"/>
    </row>
    <row r="576">
      <c r="E576" s="15" t="n"/>
      <c r="F576" s="15" t="n"/>
      <c r="G576" s="15" t="n"/>
      <c r="H576" s="16" t="n"/>
      <c r="I576" s="16" t="n"/>
      <c r="J576" s="17" t="n"/>
      <c r="K576" s="17" t="n"/>
      <c r="L576" s="17" t="n"/>
      <c r="M576" s="16" t="n"/>
      <c r="N576" s="16" t="n"/>
      <c r="O576" s="18" t="n"/>
      <c r="P576" s="18" t="n"/>
      <c r="Q576" s="16" t="n"/>
    </row>
    <row r="577">
      <c r="E577" s="15" t="n"/>
      <c r="F577" s="15" t="n"/>
      <c r="G577" s="15" t="n"/>
      <c r="H577" s="16" t="n"/>
      <c r="I577" s="16" t="n"/>
      <c r="J577" s="17" t="n"/>
      <c r="K577" s="17" t="n"/>
      <c r="L577" s="17" t="n"/>
      <c r="M577" s="16" t="n"/>
      <c r="N577" s="16" t="n"/>
      <c r="O577" s="18" t="n"/>
      <c r="P577" s="18" t="n"/>
      <c r="Q577" s="16" t="n"/>
    </row>
    <row r="578">
      <c r="E578" s="15" t="n"/>
      <c r="F578" s="15" t="n"/>
      <c r="G578" s="15" t="n"/>
      <c r="H578" s="16" t="n"/>
      <c r="I578" s="16" t="n"/>
      <c r="J578" s="17" t="n"/>
      <c r="K578" s="17" t="n"/>
      <c r="L578" s="17" t="n"/>
      <c r="M578" s="16" t="n"/>
      <c r="N578" s="16" t="n"/>
      <c r="O578" s="18" t="n"/>
      <c r="P578" s="18" t="n"/>
      <c r="Q578" s="16" t="n"/>
    </row>
    <row r="579">
      <c r="E579" s="15" t="n"/>
      <c r="F579" s="15" t="n"/>
      <c r="G579" s="15" t="n"/>
      <c r="H579" s="16" t="n"/>
      <c r="I579" s="16" t="n"/>
      <c r="J579" s="17" t="n"/>
      <c r="K579" s="17" t="n"/>
      <c r="L579" s="17" t="n"/>
      <c r="M579" s="16" t="n"/>
      <c r="N579" s="16" t="n"/>
      <c r="O579" s="18" t="n"/>
      <c r="P579" s="18" t="n"/>
      <c r="Q579" s="16" t="n"/>
    </row>
    <row r="580">
      <c r="E580" s="15" t="n"/>
      <c r="F580" s="15" t="n"/>
      <c r="G580" s="15" t="n"/>
      <c r="H580" s="16" t="n"/>
      <c r="I580" s="16" t="n"/>
      <c r="J580" s="17" t="n"/>
      <c r="K580" s="17" t="n"/>
      <c r="L580" s="17" t="n"/>
      <c r="M580" s="16" t="n"/>
      <c r="N580" s="16" t="n"/>
      <c r="O580" s="18" t="n"/>
      <c r="P580" s="18" t="n"/>
      <c r="Q580" s="16" t="n"/>
    </row>
    <row r="581">
      <c r="E581" s="15" t="n"/>
      <c r="F581" s="15" t="n"/>
      <c r="G581" s="15" t="n"/>
      <c r="H581" s="16" t="n"/>
      <c r="I581" s="16" t="n"/>
      <c r="J581" s="17" t="n"/>
      <c r="K581" s="17" t="n"/>
      <c r="L581" s="17" t="n"/>
      <c r="M581" s="16" t="n"/>
      <c r="N581" s="16" t="n"/>
      <c r="O581" s="18" t="n"/>
      <c r="P581" s="18" t="n"/>
      <c r="Q581" s="16" t="n"/>
    </row>
    <row r="582">
      <c r="E582" s="15" t="n"/>
      <c r="F582" s="15" t="n"/>
      <c r="G582" s="15" t="n"/>
      <c r="H582" s="16" t="n"/>
      <c r="I582" s="16" t="n"/>
      <c r="J582" s="17" t="n"/>
      <c r="K582" s="17" t="n"/>
      <c r="L582" s="17" t="n"/>
      <c r="M582" s="16" t="n"/>
      <c r="N582" s="16" t="n"/>
      <c r="O582" s="18" t="n"/>
      <c r="P582" s="18" t="n"/>
      <c r="Q582" s="16" t="n"/>
    </row>
    <row r="583">
      <c r="E583" s="15" t="n"/>
      <c r="F583" s="15" t="n"/>
      <c r="G583" s="15" t="n"/>
      <c r="H583" s="16" t="n"/>
      <c r="I583" s="16" t="n"/>
      <c r="J583" s="17" t="n"/>
      <c r="K583" s="17" t="n"/>
      <c r="L583" s="17" t="n"/>
      <c r="M583" s="16" t="n"/>
      <c r="N583" s="16" t="n"/>
      <c r="O583" s="18" t="n"/>
      <c r="P583" s="18" t="n"/>
      <c r="Q583" s="16" t="n"/>
    </row>
    <row r="584">
      <c r="E584" s="15" t="n"/>
      <c r="F584" s="15" t="n"/>
      <c r="G584" s="15" t="n"/>
      <c r="H584" s="16" t="n"/>
      <c r="I584" s="16" t="n"/>
      <c r="J584" s="17" t="n"/>
      <c r="K584" s="17" t="n"/>
      <c r="L584" s="17" t="n"/>
      <c r="M584" s="16" t="n"/>
      <c r="N584" s="16" t="n"/>
      <c r="O584" s="18" t="n"/>
      <c r="P584" s="18" t="n"/>
      <c r="Q584" s="16" t="n"/>
    </row>
    <row r="585">
      <c r="E585" s="15" t="n"/>
      <c r="F585" s="15" t="n"/>
      <c r="G585" s="15" t="n"/>
      <c r="H585" s="16" t="n"/>
      <c r="I585" s="16" t="n"/>
      <c r="J585" s="17" t="n"/>
      <c r="K585" s="17" t="n"/>
      <c r="L585" s="17" t="n"/>
      <c r="M585" s="16" t="n"/>
      <c r="N585" s="16" t="n"/>
      <c r="O585" s="18" t="n"/>
      <c r="P585" s="18" t="n"/>
      <c r="Q585" s="16" t="n"/>
    </row>
    <row r="586">
      <c r="E586" s="15" t="n"/>
      <c r="F586" s="15" t="n"/>
      <c r="G586" s="15" t="n"/>
      <c r="H586" s="16" t="n"/>
      <c r="I586" s="16" t="n"/>
      <c r="J586" s="17" t="n"/>
      <c r="K586" s="17" t="n"/>
      <c r="L586" s="17" t="n"/>
      <c r="M586" s="16" t="n"/>
      <c r="N586" s="16" t="n"/>
      <c r="O586" s="18" t="n"/>
      <c r="P586" s="18" t="n"/>
      <c r="Q586" s="16" t="n"/>
    </row>
    <row r="587">
      <c r="E587" s="15" t="n"/>
      <c r="F587" s="15" t="n"/>
      <c r="G587" s="15" t="n"/>
      <c r="H587" s="16" t="n"/>
      <c r="I587" s="16" t="n"/>
      <c r="J587" s="17" t="n"/>
      <c r="K587" s="17" t="n"/>
      <c r="L587" s="17" t="n"/>
      <c r="M587" s="16" t="n"/>
      <c r="N587" s="16" t="n"/>
      <c r="O587" s="18" t="n"/>
      <c r="P587" s="18" t="n"/>
      <c r="Q587" s="16" t="n"/>
    </row>
    <row r="588">
      <c r="E588" s="15" t="n"/>
      <c r="F588" s="15" t="n"/>
      <c r="G588" s="15" t="n"/>
      <c r="H588" s="16" t="n"/>
      <c r="I588" s="16" t="n"/>
      <c r="J588" s="17" t="n"/>
      <c r="K588" s="17" t="n"/>
      <c r="L588" s="17" t="n"/>
      <c r="M588" s="16" t="n"/>
      <c r="N588" s="16" t="n"/>
      <c r="O588" s="18" t="n"/>
      <c r="P588" s="18" t="n"/>
      <c r="Q588" s="16" t="n"/>
    </row>
    <row r="589">
      <c r="E589" s="15" t="n"/>
      <c r="F589" s="15" t="n"/>
      <c r="G589" s="15" t="n"/>
      <c r="H589" s="16" t="n"/>
      <c r="I589" s="16" t="n"/>
      <c r="J589" s="17" t="n"/>
      <c r="K589" s="17" t="n"/>
      <c r="L589" s="17" t="n"/>
      <c r="M589" s="16" t="n"/>
      <c r="N589" s="16" t="n"/>
      <c r="O589" s="18" t="n"/>
      <c r="P589" s="18" t="n"/>
      <c r="Q589" s="16" t="n"/>
    </row>
    <row r="590">
      <c r="E590" s="15" t="n"/>
      <c r="F590" s="15" t="n"/>
      <c r="G590" s="15" t="n"/>
      <c r="H590" s="16" t="n"/>
      <c r="I590" s="16" t="n"/>
      <c r="J590" s="17" t="n"/>
      <c r="K590" s="17" t="n"/>
      <c r="L590" s="17" t="n"/>
      <c r="M590" s="16" t="n"/>
      <c r="N590" s="16" t="n"/>
      <c r="O590" s="18" t="n"/>
      <c r="P590" s="18" t="n"/>
      <c r="Q590" s="16" t="n"/>
    </row>
    <row r="591">
      <c r="E591" s="15" t="n"/>
      <c r="F591" s="15" t="n"/>
      <c r="G591" s="15" t="n"/>
      <c r="H591" s="16" t="n"/>
      <c r="I591" s="16" t="n"/>
      <c r="J591" s="17" t="n"/>
      <c r="K591" s="17" t="n"/>
      <c r="L591" s="17" t="n"/>
      <c r="M591" s="16" t="n"/>
      <c r="N591" s="16" t="n"/>
      <c r="O591" s="18" t="n"/>
      <c r="P591" s="18" t="n"/>
      <c r="Q591" s="16" t="n"/>
    </row>
    <row r="592">
      <c r="E592" s="15" t="n"/>
      <c r="F592" s="15" t="n"/>
      <c r="G592" s="15" t="n"/>
      <c r="H592" s="16" t="n"/>
      <c r="I592" s="16" t="n"/>
      <c r="J592" s="17" t="n"/>
      <c r="K592" s="17" t="n"/>
      <c r="L592" s="17" t="n"/>
      <c r="M592" s="16" t="n"/>
      <c r="N592" s="16" t="n"/>
      <c r="O592" s="18" t="n"/>
      <c r="P592" s="18" t="n"/>
      <c r="Q592" s="16" t="n"/>
    </row>
    <row r="593">
      <c r="E593" s="15" t="n"/>
      <c r="F593" s="15" t="n"/>
      <c r="G593" s="15" t="n"/>
      <c r="H593" s="16" t="n"/>
      <c r="I593" s="16" t="n"/>
      <c r="J593" s="17" t="n"/>
      <c r="K593" s="17" t="n"/>
      <c r="L593" s="17" t="n"/>
      <c r="M593" s="16" t="n"/>
      <c r="N593" s="16" t="n"/>
      <c r="O593" s="18" t="n"/>
      <c r="P593" s="18" t="n"/>
      <c r="Q593" s="16" t="n"/>
    </row>
    <row r="594">
      <c r="E594" s="15" t="n"/>
      <c r="F594" s="15" t="n"/>
      <c r="G594" s="15" t="n"/>
      <c r="H594" s="16" t="n"/>
      <c r="I594" s="16" t="n"/>
      <c r="J594" s="17" t="n"/>
      <c r="K594" s="17" t="n"/>
      <c r="L594" s="17" t="n"/>
      <c r="M594" s="16" t="n"/>
      <c r="N594" s="16" t="n"/>
      <c r="O594" s="18" t="n"/>
      <c r="P594" s="18" t="n"/>
      <c r="Q594" s="16" t="n"/>
    </row>
    <row r="595">
      <c r="E595" s="15" t="n"/>
      <c r="F595" s="15" t="n"/>
      <c r="G595" s="15" t="n"/>
      <c r="H595" s="16" t="n"/>
      <c r="I595" s="16" t="n"/>
      <c r="J595" s="17" t="n"/>
      <c r="K595" s="17" t="n"/>
      <c r="L595" s="17" t="n"/>
      <c r="M595" s="16" t="n"/>
      <c r="N595" s="16" t="n"/>
      <c r="O595" s="18" t="n"/>
      <c r="P595" s="18" t="n"/>
      <c r="Q595" s="16" t="n"/>
    </row>
    <row r="596">
      <c r="E596" s="15" t="n"/>
      <c r="F596" s="15" t="n"/>
      <c r="G596" s="15" t="n"/>
      <c r="H596" s="16" t="n"/>
      <c r="I596" s="16" t="n"/>
      <c r="J596" s="17" t="n"/>
      <c r="K596" s="17" t="n"/>
      <c r="L596" s="17" t="n"/>
      <c r="M596" s="16" t="n"/>
      <c r="N596" s="16" t="n"/>
      <c r="O596" s="18" t="n"/>
      <c r="P596" s="18" t="n"/>
      <c r="Q596" s="16" t="n"/>
    </row>
    <row r="597">
      <c r="E597" s="15" t="n"/>
      <c r="F597" s="15" t="n"/>
      <c r="G597" s="15" t="n"/>
      <c r="H597" s="16" t="n"/>
      <c r="I597" s="16" t="n"/>
      <c r="J597" s="17" t="n"/>
      <c r="K597" s="17" t="n"/>
      <c r="L597" s="17" t="n"/>
      <c r="M597" s="16" t="n"/>
      <c r="N597" s="16" t="n"/>
      <c r="O597" s="18" t="n"/>
      <c r="P597" s="18" t="n"/>
      <c r="Q597" s="16" t="n"/>
    </row>
    <row r="598">
      <c r="E598" s="15" t="n"/>
      <c r="F598" s="15" t="n"/>
      <c r="G598" s="15" t="n"/>
      <c r="H598" s="16" t="n"/>
      <c r="I598" s="16" t="n"/>
      <c r="J598" s="17" t="n"/>
      <c r="K598" s="17" t="n"/>
      <c r="L598" s="17" t="n"/>
      <c r="M598" s="16" t="n"/>
      <c r="N598" s="16" t="n"/>
      <c r="O598" s="18" t="n"/>
      <c r="P598" s="18" t="n"/>
      <c r="Q598" s="16" t="n"/>
    </row>
    <row r="599">
      <c r="E599" s="15" t="n"/>
      <c r="F599" s="15" t="n"/>
      <c r="G599" s="15" t="n"/>
      <c r="H599" s="16" t="n"/>
      <c r="I599" s="16" t="n"/>
      <c r="J599" s="17" t="n"/>
      <c r="K599" s="17" t="n"/>
      <c r="L599" s="17" t="n"/>
      <c r="M599" s="16" t="n"/>
      <c r="N599" s="16" t="n"/>
      <c r="O599" s="18" t="n"/>
      <c r="P599" s="18" t="n"/>
      <c r="Q599" s="16" t="n"/>
    </row>
    <row r="600">
      <c r="E600" s="15" t="n"/>
      <c r="F600" s="15" t="n"/>
      <c r="G600" s="15" t="n"/>
      <c r="H600" s="16" t="n"/>
      <c r="I600" s="16" t="n"/>
      <c r="J600" s="17" t="n"/>
      <c r="K600" s="17" t="n"/>
      <c r="L600" s="17" t="n"/>
      <c r="M600" s="16" t="n"/>
      <c r="N600" s="16" t="n"/>
      <c r="O600" s="18" t="n"/>
      <c r="P600" s="18" t="n"/>
      <c r="Q600" s="16" t="n"/>
    </row>
    <row r="601">
      <c r="E601" s="15" t="n"/>
      <c r="F601" s="15" t="n"/>
      <c r="G601" s="15" t="n"/>
      <c r="H601" s="16" t="n"/>
      <c r="I601" s="16" t="n"/>
      <c r="J601" s="17" t="n"/>
      <c r="K601" s="17" t="n"/>
      <c r="L601" s="17" t="n"/>
      <c r="M601" s="16" t="n"/>
      <c r="N601" s="16" t="n"/>
      <c r="O601" s="18" t="n"/>
      <c r="P601" s="18" t="n"/>
      <c r="Q601" s="16" t="n"/>
    </row>
    <row r="602">
      <c r="E602" s="15" t="n"/>
      <c r="F602" s="15" t="n"/>
      <c r="G602" s="15" t="n"/>
      <c r="H602" s="16" t="n"/>
      <c r="I602" s="16" t="n"/>
      <c r="J602" s="17" t="n"/>
      <c r="K602" s="17" t="n"/>
      <c r="L602" s="17" t="n"/>
      <c r="M602" s="16" t="n"/>
      <c r="N602" s="16" t="n"/>
      <c r="O602" s="18" t="n"/>
      <c r="P602" s="18" t="n"/>
      <c r="Q602" s="16" t="n"/>
    </row>
    <row r="603">
      <c r="E603" s="15" t="n"/>
      <c r="F603" s="15" t="n"/>
      <c r="G603" s="15" t="n"/>
      <c r="H603" s="16" t="n"/>
      <c r="I603" s="16" t="n"/>
      <c r="J603" s="17" t="n"/>
      <c r="K603" s="17" t="n"/>
      <c r="L603" s="17" t="n"/>
      <c r="M603" s="16" t="n"/>
      <c r="N603" s="16" t="n"/>
      <c r="O603" s="18" t="n"/>
      <c r="P603" s="18" t="n"/>
      <c r="Q603" s="16" t="n"/>
    </row>
    <row r="604">
      <c r="E604" s="15" t="n"/>
      <c r="F604" s="15" t="n"/>
      <c r="G604" s="15" t="n"/>
      <c r="H604" s="16" t="n"/>
      <c r="I604" s="16" t="n"/>
      <c r="J604" s="17" t="n"/>
      <c r="K604" s="17" t="n"/>
      <c r="L604" s="17" t="n"/>
      <c r="M604" s="16" t="n"/>
      <c r="N604" s="16" t="n"/>
      <c r="O604" s="18" t="n"/>
      <c r="P604" s="18" t="n"/>
      <c r="Q604" s="16" t="n"/>
    </row>
    <row r="605">
      <c r="E605" s="15" t="n"/>
      <c r="F605" s="15" t="n"/>
      <c r="G605" s="15" t="n"/>
      <c r="H605" s="16" t="n"/>
      <c r="I605" s="16" t="n"/>
      <c r="J605" s="17" t="n"/>
      <c r="K605" s="17" t="n"/>
      <c r="L605" s="17" t="n"/>
      <c r="M605" s="16" t="n"/>
      <c r="N605" s="16" t="n"/>
      <c r="O605" s="18" t="n"/>
      <c r="P605" s="18" t="n"/>
      <c r="Q605" s="16" t="n"/>
    </row>
    <row r="606">
      <c r="E606" s="15" t="n"/>
      <c r="F606" s="15" t="n"/>
      <c r="G606" s="15" t="n"/>
      <c r="H606" s="16" t="n"/>
      <c r="I606" s="16" t="n"/>
      <c r="J606" s="17" t="n"/>
      <c r="K606" s="17" t="n"/>
      <c r="L606" s="17" t="n"/>
      <c r="M606" s="16" t="n"/>
      <c r="N606" s="16" t="n"/>
      <c r="O606" s="18" t="n"/>
      <c r="P606" s="18" t="n"/>
      <c r="Q606" s="16" t="n"/>
    </row>
    <row r="607">
      <c r="E607" s="15" t="n"/>
      <c r="F607" s="15" t="n"/>
      <c r="G607" s="15" t="n"/>
      <c r="H607" s="16" t="n"/>
      <c r="I607" s="16" t="n"/>
      <c r="J607" s="17" t="n"/>
      <c r="K607" s="17" t="n"/>
      <c r="L607" s="17" t="n"/>
      <c r="M607" s="16" t="n"/>
      <c r="N607" s="16" t="n"/>
      <c r="O607" s="18" t="n"/>
      <c r="P607" s="18" t="n"/>
      <c r="Q607" s="16" t="n"/>
    </row>
    <row r="608">
      <c r="E608" s="15" t="n"/>
      <c r="F608" s="15" t="n"/>
      <c r="G608" s="15" t="n"/>
      <c r="H608" s="16" t="n"/>
      <c r="I608" s="16" t="n"/>
      <c r="J608" s="17" t="n"/>
      <c r="K608" s="17" t="n"/>
      <c r="L608" s="17" t="n"/>
      <c r="M608" s="16" t="n"/>
      <c r="N608" s="16" t="n"/>
      <c r="O608" s="18" t="n"/>
      <c r="P608" s="18" t="n"/>
      <c r="Q608" s="16" t="n"/>
    </row>
    <row r="609">
      <c r="E609" s="15" t="n"/>
      <c r="F609" s="15" t="n"/>
      <c r="G609" s="15" t="n"/>
      <c r="H609" s="16" t="n"/>
      <c r="I609" s="16" t="n"/>
      <c r="J609" s="17" t="n"/>
      <c r="K609" s="17" t="n"/>
      <c r="L609" s="17" t="n"/>
      <c r="M609" s="16" t="n"/>
      <c r="N609" s="16" t="n"/>
      <c r="O609" s="18" t="n"/>
      <c r="P609" s="18" t="n"/>
      <c r="Q609" s="16" t="n"/>
    </row>
    <row r="610">
      <c r="E610" s="15" t="n"/>
      <c r="F610" s="15" t="n"/>
      <c r="G610" s="15" t="n"/>
      <c r="H610" s="16" t="n"/>
      <c r="I610" s="16" t="n"/>
      <c r="J610" s="17" t="n"/>
      <c r="K610" s="17" t="n"/>
      <c r="L610" s="17" t="n"/>
      <c r="M610" s="16" t="n"/>
      <c r="N610" s="16" t="n"/>
      <c r="O610" s="18" t="n"/>
      <c r="P610" s="18" t="n"/>
      <c r="Q610" s="16" t="n"/>
    </row>
    <row r="611">
      <c r="E611" s="15" t="n"/>
      <c r="F611" s="15" t="n"/>
      <c r="G611" s="15" t="n"/>
      <c r="H611" s="16" t="n"/>
      <c r="I611" s="16" t="n"/>
      <c r="J611" s="17" t="n"/>
      <c r="K611" s="17" t="n"/>
      <c r="L611" s="17" t="n"/>
      <c r="M611" s="16" t="n"/>
      <c r="N611" s="16" t="n"/>
      <c r="O611" s="18" t="n"/>
      <c r="P611" s="18" t="n"/>
      <c r="Q611" s="16" t="n"/>
    </row>
    <row r="612">
      <c r="E612" s="15" t="n"/>
      <c r="F612" s="15" t="n"/>
      <c r="G612" s="15" t="n"/>
      <c r="H612" s="16" t="n"/>
      <c r="I612" s="16" t="n"/>
      <c r="J612" s="17" t="n"/>
      <c r="K612" s="17" t="n"/>
      <c r="L612" s="17" t="n"/>
      <c r="M612" s="16" t="n"/>
      <c r="N612" s="16" t="n"/>
      <c r="O612" s="18" t="n"/>
      <c r="P612" s="18" t="n"/>
      <c r="Q612" s="16" t="n"/>
    </row>
    <row r="613">
      <c r="E613" s="15" t="n"/>
      <c r="F613" s="15" t="n"/>
      <c r="G613" s="15" t="n"/>
      <c r="H613" s="16" t="n"/>
      <c r="I613" s="16" t="n"/>
      <c r="J613" s="17" t="n"/>
      <c r="K613" s="17" t="n"/>
      <c r="L613" s="17" t="n"/>
      <c r="M613" s="16" t="n"/>
      <c r="N613" s="16" t="n"/>
      <c r="O613" s="18" t="n"/>
      <c r="P613" s="18" t="n"/>
      <c r="Q613" s="16" t="n"/>
    </row>
    <row r="614">
      <c r="E614" s="15" t="n"/>
      <c r="F614" s="15" t="n"/>
      <c r="G614" s="15" t="n"/>
      <c r="H614" s="16" t="n"/>
      <c r="I614" s="16" t="n"/>
      <c r="J614" s="17" t="n"/>
      <c r="K614" s="17" t="n"/>
      <c r="L614" s="17" t="n"/>
      <c r="M614" s="16" t="n"/>
      <c r="N614" s="16" t="n"/>
      <c r="O614" s="18" t="n"/>
      <c r="P614" s="18" t="n"/>
      <c r="Q614" s="16" t="n"/>
    </row>
    <row r="615">
      <c r="E615" s="15" t="n"/>
      <c r="F615" s="15" t="n"/>
      <c r="G615" s="15" t="n"/>
      <c r="H615" s="16" t="n"/>
      <c r="I615" s="16" t="n"/>
      <c r="J615" s="17" t="n"/>
      <c r="K615" s="17" t="n"/>
      <c r="L615" s="17" t="n"/>
      <c r="M615" s="16" t="n"/>
      <c r="N615" s="16" t="n"/>
      <c r="O615" s="18" t="n"/>
      <c r="P615" s="18" t="n"/>
      <c r="Q615" s="16" t="n"/>
    </row>
    <row r="616">
      <c r="E616" s="15" t="n"/>
      <c r="F616" s="15" t="n"/>
      <c r="G616" s="15" t="n"/>
      <c r="H616" s="16" t="n"/>
      <c r="I616" s="16" t="n"/>
      <c r="J616" s="17" t="n"/>
      <c r="K616" s="17" t="n"/>
      <c r="L616" s="17" t="n"/>
      <c r="M616" s="16" t="n"/>
      <c r="N616" s="16" t="n"/>
      <c r="O616" s="18" t="n"/>
      <c r="P616" s="18" t="n"/>
      <c r="Q616" s="16" t="n"/>
    </row>
    <row r="617">
      <c r="E617" s="15" t="n"/>
      <c r="F617" s="15" t="n"/>
      <c r="G617" s="15" t="n"/>
      <c r="H617" s="16" t="n"/>
      <c r="I617" s="16" t="n"/>
      <c r="J617" s="17" t="n"/>
      <c r="K617" s="17" t="n"/>
      <c r="L617" s="17" t="n"/>
      <c r="M617" s="16" t="n"/>
      <c r="N617" s="16" t="n"/>
      <c r="O617" s="18" t="n"/>
      <c r="P617" s="18" t="n"/>
      <c r="Q617" s="16" t="n"/>
    </row>
    <row r="618">
      <c r="E618" s="15" t="n"/>
      <c r="F618" s="15" t="n"/>
      <c r="G618" s="15" t="n"/>
      <c r="H618" s="16" t="n"/>
      <c r="I618" s="16" t="n"/>
      <c r="J618" s="17" t="n"/>
      <c r="K618" s="17" t="n"/>
      <c r="L618" s="17" t="n"/>
      <c r="M618" s="16" t="n"/>
      <c r="N618" s="16" t="n"/>
      <c r="O618" s="18" t="n"/>
      <c r="P618" s="18" t="n"/>
      <c r="Q618" s="16" t="n"/>
    </row>
    <row r="619">
      <c r="E619" s="15" t="n"/>
      <c r="F619" s="15" t="n"/>
      <c r="G619" s="15" t="n"/>
      <c r="H619" s="16" t="n"/>
      <c r="I619" s="16" t="n"/>
      <c r="J619" s="17" t="n"/>
      <c r="K619" s="17" t="n"/>
      <c r="L619" s="17" t="n"/>
      <c r="M619" s="16" t="n"/>
      <c r="N619" s="16" t="n"/>
      <c r="O619" s="18" t="n"/>
      <c r="P619" s="18" t="n"/>
      <c r="Q619" s="16" t="n"/>
    </row>
    <row r="620">
      <c r="E620" s="15" t="n"/>
      <c r="F620" s="15" t="n"/>
      <c r="G620" s="15" t="n"/>
      <c r="H620" s="16" t="n"/>
      <c r="I620" s="16" t="n"/>
      <c r="J620" s="17" t="n"/>
      <c r="K620" s="17" t="n"/>
      <c r="L620" s="17" t="n"/>
      <c r="M620" s="16" t="n"/>
      <c r="N620" s="16" t="n"/>
      <c r="O620" s="18" t="n"/>
      <c r="P620" s="18" t="n"/>
      <c r="Q620" s="16" t="n"/>
    </row>
    <row r="621">
      <c r="E621" s="15" t="n"/>
      <c r="F621" s="15" t="n"/>
      <c r="G621" s="15" t="n"/>
      <c r="H621" s="16" t="n"/>
      <c r="I621" s="16" t="n"/>
      <c r="J621" s="17" t="n"/>
      <c r="K621" s="17" t="n"/>
      <c r="L621" s="17" t="n"/>
      <c r="M621" s="16" t="n"/>
      <c r="N621" s="16" t="n"/>
      <c r="O621" s="18" t="n"/>
      <c r="P621" s="18" t="n"/>
      <c r="Q621" s="16" t="n"/>
    </row>
    <row r="622">
      <c r="E622" s="15" t="n"/>
      <c r="F622" s="15" t="n"/>
      <c r="G622" s="15" t="n"/>
      <c r="H622" s="16" t="n"/>
      <c r="I622" s="16" t="n"/>
      <c r="J622" s="17" t="n"/>
      <c r="K622" s="17" t="n"/>
      <c r="L622" s="17" t="n"/>
      <c r="M622" s="16" t="n"/>
      <c r="N622" s="16" t="n"/>
      <c r="O622" s="18" t="n"/>
      <c r="P622" s="18" t="n"/>
      <c r="Q622" s="16" t="n"/>
    </row>
    <row r="623">
      <c r="E623" s="15" t="n"/>
      <c r="F623" s="15" t="n"/>
      <c r="G623" s="15" t="n"/>
      <c r="H623" s="16" t="n"/>
      <c r="I623" s="16" t="n"/>
      <c r="J623" s="17" t="n"/>
      <c r="K623" s="17" t="n"/>
      <c r="L623" s="17" t="n"/>
      <c r="M623" s="16" t="n"/>
      <c r="N623" s="16" t="n"/>
      <c r="O623" s="18" t="n"/>
      <c r="P623" s="18" t="n"/>
      <c r="Q623" s="16" t="n"/>
    </row>
    <row r="624">
      <c r="E624" s="15" t="n"/>
      <c r="F624" s="15" t="n"/>
      <c r="G624" s="15" t="n"/>
      <c r="H624" s="16" t="n"/>
      <c r="I624" s="16" t="n"/>
      <c r="J624" s="17" t="n"/>
      <c r="K624" s="17" t="n"/>
      <c r="L624" s="17" t="n"/>
      <c r="M624" s="16" t="n"/>
      <c r="N624" s="16" t="n"/>
      <c r="O624" s="18" t="n"/>
      <c r="P624" s="18" t="n"/>
      <c r="Q624" s="16" t="n"/>
    </row>
    <row r="625">
      <c r="E625" s="15" t="n"/>
      <c r="F625" s="15" t="n"/>
      <c r="G625" s="15" t="n"/>
      <c r="H625" s="16" t="n"/>
      <c r="I625" s="16" t="n"/>
      <c r="J625" s="17" t="n"/>
      <c r="K625" s="17" t="n"/>
      <c r="L625" s="17" t="n"/>
      <c r="M625" s="16" t="n"/>
      <c r="N625" s="16" t="n"/>
      <c r="O625" s="18" t="n"/>
      <c r="P625" s="18" t="n"/>
      <c r="Q625" s="16" t="n"/>
    </row>
    <row r="626">
      <c r="E626" s="15" t="n"/>
      <c r="F626" s="15" t="n"/>
      <c r="G626" s="15" t="n"/>
      <c r="H626" s="16" t="n"/>
      <c r="I626" s="16" t="n"/>
      <c r="J626" s="17" t="n"/>
      <c r="K626" s="17" t="n"/>
      <c r="L626" s="17" t="n"/>
      <c r="M626" s="16" t="n"/>
      <c r="N626" s="16" t="n"/>
      <c r="O626" s="18" t="n"/>
      <c r="P626" s="18" t="n"/>
      <c r="Q626" s="16" t="n"/>
    </row>
    <row r="627">
      <c r="E627" s="15" t="n"/>
      <c r="F627" s="15" t="n"/>
      <c r="G627" s="15" t="n"/>
      <c r="H627" s="16" t="n"/>
      <c r="I627" s="16" t="n"/>
      <c r="J627" s="17" t="n"/>
      <c r="K627" s="17" t="n"/>
      <c r="L627" s="17" t="n"/>
      <c r="M627" s="16" t="n"/>
      <c r="N627" s="16" t="n"/>
      <c r="O627" s="18" t="n"/>
      <c r="P627" s="18" t="n"/>
      <c r="Q627" s="16" t="n"/>
    </row>
    <row r="628">
      <c r="E628" s="15" t="n"/>
      <c r="F628" s="15" t="n"/>
      <c r="G628" s="15" t="n"/>
      <c r="H628" s="16" t="n"/>
      <c r="I628" s="16" t="n"/>
      <c r="J628" s="17" t="n"/>
      <c r="K628" s="17" t="n"/>
      <c r="L628" s="17" t="n"/>
      <c r="M628" s="16" t="n"/>
      <c r="N628" s="16" t="n"/>
      <c r="O628" s="18" t="n"/>
      <c r="P628" s="18" t="n"/>
      <c r="Q628" s="16" t="n"/>
    </row>
    <row r="629">
      <c r="E629" s="15" t="n"/>
      <c r="F629" s="15" t="n"/>
      <c r="G629" s="15" t="n"/>
      <c r="H629" s="16" t="n"/>
      <c r="I629" s="16" t="n"/>
      <c r="J629" s="17" t="n"/>
      <c r="K629" s="17" t="n"/>
      <c r="L629" s="17" t="n"/>
      <c r="M629" s="16" t="n"/>
      <c r="N629" s="16" t="n"/>
      <c r="O629" s="18" t="n"/>
      <c r="P629" s="18" t="n"/>
      <c r="Q629" s="16" t="n"/>
    </row>
    <row r="630">
      <c r="E630" s="15" t="n"/>
      <c r="F630" s="15" t="n"/>
      <c r="G630" s="15" t="n"/>
      <c r="H630" s="16" t="n"/>
      <c r="I630" s="16" t="n"/>
      <c r="J630" s="17" t="n"/>
      <c r="K630" s="17" t="n"/>
      <c r="L630" s="17" t="n"/>
      <c r="M630" s="16" t="n"/>
      <c r="N630" s="16" t="n"/>
      <c r="O630" s="18" t="n"/>
      <c r="P630" s="18" t="n"/>
      <c r="Q630" s="16" t="n"/>
    </row>
    <row r="631">
      <c r="E631" s="15" t="n"/>
      <c r="F631" s="15" t="n"/>
      <c r="G631" s="15" t="n"/>
      <c r="H631" s="16" t="n"/>
      <c r="I631" s="16" t="n"/>
      <c r="J631" s="17" t="n"/>
      <c r="K631" s="17" t="n"/>
      <c r="L631" s="17" t="n"/>
      <c r="M631" s="16" t="n"/>
      <c r="N631" s="16" t="n"/>
      <c r="O631" s="18" t="n"/>
      <c r="P631" s="18" t="n"/>
      <c r="Q631" s="16" t="n"/>
    </row>
    <row r="632">
      <c r="E632" s="15" t="n"/>
      <c r="F632" s="15" t="n"/>
      <c r="G632" s="15" t="n"/>
      <c r="H632" s="16" t="n"/>
      <c r="I632" s="16" t="n"/>
      <c r="J632" s="17" t="n"/>
      <c r="K632" s="17" t="n"/>
      <c r="L632" s="17" t="n"/>
      <c r="M632" s="16" t="n"/>
      <c r="N632" s="16" t="n"/>
      <c r="O632" s="18" t="n"/>
      <c r="P632" s="18" t="n"/>
      <c r="Q632" s="16" t="n"/>
    </row>
    <row r="633">
      <c r="E633" s="15" t="n"/>
      <c r="F633" s="15" t="n"/>
      <c r="G633" s="15" t="n"/>
      <c r="H633" s="16" t="n"/>
      <c r="I633" s="16" t="n"/>
      <c r="J633" s="17" t="n"/>
      <c r="K633" s="17" t="n"/>
      <c r="L633" s="17" t="n"/>
      <c r="M633" s="16" t="n"/>
      <c r="N633" s="16" t="n"/>
      <c r="O633" s="18" t="n"/>
      <c r="P633" s="18" t="n"/>
      <c r="Q633" s="16" t="n"/>
    </row>
    <row r="634">
      <c r="E634" s="15" t="n"/>
      <c r="F634" s="15" t="n"/>
      <c r="G634" s="15" t="n"/>
      <c r="H634" s="16" t="n"/>
      <c r="I634" s="16" t="n"/>
      <c r="J634" s="17" t="n"/>
      <c r="K634" s="17" t="n"/>
      <c r="L634" s="17" t="n"/>
      <c r="M634" s="16" t="n"/>
      <c r="N634" s="16" t="n"/>
      <c r="O634" s="18" t="n"/>
      <c r="P634" s="18" t="n"/>
      <c r="Q634" s="16" t="n"/>
    </row>
    <row r="635">
      <c r="E635" s="15" t="n"/>
      <c r="F635" s="15" t="n"/>
      <c r="G635" s="15" t="n"/>
      <c r="H635" s="16" t="n"/>
      <c r="I635" s="16" t="n"/>
      <c r="J635" s="17" t="n"/>
      <c r="K635" s="17" t="n"/>
      <c r="L635" s="17" t="n"/>
      <c r="M635" s="16" t="n"/>
      <c r="N635" s="16" t="n"/>
      <c r="O635" s="18" t="n"/>
      <c r="P635" s="18" t="n"/>
      <c r="Q635" s="16" t="n"/>
    </row>
    <row r="636">
      <c r="E636" s="15" t="n"/>
      <c r="F636" s="15" t="n"/>
      <c r="G636" s="15" t="n"/>
      <c r="H636" s="16" t="n"/>
      <c r="I636" s="16" t="n"/>
      <c r="J636" s="17" t="n"/>
      <c r="K636" s="17" t="n"/>
      <c r="L636" s="17" t="n"/>
      <c r="M636" s="16" t="n"/>
      <c r="N636" s="16" t="n"/>
      <c r="O636" s="18" t="n"/>
      <c r="P636" s="18" t="n"/>
      <c r="Q636" s="16" t="n"/>
    </row>
    <row r="637">
      <c r="E637" s="15" t="n"/>
      <c r="F637" s="15" t="n"/>
      <c r="G637" s="15" t="n"/>
      <c r="H637" s="16" t="n"/>
      <c r="I637" s="16" t="n"/>
      <c r="J637" s="17" t="n"/>
      <c r="K637" s="17" t="n"/>
      <c r="L637" s="17" t="n"/>
      <c r="M637" s="16" t="n"/>
      <c r="N637" s="16" t="n"/>
      <c r="O637" s="18" t="n"/>
      <c r="P637" s="18" t="n"/>
      <c r="Q637" s="16" t="n"/>
    </row>
    <row r="638">
      <c r="E638" s="15" t="n"/>
      <c r="F638" s="15" t="n"/>
      <c r="G638" s="15" t="n"/>
      <c r="H638" s="16" t="n"/>
      <c r="I638" s="16" t="n"/>
      <c r="J638" s="17" t="n"/>
      <c r="K638" s="17" t="n"/>
      <c r="L638" s="17" t="n"/>
      <c r="M638" s="16" t="n"/>
      <c r="N638" s="16" t="n"/>
      <c r="O638" s="18" t="n"/>
      <c r="P638" s="18" t="n"/>
      <c r="Q638" s="16" t="n"/>
    </row>
    <row r="639">
      <c r="E639" s="15" t="n"/>
      <c r="F639" s="15" t="n"/>
      <c r="G639" s="15" t="n"/>
      <c r="H639" s="16" t="n"/>
      <c r="I639" s="16" t="n"/>
      <c r="J639" s="17" t="n"/>
      <c r="K639" s="17" t="n"/>
      <c r="L639" s="17" t="n"/>
      <c r="M639" s="16" t="n"/>
      <c r="N639" s="16" t="n"/>
      <c r="O639" s="18" t="n"/>
      <c r="P639" s="18" t="n"/>
      <c r="Q639" s="16" t="n"/>
    </row>
    <row r="640">
      <c r="E640" s="15" t="n"/>
      <c r="F640" s="15" t="n"/>
      <c r="G640" s="15" t="n"/>
      <c r="H640" s="16" t="n"/>
      <c r="I640" s="16" t="n"/>
      <c r="J640" s="17" t="n"/>
      <c r="K640" s="17" t="n"/>
      <c r="L640" s="17" t="n"/>
      <c r="M640" s="16" t="n"/>
      <c r="N640" s="16" t="n"/>
      <c r="O640" s="18" t="n"/>
      <c r="P640" s="18" t="n"/>
      <c r="Q640" s="16" t="n"/>
    </row>
    <row r="641">
      <c r="E641" s="15" t="n"/>
      <c r="F641" s="15" t="n"/>
      <c r="G641" s="15" t="n"/>
      <c r="H641" s="16" t="n"/>
      <c r="I641" s="16" t="n"/>
      <c r="J641" s="17" t="n"/>
      <c r="K641" s="17" t="n"/>
      <c r="L641" s="17" t="n"/>
      <c r="M641" s="16" t="n"/>
      <c r="N641" s="16" t="n"/>
      <c r="O641" s="18" t="n"/>
      <c r="P641" s="18" t="n"/>
      <c r="Q641" s="16" t="n"/>
    </row>
    <row r="642">
      <c r="E642" s="15" t="n"/>
      <c r="F642" s="15" t="n"/>
      <c r="G642" s="15" t="n"/>
      <c r="H642" s="16" t="n"/>
      <c r="I642" s="16" t="n"/>
      <c r="J642" s="17" t="n"/>
      <c r="K642" s="17" t="n"/>
      <c r="L642" s="17" t="n"/>
      <c r="M642" s="16" t="n"/>
      <c r="N642" s="16" t="n"/>
      <c r="O642" s="18" t="n"/>
      <c r="P642" s="18" t="n"/>
      <c r="Q642" s="16" t="n"/>
    </row>
    <row r="643">
      <c r="E643" s="15" t="n"/>
      <c r="F643" s="15" t="n"/>
      <c r="G643" s="15" t="n"/>
      <c r="H643" s="16" t="n"/>
      <c r="I643" s="16" t="n"/>
      <c r="J643" s="17" t="n"/>
      <c r="K643" s="17" t="n"/>
      <c r="L643" s="17" t="n"/>
      <c r="M643" s="16" t="n"/>
      <c r="N643" s="16" t="n"/>
      <c r="O643" s="18" t="n"/>
      <c r="P643" s="18" t="n"/>
      <c r="Q643" s="16" t="n"/>
    </row>
    <row r="644">
      <c r="E644" s="15" t="n"/>
      <c r="F644" s="15" t="n"/>
      <c r="G644" s="15" t="n"/>
      <c r="H644" s="16" t="n"/>
      <c r="I644" s="16" t="n"/>
      <c r="J644" s="17" t="n"/>
      <c r="K644" s="17" t="n"/>
      <c r="L644" s="17" t="n"/>
      <c r="M644" s="16" t="n"/>
      <c r="N644" s="16" t="n"/>
      <c r="O644" s="18" t="n"/>
      <c r="P644" s="18" t="n"/>
      <c r="Q644" s="16" t="n"/>
    </row>
    <row r="645">
      <c r="E645" s="15" t="n"/>
      <c r="F645" s="15" t="n"/>
      <c r="G645" s="15" t="n"/>
      <c r="H645" s="16" t="n"/>
      <c r="I645" s="16" t="n"/>
      <c r="J645" s="17" t="n"/>
      <c r="K645" s="17" t="n"/>
      <c r="L645" s="17" t="n"/>
      <c r="M645" s="16" t="n"/>
      <c r="N645" s="16" t="n"/>
      <c r="O645" s="18" t="n"/>
      <c r="P645" s="18" t="n"/>
      <c r="Q645" s="16" t="n"/>
    </row>
    <row r="646">
      <c r="E646" s="15" t="n"/>
      <c r="F646" s="15" t="n"/>
      <c r="G646" s="15" t="n"/>
      <c r="H646" s="16" t="n"/>
      <c r="I646" s="16" t="n"/>
      <c r="J646" s="17" t="n"/>
      <c r="K646" s="17" t="n"/>
      <c r="L646" s="17" t="n"/>
      <c r="M646" s="16" t="n"/>
      <c r="N646" s="16" t="n"/>
      <c r="O646" s="18" t="n"/>
      <c r="P646" s="18" t="n"/>
      <c r="Q646" s="16" t="n"/>
    </row>
    <row r="647">
      <c r="E647" s="15" t="n"/>
      <c r="F647" s="15" t="n"/>
      <c r="G647" s="15" t="n"/>
      <c r="H647" s="16" t="n"/>
      <c r="I647" s="16" t="n"/>
      <c r="J647" s="17" t="n"/>
      <c r="K647" s="17" t="n"/>
      <c r="L647" s="17" t="n"/>
      <c r="M647" s="16" t="n"/>
      <c r="N647" s="16" t="n"/>
      <c r="O647" s="18" t="n"/>
      <c r="P647" s="18" t="n"/>
      <c r="Q647" s="16" t="n"/>
    </row>
    <row r="648">
      <c r="E648" s="15" t="n"/>
      <c r="F648" s="15" t="n"/>
      <c r="G648" s="15" t="n"/>
      <c r="H648" s="16" t="n"/>
      <c r="I648" s="16" t="n"/>
      <c r="J648" s="17" t="n"/>
      <c r="K648" s="17" t="n"/>
      <c r="L648" s="17" t="n"/>
      <c r="M648" s="16" t="n"/>
      <c r="N648" s="16" t="n"/>
      <c r="O648" s="18" t="n"/>
      <c r="P648" s="18" t="n"/>
      <c r="Q648" s="16" t="n"/>
    </row>
    <row r="649">
      <c r="E649" s="15" t="n"/>
      <c r="F649" s="15" t="n"/>
      <c r="G649" s="15" t="n"/>
      <c r="H649" s="16" t="n"/>
      <c r="I649" s="16" t="n"/>
      <c r="J649" s="17" t="n"/>
      <c r="K649" s="17" t="n"/>
      <c r="L649" s="17" t="n"/>
      <c r="M649" s="16" t="n"/>
      <c r="N649" s="16" t="n"/>
      <c r="O649" s="18" t="n"/>
      <c r="P649" s="18" t="n"/>
      <c r="Q649" s="16" t="n"/>
    </row>
    <row r="650">
      <c r="E650" s="15" t="n"/>
      <c r="F650" s="15" t="n"/>
      <c r="G650" s="15" t="n"/>
      <c r="H650" s="16" t="n"/>
      <c r="I650" s="16" t="n"/>
      <c r="J650" s="17" t="n"/>
      <c r="K650" s="17" t="n"/>
      <c r="L650" s="17" t="n"/>
      <c r="M650" s="16" t="n"/>
      <c r="N650" s="16" t="n"/>
      <c r="O650" s="18" t="n"/>
      <c r="P650" s="18" t="n"/>
      <c r="Q650" s="16" t="n"/>
    </row>
    <row r="651">
      <c r="E651" s="15" t="n"/>
      <c r="F651" s="15" t="n"/>
      <c r="G651" s="15" t="n"/>
      <c r="H651" s="16" t="n"/>
      <c r="I651" s="16" t="n"/>
      <c r="J651" s="17" t="n"/>
      <c r="K651" s="17" t="n"/>
      <c r="L651" s="17" t="n"/>
      <c r="M651" s="16" t="n"/>
      <c r="N651" s="16" t="n"/>
      <c r="O651" s="18" t="n"/>
      <c r="P651" s="18" t="n"/>
      <c r="Q651" s="16" t="n"/>
    </row>
    <row r="652">
      <c r="E652" s="15" t="n"/>
      <c r="F652" s="15" t="n"/>
      <c r="G652" s="15" t="n"/>
      <c r="H652" s="16" t="n"/>
      <c r="I652" s="16" t="n"/>
      <c r="J652" s="17" t="n"/>
      <c r="K652" s="17" t="n"/>
      <c r="L652" s="17" t="n"/>
      <c r="M652" s="16" t="n"/>
      <c r="N652" s="16" t="n"/>
      <c r="O652" s="18" t="n"/>
      <c r="P652" s="18" t="n"/>
      <c r="Q652" s="16" t="n"/>
    </row>
    <row r="653">
      <c r="E653" s="15" t="n"/>
      <c r="F653" s="15" t="n"/>
      <c r="G653" s="15" t="n"/>
      <c r="H653" s="16" t="n"/>
      <c r="I653" s="16" t="n"/>
      <c r="J653" s="17" t="n"/>
      <c r="K653" s="17" t="n"/>
      <c r="L653" s="17" t="n"/>
      <c r="M653" s="16" t="n"/>
      <c r="N653" s="16" t="n"/>
      <c r="O653" s="18" t="n"/>
      <c r="P653" s="18" t="n"/>
      <c r="Q653" s="16" t="n"/>
    </row>
    <row r="654">
      <c r="E654" s="15" t="n"/>
      <c r="F654" s="15" t="n"/>
      <c r="G654" s="15" t="n"/>
      <c r="H654" s="16" t="n"/>
      <c r="I654" s="16" t="n"/>
      <c r="J654" s="17" t="n"/>
      <c r="K654" s="17" t="n"/>
      <c r="L654" s="17" t="n"/>
      <c r="M654" s="16" t="n"/>
      <c r="N654" s="16" t="n"/>
      <c r="O654" s="18" t="n"/>
      <c r="P654" s="18" t="n"/>
      <c r="Q654" s="16" t="n"/>
    </row>
    <row r="655">
      <c r="E655" s="15" t="n"/>
      <c r="F655" s="15" t="n"/>
      <c r="G655" s="15" t="n"/>
      <c r="H655" s="16" t="n"/>
      <c r="I655" s="16" t="n"/>
      <c r="J655" s="17" t="n"/>
      <c r="K655" s="17" t="n"/>
      <c r="L655" s="17" t="n"/>
      <c r="M655" s="16" t="n"/>
      <c r="N655" s="16" t="n"/>
      <c r="O655" s="18" t="n"/>
      <c r="P655" s="18" t="n"/>
      <c r="Q655" s="16" t="n"/>
    </row>
    <row r="656">
      <c r="E656" s="15" t="n"/>
      <c r="F656" s="15" t="n"/>
      <c r="G656" s="15" t="n"/>
      <c r="H656" s="16" t="n"/>
      <c r="I656" s="16" t="n"/>
      <c r="J656" s="17" t="n"/>
      <c r="K656" s="17" t="n"/>
      <c r="L656" s="17" t="n"/>
      <c r="M656" s="16" t="n"/>
      <c r="N656" s="16" t="n"/>
      <c r="O656" s="18" t="n"/>
      <c r="P656" s="18" t="n"/>
      <c r="Q656" s="16" t="n"/>
    </row>
    <row r="657">
      <c r="E657" s="15" t="n"/>
      <c r="F657" s="15" t="n"/>
      <c r="G657" s="15" t="n"/>
      <c r="H657" s="16" t="n"/>
      <c r="I657" s="16" t="n"/>
      <c r="J657" s="17" t="n"/>
      <c r="K657" s="17" t="n"/>
      <c r="L657" s="17" t="n"/>
      <c r="M657" s="16" t="n"/>
      <c r="N657" s="16" t="n"/>
      <c r="O657" s="18" t="n"/>
      <c r="P657" s="18" t="n"/>
      <c r="Q657" s="16" t="n"/>
    </row>
    <row r="658">
      <c r="E658" s="15" t="n"/>
      <c r="F658" s="15" t="n"/>
      <c r="G658" s="15" t="n"/>
      <c r="H658" s="16" t="n"/>
      <c r="I658" s="16" t="n"/>
      <c r="J658" s="17" t="n"/>
      <c r="K658" s="17" t="n"/>
      <c r="L658" s="17" t="n"/>
      <c r="M658" s="16" t="n"/>
      <c r="N658" s="16" t="n"/>
      <c r="O658" s="18" t="n"/>
      <c r="P658" s="18" t="n"/>
      <c r="Q658" s="16" t="n"/>
    </row>
    <row r="659">
      <c r="E659" s="15" t="n"/>
      <c r="F659" s="15" t="n"/>
      <c r="G659" s="15" t="n"/>
      <c r="H659" s="16" t="n"/>
      <c r="I659" s="16" t="n"/>
      <c r="J659" s="17" t="n"/>
      <c r="K659" s="17" t="n"/>
      <c r="L659" s="17" t="n"/>
      <c r="M659" s="16" t="n"/>
      <c r="N659" s="16" t="n"/>
      <c r="O659" s="18" t="n"/>
      <c r="P659" s="18" t="n"/>
      <c r="Q659" s="16" t="n"/>
    </row>
    <row r="660">
      <c r="E660" s="15" t="n"/>
      <c r="F660" s="15" t="n"/>
      <c r="G660" s="15" t="n"/>
      <c r="H660" s="16" t="n"/>
      <c r="I660" s="16" t="n"/>
      <c r="J660" s="17" t="n"/>
      <c r="K660" s="17" t="n"/>
      <c r="L660" s="17" t="n"/>
      <c r="M660" s="16" t="n"/>
      <c r="N660" s="16" t="n"/>
      <c r="O660" s="18" t="n"/>
      <c r="P660" s="18" t="n"/>
      <c r="Q660" s="16" t="n"/>
    </row>
    <row r="661">
      <c r="E661" s="15" t="n"/>
      <c r="F661" s="15" t="n"/>
      <c r="G661" s="15" t="n"/>
      <c r="H661" s="16" t="n"/>
      <c r="I661" s="16" t="n"/>
      <c r="J661" s="17" t="n"/>
      <c r="K661" s="17" t="n"/>
      <c r="L661" s="17" t="n"/>
      <c r="M661" s="16" t="n"/>
      <c r="N661" s="16" t="n"/>
      <c r="O661" s="18" t="n"/>
      <c r="P661" s="18" t="n"/>
      <c r="Q661" s="16" t="n"/>
    </row>
    <row r="662">
      <c r="E662" s="15" t="n"/>
      <c r="F662" s="15" t="n"/>
      <c r="G662" s="15" t="n"/>
      <c r="H662" s="16" t="n"/>
      <c r="I662" s="16" t="n"/>
      <c r="J662" s="17" t="n"/>
      <c r="K662" s="17" t="n"/>
      <c r="L662" s="17" t="n"/>
      <c r="M662" s="16" t="n"/>
      <c r="N662" s="16" t="n"/>
      <c r="O662" s="18" t="n"/>
      <c r="P662" s="18" t="n"/>
      <c r="Q662" s="16" t="n"/>
    </row>
    <row r="663">
      <c r="E663" s="15" t="n"/>
      <c r="F663" s="15" t="n"/>
      <c r="G663" s="15" t="n"/>
      <c r="H663" s="16" t="n"/>
      <c r="I663" s="16" t="n"/>
      <c r="J663" s="17" t="n"/>
      <c r="K663" s="17" t="n"/>
      <c r="L663" s="17" t="n"/>
      <c r="M663" s="16" t="n"/>
      <c r="N663" s="16" t="n"/>
      <c r="O663" s="18" t="n"/>
      <c r="P663" s="18" t="n"/>
      <c r="Q663" s="16" t="n"/>
    </row>
    <row r="664">
      <c r="E664" s="15" t="n"/>
      <c r="F664" s="15" t="n"/>
      <c r="G664" s="15" t="n"/>
      <c r="H664" s="16" t="n"/>
      <c r="I664" s="16" t="n"/>
      <c r="J664" s="17" t="n"/>
      <c r="K664" s="17" t="n"/>
      <c r="L664" s="17" t="n"/>
      <c r="M664" s="16" t="n"/>
      <c r="N664" s="16" t="n"/>
      <c r="O664" s="18" t="n"/>
      <c r="P664" s="18" t="n"/>
      <c r="Q664" s="16" t="n"/>
    </row>
    <row r="665">
      <c r="E665" s="15" t="n"/>
      <c r="F665" s="15" t="n"/>
      <c r="G665" s="15" t="n"/>
      <c r="H665" s="16" t="n"/>
      <c r="I665" s="16" t="n"/>
      <c r="J665" s="17" t="n"/>
      <c r="K665" s="17" t="n"/>
      <c r="L665" s="17" t="n"/>
      <c r="M665" s="16" t="n"/>
      <c r="N665" s="16" t="n"/>
      <c r="O665" s="18" t="n"/>
      <c r="P665" s="18" t="n"/>
      <c r="Q665" s="16" t="n"/>
    </row>
    <row r="666">
      <c r="E666" s="15" t="n"/>
      <c r="F666" s="15" t="n"/>
      <c r="G666" s="15" t="n"/>
      <c r="H666" s="16" t="n"/>
      <c r="I666" s="16" t="n"/>
      <c r="J666" s="17" t="n"/>
      <c r="K666" s="17" t="n"/>
      <c r="L666" s="17" t="n"/>
      <c r="M666" s="16" t="n"/>
      <c r="N666" s="16" t="n"/>
      <c r="O666" s="18" t="n"/>
      <c r="P666" s="18" t="n"/>
      <c r="Q666" s="16" t="n"/>
    </row>
    <row r="667">
      <c r="E667" s="15" t="n"/>
      <c r="F667" s="15" t="n"/>
      <c r="G667" s="15" t="n"/>
      <c r="H667" s="16" t="n"/>
      <c r="I667" s="16" t="n"/>
      <c r="J667" s="17" t="n"/>
      <c r="K667" s="17" t="n"/>
      <c r="L667" s="17" t="n"/>
      <c r="M667" s="16" t="n"/>
      <c r="N667" s="16" t="n"/>
      <c r="O667" s="18" t="n"/>
      <c r="P667" s="18" t="n"/>
      <c r="Q667" s="16" t="n"/>
    </row>
    <row r="668">
      <c r="E668" s="15" t="n"/>
      <c r="F668" s="15" t="n"/>
      <c r="G668" s="15" t="n"/>
      <c r="H668" s="16" t="n"/>
      <c r="I668" s="16" t="n"/>
      <c r="J668" s="17" t="n"/>
      <c r="K668" s="17" t="n"/>
      <c r="L668" s="17" t="n"/>
      <c r="M668" s="16" t="n"/>
      <c r="N668" s="16" t="n"/>
      <c r="O668" s="18" t="n"/>
      <c r="P668" s="18" t="n"/>
      <c r="Q668" s="16" t="n"/>
    </row>
    <row r="669">
      <c r="E669" s="15" t="n"/>
      <c r="F669" s="15" t="n"/>
      <c r="G669" s="15" t="n"/>
      <c r="H669" s="16" t="n"/>
      <c r="I669" s="16" t="n"/>
      <c r="J669" s="17" t="n"/>
      <c r="K669" s="17" t="n"/>
      <c r="L669" s="17" t="n"/>
      <c r="M669" s="16" t="n"/>
      <c r="N669" s="16" t="n"/>
      <c r="O669" s="18" t="n"/>
      <c r="P669" s="18" t="n"/>
      <c r="Q669" s="16" t="n"/>
    </row>
    <row r="670">
      <c r="E670" s="15" t="n"/>
      <c r="F670" s="15" t="n"/>
      <c r="G670" s="15" t="n"/>
      <c r="H670" s="16" t="n"/>
      <c r="I670" s="16" t="n"/>
      <c r="J670" s="17" t="n"/>
      <c r="K670" s="17" t="n"/>
      <c r="L670" s="17" t="n"/>
      <c r="M670" s="16" t="n"/>
      <c r="N670" s="16" t="n"/>
      <c r="O670" s="18" t="n"/>
      <c r="P670" s="18" t="n"/>
      <c r="Q670" s="16" t="n"/>
    </row>
    <row r="671">
      <c r="E671" s="15" t="n"/>
      <c r="F671" s="15" t="n"/>
      <c r="G671" s="15" t="n"/>
      <c r="H671" s="16" t="n"/>
      <c r="I671" s="16" t="n"/>
      <c r="J671" s="17" t="n"/>
      <c r="K671" s="17" t="n"/>
      <c r="L671" s="17" t="n"/>
      <c r="M671" s="16" t="n"/>
      <c r="N671" s="16" t="n"/>
      <c r="O671" s="18" t="n"/>
      <c r="P671" s="18" t="n"/>
      <c r="Q671" s="16" t="n"/>
    </row>
    <row r="672">
      <c r="E672" s="15" t="n"/>
      <c r="F672" s="15" t="n"/>
      <c r="G672" s="15" t="n"/>
      <c r="H672" s="16" t="n"/>
      <c r="I672" s="16" t="n"/>
      <c r="J672" s="17" t="n"/>
      <c r="K672" s="17" t="n"/>
      <c r="L672" s="17" t="n"/>
      <c r="M672" s="16" t="n"/>
      <c r="N672" s="16" t="n"/>
      <c r="O672" s="18" t="n"/>
      <c r="P672" s="18" t="n"/>
      <c r="Q672" s="16" t="n"/>
    </row>
    <row r="673">
      <c r="E673" s="15" t="n"/>
      <c r="F673" s="15" t="n"/>
      <c r="G673" s="15" t="n"/>
      <c r="H673" s="16" t="n"/>
      <c r="I673" s="16" t="n"/>
      <c r="J673" s="17" t="n"/>
      <c r="K673" s="17" t="n"/>
      <c r="L673" s="17" t="n"/>
      <c r="M673" s="16" t="n"/>
      <c r="N673" s="16" t="n"/>
      <c r="O673" s="18" t="n"/>
      <c r="P673" s="18" t="n"/>
      <c r="Q673" s="16" t="n"/>
    </row>
    <row r="674">
      <c r="E674" s="15" t="n"/>
      <c r="F674" s="15" t="n"/>
      <c r="G674" s="15" t="n"/>
      <c r="H674" s="16" t="n"/>
      <c r="I674" s="16" t="n"/>
      <c r="J674" s="17" t="n"/>
      <c r="K674" s="17" t="n"/>
      <c r="L674" s="17" t="n"/>
      <c r="M674" s="16" t="n"/>
      <c r="N674" s="16" t="n"/>
      <c r="O674" s="18" t="n"/>
      <c r="P674" s="18" t="n"/>
      <c r="Q674" s="16" t="n"/>
    </row>
    <row r="675">
      <c r="E675" s="15" t="n"/>
      <c r="F675" s="15" t="n"/>
      <c r="G675" s="15" t="n"/>
      <c r="H675" s="16" t="n"/>
      <c r="I675" s="16" t="n"/>
      <c r="J675" s="17" t="n"/>
      <c r="K675" s="17" t="n"/>
      <c r="L675" s="17" t="n"/>
      <c r="M675" s="16" t="n"/>
      <c r="N675" s="16" t="n"/>
      <c r="O675" s="18" t="n"/>
      <c r="P675" s="18" t="n"/>
      <c r="Q675" s="16" t="n"/>
    </row>
    <row r="676">
      <c r="E676" s="15" t="n"/>
      <c r="F676" s="15" t="n"/>
      <c r="G676" s="15" t="n"/>
      <c r="H676" s="16" t="n"/>
      <c r="I676" s="16" t="n"/>
      <c r="J676" s="17" t="n"/>
      <c r="K676" s="17" t="n"/>
      <c r="L676" s="17" t="n"/>
      <c r="M676" s="16" t="n"/>
      <c r="N676" s="16" t="n"/>
      <c r="O676" s="18" t="n"/>
      <c r="P676" s="18" t="n"/>
      <c r="Q676" s="16" t="n"/>
    </row>
    <row r="677">
      <c r="E677" s="15" t="n"/>
      <c r="F677" s="15" t="n"/>
      <c r="G677" s="15" t="n"/>
      <c r="H677" s="16" t="n"/>
      <c r="I677" s="16" t="n"/>
      <c r="J677" s="17" t="n"/>
      <c r="K677" s="17" t="n"/>
      <c r="L677" s="17" t="n"/>
      <c r="M677" s="16" t="n"/>
      <c r="N677" s="16" t="n"/>
      <c r="O677" s="18" t="n"/>
      <c r="P677" s="18" t="n"/>
      <c r="Q677" s="16" t="n"/>
    </row>
    <row r="678">
      <c r="E678" s="15" t="n"/>
      <c r="F678" s="15" t="n"/>
      <c r="G678" s="15" t="n"/>
      <c r="H678" s="16" t="n"/>
      <c r="I678" s="16" t="n"/>
      <c r="J678" s="17" t="n"/>
      <c r="K678" s="17" t="n"/>
      <c r="L678" s="17" t="n"/>
      <c r="M678" s="16" t="n"/>
      <c r="N678" s="16" t="n"/>
      <c r="O678" s="18" t="n"/>
      <c r="P678" s="18" t="n"/>
      <c r="Q678" s="16" t="n"/>
    </row>
    <row r="679">
      <c r="E679" s="15" t="n"/>
      <c r="F679" s="15" t="n"/>
      <c r="G679" s="15" t="n"/>
      <c r="H679" s="16" t="n"/>
      <c r="I679" s="16" t="n"/>
      <c r="J679" s="17" t="n"/>
      <c r="K679" s="17" t="n"/>
      <c r="L679" s="17" t="n"/>
      <c r="M679" s="16" t="n"/>
      <c r="N679" s="16" t="n"/>
      <c r="O679" s="18" t="n"/>
      <c r="P679" s="18" t="n"/>
      <c r="Q679" s="16" t="n"/>
    </row>
    <row r="680">
      <c r="E680" s="15" t="n"/>
      <c r="F680" s="15" t="n"/>
      <c r="G680" s="15" t="n"/>
      <c r="H680" s="16" t="n"/>
      <c r="I680" s="16" t="n"/>
      <c r="J680" s="17" t="n"/>
      <c r="K680" s="17" t="n"/>
      <c r="L680" s="17" t="n"/>
      <c r="M680" s="16" t="n"/>
      <c r="N680" s="16" t="n"/>
      <c r="O680" s="18" t="n"/>
      <c r="P680" s="18" t="n"/>
      <c r="Q680" s="16" t="n"/>
    </row>
    <row r="681">
      <c r="E681" s="15" t="n"/>
      <c r="F681" s="15" t="n"/>
      <c r="G681" s="15" t="n"/>
      <c r="H681" s="16" t="n"/>
      <c r="I681" s="16" t="n"/>
      <c r="J681" s="17" t="n"/>
      <c r="K681" s="17" t="n"/>
      <c r="L681" s="17" t="n"/>
      <c r="M681" s="16" t="n"/>
      <c r="N681" s="16" t="n"/>
      <c r="O681" s="18" t="n"/>
      <c r="P681" s="18" t="n"/>
      <c r="Q681" s="16" t="n"/>
    </row>
    <row r="682">
      <c r="E682" s="15" t="n"/>
      <c r="F682" s="15" t="n"/>
      <c r="G682" s="15" t="n"/>
      <c r="H682" s="16" t="n"/>
      <c r="I682" s="16" t="n"/>
      <c r="J682" s="17" t="n"/>
      <c r="K682" s="17" t="n"/>
      <c r="L682" s="17" t="n"/>
      <c r="M682" s="16" t="n"/>
      <c r="N682" s="16" t="n"/>
      <c r="O682" s="18" t="n"/>
      <c r="P682" s="18" t="n"/>
      <c r="Q682" s="16" t="n"/>
    </row>
    <row r="683">
      <c r="E683" s="15" t="n"/>
      <c r="F683" s="15" t="n"/>
      <c r="G683" s="15" t="n"/>
      <c r="H683" s="16" t="n"/>
      <c r="I683" s="16" t="n"/>
      <c r="J683" s="17" t="n"/>
      <c r="K683" s="17" t="n"/>
      <c r="L683" s="17" t="n"/>
      <c r="M683" s="16" t="n"/>
      <c r="N683" s="16" t="n"/>
      <c r="O683" s="18" t="n"/>
      <c r="P683" s="18" t="n"/>
      <c r="Q683" s="16" t="n"/>
    </row>
    <row r="684">
      <c r="E684" s="15" t="n"/>
      <c r="F684" s="15" t="n"/>
      <c r="G684" s="15" t="n"/>
      <c r="H684" s="16" t="n"/>
      <c r="I684" s="16" t="n"/>
      <c r="J684" s="17" t="n"/>
      <c r="K684" s="17" t="n"/>
      <c r="L684" s="17" t="n"/>
      <c r="M684" s="16" t="n"/>
      <c r="N684" s="16" t="n"/>
      <c r="O684" s="18" t="n"/>
      <c r="P684" s="18" t="n"/>
      <c r="Q684" s="16" t="n"/>
    </row>
    <row r="685">
      <c r="E685" s="15" t="n"/>
      <c r="F685" s="15" t="n"/>
      <c r="G685" s="15" t="n"/>
      <c r="H685" s="16" t="n"/>
      <c r="I685" s="16" t="n"/>
      <c r="J685" s="17" t="n"/>
      <c r="K685" s="17" t="n"/>
      <c r="L685" s="17" t="n"/>
      <c r="M685" s="16" t="n"/>
      <c r="N685" s="16" t="n"/>
      <c r="O685" s="18" t="n"/>
      <c r="P685" s="18" t="n"/>
      <c r="Q685" s="16" t="n"/>
    </row>
    <row r="686">
      <c r="E686" s="15" t="n"/>
      <c r="F686" s="15" t="n"/>
      <c r="G686" s="15" t="n"/>
      <c r="H686" s="16" t="n"/>
      <c r="I686" s="16" t="n"/>
      <c r="J686" s="17" t="n"/>
      <c r="K686" s="17" t="n"/>
      <c r="L686" s="17" t="n"/>
      <c r="M686" s="16" t="n"/>
      <c r="N686" s="16" t="n"/>
      <c r="O686" s="18" t="n"/>
      <c r="P686" s="18" t="n"/>
      <c r="Q686" s="16" t="n"/>
    </row>
    <row r="687">
      <c r="E687" s="15" t="n"/>
      <c r="F687" s="15" t="n"/>
      <c r="G687" s="15" t="n"/>
      <c r="H687" s="16" t="n"/>
      <c r="I687" s="16" t="n"/>
      <c r="J687" s="17" t="n"/>
      <c r="K687" s="17" t="n"/>
      <c r="L687" s="17" t="n"/>
      <c r="M687" s="16" t="n"/>
      <c r="N687" s="16" t="n"/>
      <c r="O687" s="18" t="n"/>
      <c r="P687" s="18" t="n"/>
      <c r="Q687" s="16" t="n"/>
    </row>
    <row r="688">
      <c r="E688" s="15" t="n"/>
      <c r="F688" s="15" t="n"/>
      <c r="G688" s="15" t="n"/>
      <c r="H688" s="16" t="n"/>
      <c r="I688" s="16" t="n"/>
      <c r="J688" s="17" t="n"/>
      <c r="K688" s="17" t="n"/>
      <c r="L688" s="17" t="n"/>
      <c r="M688" s="16" t="n"/>
      <c r="N688" s="16" t="n"/>
      <c r="O688" s="18" t="n"/>
      <c r="P688" s="18" t="n"/>
      <c r="Q688" s="16" t="n"/>
    </row>
    <row r="689">
      <c r="E689" s="15" t="n"/>
      <c r="F689" s="15" t="n"/>
      <c r="G689" s="15" t="n"/>
      <c r="H689" s="16" t="n"/>
      <c r="I689" s="16" t="n"/>
      <c r="J689" s="17" t="n"/>
      <c r="K689" s="17" t="n"/>
      <c r="L689" s="17" t="n"/>
      <c r="M689" s="16" t="n"/>
      <c r="N689" s="16" t="n"/>
      <c r="O689" s="18" t="n"/>
      <c r="P689" s="18" t="n"/>
      <c r="Q689" s="16" t="n"/>
    </row>
    <row r="690">
      <c r="E690" s="15" t="n"/>
      <c r="F690" s="15" t="n"/>
      <c r="G690" s="15" t="n"/>
      <c r="H690" s="16" t="n"/>
      <c r="I690" s="16" t="n"/>
      <c r="J690" s="17" t="n"/>
      <c r="K690" s="17" t="n"/>
      <c r="L690" s="17" t="n"/>
      <c r="M690" s="16" t="n"/>
      <c r="N690" s="16" t="n"/>
      <c r="O690" s="18" t="n"/>
      <c r="P690" s="18" t="n"/>
      <c r="Q690" s="16" t="n"/>
    </row>
    <row r="691">
      <c r="E691" s="15" t="n"/>
      <c r="F691" s="15" t="n"/>
      <c r="G691" s="15" t="n"/>
      <c r="H691" s="16" t="n"/>
      <c r="I691" s="16" t="n"/>
      <c r="J691" s="17" t="n"/>
      <c r="K691" s="17" t="n"/>
      <c r="L691" s="17" t="n"/>
      <c r="M691" s="16" t="n"/>
      <c r="N691" s="16" t="n"/>
      <c r="O691" s="18" t="n"/>
      <c r="P691" s="18" t="n"/>
      <c r="Q691" s="16" t="n"/>
    </row>
    <row r="692">
      <c r="E692" s="15" t="n"/>
      <c r="F692" s="15" t="n"/>
      <c r="G692" s="15" t="n"/>
      <c r="H692" s="16" t="n"/>
      <c r="I692" s="16" t="n"/>
      <c r="J692" s="17" t="n"/>
      <c r="K692" s="17" t="n"/>
      <c r="L692" s="17" t="n"/>
      <c r="M692" s="16" t="n"/>
      <c r="N692" s="16" t="n"/>
      <c r="O692" s="18" t="n"/>
      <c r="P692" s="18" t="n"/>
      <c r="Q692" s="16" t="n"/>
    </row>
    <row r="693">
      <c r="E693" s="15" t="n"/>
      <c r="F693" s="15" t="n"/>
      <c r="G693" s="15" t="n"/>
      <c r="H693" s="16" t="n"/>
      <c r="I693" s="16" t="n"/>
      <c r="J693" s="17" t="n"/>
      <c r="K693" s="17" t="n"/>
      <c r="L693" s="17" t="n"/>
      <c r="M693" s="16" t="n"/>
      <c r="N693" s="16" t="n"/>
      <c r="O693" s="18" t="n"/>
      <c r="P693" s="18" t="n"/>
      <c r="Q693" s="16" t="n"/>
    </row>
    <row r="694">
      <c r="E694" s="15" t="n"/>
      <c r="F694" s="15" t="n"/>
      <c r="G694" s="15" t="n"/>
      <c r="H694" s="16" t="n"/>
      <c r="I694" s="16" t="n"/>
      <c r="J694" s="17" t="n"/>
      <c r="K694" s="17" t="n"/>
      <c r="L694" s="17" t="n"/>
      <c r="M694" s="16" t="n"/>
      <c r="N694" s="16" t="n"/>
      <c r="O694" s="18" t="n"/>
      <c r="P694" s="18" t="n"/>
      <c r="Q694" s="16" t="n"/>
    </row>
    <row r="695">
      <c r="E695" s="15" t="n"/>
      <c r="F695" s="15" t="n"/>
      <c r="G695" s="15" t="n"/>
      <c r="H695" s="16" t="n"/>
      <c r="I695" s="16" t="n"/>
      <c r="J695" s="17" t="n"/>
      <c r="K695" s="17" t="n"/>
      <c r="L695" s="17" t="n"/>
      <c r="M695" s="16" t="n"/>
      <c r="N695" s="16" t="n"/>
      <c r="O695" s="18" t="n"/>
      <c r="P695" s="18" t="n"/>
      <c r="Q695" s="16" t="n"/>
    </row>
    <row r="696">
      <c r="E696" s="15" t="n"/>
      <c r="F696" s="15" t="n"/>
      <c r="G696" s="15" t="n"/>
      <c r="H696" s="16" t="n"/>
      <c r="I696" s="16" t="n"/>
      <c r="J696" s="17" t="n"/>
      <c r="K696" s="17" t="n"/>
      <c r="L696" s="17" t="n"/>
      <c r="M696" s="16" t="n"/>
      <c r="N696" s="16" t="n"/>
      <c r="O696" s="18" t="n"/>
      <c r="P696" s="18" t="n"/>
      <c r="Q696" s="16" t="n"/>
    </row>
    <row r="697">
      <c r="E697" s="15" t="n"/>
      <c r="F697" s="15" t="n"/>
      <c r="G697" s="15" t="n"/>
      <c r="H697" s="16" t="n"/>
      <c r="I697" s="16" t="n"/>
      <c r="J697" s="17" t="n"/>
      <c r="K697" s="17" t="n"/>
      <c r="L697" s="17" t="n"/>
      <c r="M697" s="16" t="n"/>
      <c r="N697" s="16" t="n"/>
      <c r="O697" s="18" t="n"/>
      <c r="P697" s="18" t="n"/>
      <c r="Q697" s="16" t="n"/>
    </row>
    <row r="698">
      <c r="E698" s="15" t="n"/>
      <c r="F698" s="15" t="n"/>
      <c r="G698" s="15" t="n"/>
      <c r="H698" s="16" t="n"/>
      <c r="I698" s="16" t="n"/>
      <c r="J698" s="17" t="n"/>
      <c r="K698" s="17" t="n"/>
      <c r="L698" s="17" t="n"/>
      <c r="M698" s="16" t="n"/>
      <c r="N698" s="16" t="n"/>
      <c r="O698" s="18" t="n"/>
      <c r="P698" s="18" t="n"/>
      <c r="Q698" s="16" t="n"/>
    </row>
    <row r="699">
      <c r="E699" s="15" t="n"/>
      <c r="F699" s="15" t="n"/>
      <c r="G699" s="15" t="n"/>
      <c r="H699" s="16" t="n"/>
      <c r="I699" s="16" t="n"/>
      <c r="J699" s="17" t="n"/>
      <c r="K699" s="17" t="n"/>
      <c r="L699" s="17" t="n"/>
      <c r="M699" s="16" t="n"/>
      <c r="N699" s="16" t="n"/>
      <c r="O699" s="18" t="n"/>
      <c r="P699" s="18" t="n"/>
      <c r="Q699" s="16" t="n"/>
    </row>
    <row r="700">
      <c r="E700" s="15" t="n"/>
      <c r="F700" s="15" t="n"/>
      <c r="G700" s="15" t="n"/>
      <c r="H700" s="16" t="n"/>
      <c r="I700" s="16" t="n"/>
      <c r="J700" s="17" t="n"/>
      <c r="K700" s="17" t="n"/>
      <c r="L700" s="17" t="n"/>
      <c r="M700" s="16" t="n"/>
      <c r="N700" s="16" t="n"/>
      <c r="O700" s="18" t="n"/>
      <c r="P700" s="18" t="n"/>
      <c r="Q700" s="16" t="n"/>
    </row>
    <row r="701">
      <c r="E701" s="15" t="n"/>
      <c r="F701" s="15" t="n"/>
      <c r="G701" s="15" t="n"/>
      <c r="H701" s="16" t="n"/>
      <c r="I701" s="16" t="n"/>
      <c r="J701" s="17" t="n"/>
      <c r="K701" s="17" t="n"/>
      <c r="L701" s="17" t="n"/>
      <c r="M701" s="16" t="n"/>
      <c r="N701" s="16" t="n"/>
      <c r="O701" s="18" t="n"/>
      <c r="P701" s="18" t="n"/>
      <c r="Q701" s="16" t="n"/>
    </row>
    <row r="702">
      <c r="E702" s="15" t="n"/>
      <c r="F702" s="15" t="n"/>
      <c r="G702" s="15" t="n"/>
      <c r="H702" s="16" t="n"/>
      <c r="I702" s="16" t="n"/>
      <c r="J702" s="17" t="n"/>
      <c r="K702" s="17" t="n"/>
      <c r="L702" s="17" t="n"/>
      <c r="M702" s="16" t="n"/>
      <c r="N702" s="16" t="n"/>
      <c r="O702" s="18" t="n"/>
      <c r="P702" s="18" t="n"/>
      <c r="Q702" s="16" t="n"/>
    </row>
    <row r="703">
      <c r="E703" s="15" t="n"/>
      <c r="F703" s="15" t="n"/>
      <c r="G703" s="15" t="n"/>
      <c r="H703" s="16" t="n"/>
      <c r="I703" s="16" t="n"/>
      <c r="J703" s="17" t="n"/>
      <c r="K703" s="17" t="n"/>
      <c r="L703" s="17" t="n"/>
      <c r="M703" s="16" t="n"/>
      <c r="N703" s="16" t="n"/>
      <c r="O703" s="18" t="n"/>
      <c r="P703" s="18" t="n"/>
      <c r="Q703" s="16" t="n"/>
    </row>
    <row r="704">
      <c r="E704" s="15" t="n"/>
      <c r="F704" s="15" t="n"/>
      <c r="G704" s="15" t="n"/>
      <c r="H704" s="16" t="n"/>
      <c r="I704" s="16" t="n"/>
      <c r="J704" s="17" t="n"/>
      <c r="K704" s="17" t="n"/>
      <c r="L704" s="17" t="n"/>
      <c r="M704" s="16" t="n"/>
      <c r="N704" s="16" t="n"/>
      <c r="O704" s="18" t="n"/>
      <c r="P704" s="18" t="n"/>
      <c r="Q704" s="16" t="n"/>
    </row>
    <row r="705">
      <c r="E705" s="15" t="n"/>
      <c r="F705" s="15" t="n"/>
      <c r="G705" s="15" t="n"/>
      <c r="H705" s="16" t="n"/>
      <c r="I705" s="16" t="n"/>
      <c r="J705" s="17" t="n"/>
      <c r="K705" s="17" t="n"/>
      <c r="L705" s="17" t="n"/>
      <c r="M705" s="16" t="n"/>
      <c r="N705" s="16" t="n"/>
      <c r="O705" s="18" t="n"/>
      <c r="P705" s="18" t="n"/>
      <c r="Q705" s="16" t="n"/>
    </row>
    <row r="706">
      <c r="E706" s="15" t="n"/>
      <c r="F706" s="15" t="n"/>
      <c r="G706" s="15" t="n"/>
      <c r="H706" s="16" t="n"/>
      <c r="I706" s="16" t="n"/>
      <c r="J706" s="17" t="n"/>
      <c r="K706" s="17" t="n"/>
      <c r="L706" s="17" t="n"/>
      <c r="M706" s="16" t="n"/>
      <c r="N706" s="16" t="n"/>
      <c r="O706" s="18" t="n"/>
      <c r="P706" s="18" t="n"/>
      <c r="Q706" s="16" t="n"/>
    </row>
    <row r="707">
      <c r="E707" s="15" t="n"/>
      <c r="F707" s="15" t="n"/>
      <c r="G707" s="15" t="n"/>
      <c r="H707" s="16" t="n"/>
      <c r="I707" s="16" t="n"/>
      <c r="J707" s="17" t="n"/>
      <c r="K707" s="17" t="n"/>
      <c r="L707" s="17" t="n"/>
      <c r="M707" s="16" t="n"/>
      <c r="N707" s="16" t="n"/>
      <c r="O707" s="18" t="n"/>
      <c r="P707" s="18" t="n"/>
      <c r="Q707" s="16" t="n"/>
    </row>
    <row r="708">
      <c r="E708" s="15" t="n"/>
      <c r="F708" s="15" t="n"/>
      <c r="G708" s="15" t="n"/>
      <c r="H708" s="16" t="n"/>
      <c r="I708" s="16" t="n"/>
      <c r="J708" s="17" t="n"/>
      <c r="K708" s="17" t="n"/>
      <c r="L708" s="17" t="n"/>
      <c r="M708" s="16" t="n"/>
      <c r="N708" s="16" t="n"/>
      <c r="O708" s="18" t="n"/>
      <c r="P708" s="18" t="n"/>
      <c r="Q708" s="16" t="n"/>
    </row>
    <row r="709">
      <c r="E709" s="15" t="n"/>
      <c r="F709" s="15" t="n"/>
      <c r="G709" s="15" t="n"/>
      <c r="H709" s="16" t="n"/>
      <c r="I709" s="16" t="n"/>
      <c r="J709" s="17" t="n"/>
      <c r="K709" s="17" t="n"/>
      <c r="L709" s="17" t="n"/>
      <c r="M709" s="16" t="n"/>
      <c r="N709" s="16" t="n"/>
      <c r="O709" s="18" t="n"/>
      <c r="P709" s="18" t="n"/>
      <c r="Q709" s="16" t="n"/>
    </row>
    <row r="710">
      <c r="E710" s="15" t="n"/>
      <c r="F710" s="15" t="n"/>
      <c r="G710" s="15" t="n"/>
      <c r="H710" s="16" t="n"/>
      <c r="I710" s="16" t="n"/>
      <c r="J710" s="17" t="n"/>
      <c r="K710" s="17" t="n"/>
      <c r="L710" s="17" t="n"/>
      <c r="M710" s="16" t="n"/>
      <c r="N710" s="16" t="n"/>
      <c r="O710" s="18" t="n"/>
      <c r="P710" s="18" t="n"/>
      <c r="Q710" s="16" t="n"/>
    </row>
    <row r="711">
      <c r="E711" s="15" t="n"/>
      <c r="F711" s="15" t="n"/>
      <c r="G711" s="15" t="n"/>
      <c r="H711" s="16" t="n"/>
      <c r="I711" s="16" t="n"/>
      <c r="J711" s="17" t="n"/>
      <c r="K711" s="17" t="n"/>
      <c r="L711" s="17" t="n"/>
      <c r="M711" s="16" t="n"/>
      <c r="N711" s="16" t="n"/>
      <c r="O711" s="18" t="n"/>
      <c r="P711" s="18" t="n"/>
      <c r="Q711" s="16" t="n"/>
    </row>
    <row r="712">
      <c r="E712" s="15" t="n"/>
      <c r="F712" s="15" t="n"/>
      <c r="G712" s="15" t="n"/>
      <c r="H712" s="16" t="n"/>
      <c r="I712" s="16" t="n"/>
      <c r="J712" s="17" t="n"/>
      <c r="K712" s="17" t="n"/>
      <c r="L712" s="17" t="n"/>
      <c r="M712" s="16" t="n"/>
      <c r="N712" s="16" t="n"/>
      <c r="O712" s="18" t="n"/>
      <c r="P712" s="18" t="n"/>
      <c r="Q712" s="16" t="n"/>
    </row>
    <row r="713">
      <c r="E713" s="15" t="n"/>
      <c r="F713" s="15" t="n"/>
      <c r="G713" s="15" t="n"/>
      <c r="H713" s="16" t="n"/>
      <c r="I713" s="16" t="n"/>
      <c r="J713" s="17" t="n"/>
      <c r="K713" s="17" t="n"/>
      <c r="L713" s="17" t="n"/>
      <c r="M713" s="16" t="n"/>
      <c r="N713" s="16" t="n"/>
      <c r="O713" s="18" t="n"/>
      <c r="P713" s="18" t="n"/>
      <c r="Q713" s="16" t="n"/>
    </row>
    <row r="714">
      <c r="E714" s="15" t="n"/>
      <c r="F714" s="15" t="n"/>
      <c r="G714" s="15" t="n"/>
      <c r="H714" s="16" t="n"/>
      <c r="I714" s="16" t="n"/>
      <c r="J714" s="17" t="n"/>
      <c r="K714" s="17" t="n"/>
      <c r="L714" s="17" t="n"/>
      <c r="M714" s="16" t="n"/>
      <c r="N714" s="16" t="n"/>
      <c r="O714" s="18" t="n"/>
      <c r="P714" s="18" t="n"/>
      <c r="Q714" s="16" t="n"/>
    </row>
    <row r="715">
      <c r="E715" s="15" t="n"/>
      <c r="F715" s="15" t="n"/>
      <c r="G715" s="15" t="n"/>
      <c r="H715" s="16" t="n"/>
      <c r="I715" s="16" t="n"/>
      <c r="J715" s="17" t="n"/>
      <c r="K715" s="17" t="n"/>
      <c r="L715" s="17" t="n"/>
      <c r="M715" s="16" t="n"/>
      <c r="N715" s="16" t="n"/>
      <c r="O715" s="18" t="n"/>
      <c r="P715" s="18" t="n"/>
      <c r="Q715" s="16" t="n"/>
    </row>
    <row r="716">
      <c r="E716" s="15" t="n"/>
      <c r="F716" s="15" t="n"/>
      <c r="G716" s="15" t="n"/>
      <c r="H716" s="16" t="n"/>
      <c r="I716" s="16" t="n"/>
      <c r="J716" s="17" t="n"/>
      <c r="K716" s="17" t="n"/>
      <c r="L716" s="17" t="n"/>
      <c r="M716" s="16" t="n"/>
      <c r="N716" s="16" t="n"/>
      <c r="O716" s="18" t="n"/>
      <c r="P716" s="18" t="n"/>
      <c r="Q716" s="16" t="n"/>
    </row>
    <row r="717">
      <c r="E717" s="15" t="n"/>
      <c r="F717" s="15" t="n"/>
      <c r="G717" s="15" t="n"/>
      <c r="H717" s="16" t="n"/>
      <c r="I717" s="16" t="n"/>
      <c r="J717" s="17" t="n"/>
      <c r="K717" s="17" t="n"/>
      <c r="L717" s="17" t="n"/>
      <c r="M717" s="16" t="n"/>
      <c r="N717" s="16" t="n"/>
      <c r="O717" s="18" t="n"/>
      <c r="P717" s="18" t="n"/>
      <c r="Q717" s="16" t="n"/>
    </row>
    <row r="718">
      <c r="E718" s="15" t="n"/>
      <c r="F718" s="15" t="n"/>
      <c r="G718" s="15" t="n"/>
      <c r="H718" s="16" t="n"/>
      <c r="I718" s="16" t="n"/>
      <c r="J718" s="17" t="n"/>
      <c r="K718" s="17" t="n"/>
      <c r="L718" s="17" t="n"/>
      <c r="M718" s="16" t="n"/>
      <c r="N718" s="16" t="n"/>
      <c r="O718" s="18" t="n"/>
      <c r="P718" s="18" t="n"/>
      <c r="Q718" s="16" t="n"/>
    </row>
    <row r="719">
      <c r="E719" s="15" t="n"/>
      <c r="F719" s="15" t="n"/>
      <c r="G719" s="15" t="n"/>
      <c r="H719" s="16" t="n"/>
      <c r="I719" s="16" t="n"/>
      <c r="J719" s="17" t="n"/>
      <c r="K719" s="17" t="n"/>
      <c r="L719" s="17" t="n"/>
      <c r="M719" s="16" t="n"/>
      <c r="N719" s="16" t="n"/>
      <c r="O719" s="18" t="n"/>
      <c r="P719" s="18" t="n"/>
      <c r="Q719" s="16" t="n"/>
    </row>
    <row r="720">
      <c r="E720" s="15" t="n"/>
      <c r="F720" s="15" t="n"/>
      <c r="G720" s="15" t="n"/>
      <c r="H720" s="16" t="n"/>
      <c r="I720" s="16" t="n"/>
      <c r="J720" s="17" t="n"/>
      <c r="K720" s="17" t="n"/>
      <c r="L720" s="17" t="n"/>
      <c r="M720" s="16" t="n"/>
      <c r="N720" s="16" t="n"/>
      <c r="O720" s="18" t="n"/>
      <c r="P720" s="18" t="n"/>
      <c r="Q720" s="16" t="n"/>
    </row>
    <row r="721">
      <c r="E721" s="15" t="n"/>
      <c r="F721" s="15" t="n"/>
      <c r="G721" s="15" t="n"/>
      <c r="H721" s="16" t="n"/>
      <c r="I721" s="16" t="n"/>
      <c r="J721" s="17" t="n"/>
      <c r="K721" s="17" t="n"/>
      <c r="L721" s="17" t="n"/>
      <c r="M721" s="16" t="n"/>
      <c r="N721" s="16" t="n"/>
      <c r="O721" s="18" t="n"/>
      <c r="P721" s="18" t="n"/>
      <c r="Q721" s="16" t="n"/>
    </row>
    <row r="722">
      <c r="E722" s="15" t="n"/>
      <c r="F722" s="15" t="n"/>
      <c r="G722" s="15" t="n"/>
      <c r="H722" s="16" t="n"/>
      <c r="I722" s="16" t="n"/>
      <c r="J722" s="17" t="n"/>
      <c r="K722" s="17" t="n"/>
      <c r="L722" s="17" t="n"/>
      <c r="M722" s="16" t="n"/>
      <c r="N722" s="16" t="n"/>
      <c r="O722" s="18" t="n"/>
      <c r="P722" s="18" t="n"/>
      <c r="Q722" s="16" t="n"/>
    </row>
    <row r="723">
      <c r="E723" s="15" t="n"/>
      <c r="F723" s="15" t="n"/>
      <c r="G723" s="15" t="n"/>
      <c r="H723" s="16" t="n"/>
      <c r="I723" s="16" t="n"/>
      <c r="J723" s="17" t="n"/>
      <c r="K723" s="17" t="n"/>
      <c r="L723" s="17" t="n"/>
      <c r="M723" s="16" t="n"/>
      <c r="N723" s="16" t="n"/>
      <c r="O723" s="18" t="n"/>
      <c r="P723" s="18" t="n"/>
      <c r="Q723" s="16" t="n"/>
    </row>
    <row r="724">
      <c r="E724" s="15" t="n"/>
      <c r="F724" s="15" t="n"/>
      <c r="G724" s="15" t="n"/>
      <c r="H724" s="16" t="n"/>
      <c r="I724" s="16" t="n"/>
      <c r="J724" s="17" t="n"/>
      <c r="K724" s="17" t="n"/>
      <c r="L724" s="17" t="n"/>
      <c r="M724" s="16" t="n"/>
      <c r="N724" s="16" t="n"/>
      <c r="O724" s="18" t="n"/>
      <c r="P724" s="18" t="n"/>
      <c r="Q724" s="16" t="n"/>
    </row>
    <row r="725">
      <c r="E725" s="15" t="n"/>
      <c r="F725" s="15" t="n"/>
      <c r="G725" s="15" t="n"/>
      <c r="H725" s="16" t="n"/>
      <c r="I725" s="16" t="n"/>
      <c r="J725" s="17" t="n"/>
      <c r="K725" s="17" t="n"/>
      <c r="L725" s="17" t="n"/>
      <c r="M725" s="16" t="n"/>
      <c r="N725" s="16" t="n"/>
      <c r="O725" s="18" t="n"/>
      <c r="P725" s="18" t="n"/>
      <c r="Q725" s="16" t="n"/>
    </row>
    <row r="726">
      <c r="E726" s="15" t="n"/>
      <c r="F726" s="15" t="n"/>
      <c r="G726" s="15" t="n"/>
      <c r="H726" s="16" t="n"/>
      <c r="I726" s="16" t="n"/>
      <c r="J726" s="17" t="n"/>
      <c r="K726" s="17" t="n"/>
      <c r="L726" s="17" t="n"/>
      <c r="M726" s="16" t="n"/>
      <c r="N726" s="16" t="n"/>
      <c r="O726" s="18" t="n"/>
      <c r="P726" s="18" t="n"/>
      <c r="Q726" s="16" t="n"/>
    </row>
    <row r="727">
      <c r="E727" s="15" t="n"/>
      <c r="F727" s="15" t="n"/>
      <c r="G727" s="15" t="n"/>
      <c r="H727" s="16" t="n"/>
      <c r="I727" s="16" t="n"/>
      <c r="J727" s="17" t="n"/>
      <c r="K727" s="17" t="n"/>
      <c r="L727" s="17" t="n"/>
      <c r="M727" s="16" t="n"/>
      <c r="N727" s="16" t="n"/>
      <c r="O727" s="18" t="n"/>
      <c r="P727" s="18" t="n"/>
      <c r="Q727" s="16" t="n"/>
    </row>
    <row r="728">
      <c r="E728" s="15" t="n"/>
      <c r="F728" s="15" t="n"/>
      <c r="G728" s="15" t="n"/>
      <c r="H728" s="16" t="n"/>
      <c r="I728" s="16" t="n"/>
      <c r="J728" s="17" t="n"/>
      <c r="K728" s="17" t="n"/>
      <c r="L728" s="17" t="n"/>
      <c r="M728" s="16" t="n"/>
      <c r="N728" s="16" t="n"/>
      <c r="O728" s="18" t="n"/>
      <c r="P728" s="18" t="n"/>
      <c r="Q728" s="16" t="n"/>
    </row>
    <row r="729">
      <c r="E729" s="15" t="n"/>
      <c r="F729" s="15" t="n"/>
      <c r="G729" s="15" t="n"/>
      <c r="H729" s="16" t="n"/>
      <c r="I729" s="16" t="n"/>
      <c r="J729" s="17" t="n"/>
      <c r="K729" s="17" t="n"/>
      <c r="L729" s="17" t="n"/>
      <c r="M729" s="16" t="n"/>
      <c r="N729" s="16" t="n"/>
      <c r="O729" s="18" t="n"/>
      <c r="P729" s="18" t="n"/>
      <c r="Q729" s="16" t="n"/>
    </row>
    <row r="730">
      <c r="E730" s="15" t="n"/>
      <c r="F730" s="15" t="n"/>
      <c r="G730" s="15" t="n"/>
      <c r="H730" s="16" t="n"/>
      <c r="I730" s="16" t="n"/>
      <c r="J730" s="17" t="n"/>
      <c r="K730" s="17" t="n"/>
      <c r="L730" s="17" t="n"/>
      <c r="M730" s="16" t="n"/>
      <c r="N730" s="16" t="n"/>
      <c r="O730" s="18" t="n"/>
      <c r="P730" s="18" t="n"/>
      <c r="Q730" s="16" t="n"/>
    </row>
    <row r="731">
      <c r="E731" s="15" t="n"/>
      <c r="F731" s="15" t="n"/>
      <c r="G731" s="15" t="n"/>
      <c r="H731" s="16" t="n"/>
      <c r="I731" s="16" t="n"/>
      <c r="J731" s="17" t="n"/>
      <c r="K731" s="17" t="n"/>
      <c r="L731" s="17" t="n"/>
      <c r="M731" s="16" t="n"/>
      <c r="N731" s="16" t="n"/>
      <c r="O731" s="18" t="n"/>
      <c r="P731" s="18" t="n"/>
      <c r="Q731" s="16" t="n"/>
    </row>
    <row r="732">
      <c r="E732" s="15" t="n"/>
      <c r="F732" s="15" t="n"/>
      <c r="G732" s="15" t="n"/>
      <c r="H732" s="16" t="n"/>
      <c r="I732" s="16" t="n"/>
      <c r="J732" s="17" t="n"/>
      <c r="K732" s="17" t="n"/>
      <c r="L732" s="17" t="n"/>
      <c r="M732" s="16" t="n"/>
      <c r="N732" s="16" t="n"/>
      <c r="O732" s="18" t="n"/>
      <c r="P732" s="18" t="n"/>
      <c r="Q732" s="16" t="n"/>
    </row>
    <row r="733">
      <c r="E733" s="15" t="n"/>
      <c r="F733" s="15" t="n"/>
      <c r="G733" s="15" t="n"/>
      <c r="H733" s="16" t="n"/>
      <c r="I733" s="16" t="n"/>
      <c r="J733" s="17" t="n"/>
      <c r="K733" s="17" t="n"/>
      <c r="L733" s="17" t="n"/>
      <c r="M733" s="16" t="n"/>
      <c r="N733" s="16" t="n"/>
      <c r="O733" s="18" t="n"/>
      <c r="P733" s="18" t="n"/>
      <c r="Q733" s="16" t="n"/>
    </row>
    <row r="734">
      <c r="E734" s="15" t="n"/>
      <c r="F734" s="15" t="n"/>
      <c r="G734" s="15" t="n"/>
      <c r="H734" s="16" t="n"/>
      <c r="I734" s="16" t="n"/>
      <c r="J734" s="17" t="n"/>
      <c r="K734" s="17" t="n"/>
      <c r="L734" s="17" t="n"/>
      <c r="M734" s="16" t="n"/>
      <c r="N734" s="16" t="n"/>
      <c r="O734" s="18" t="n"/>
      <c r="P734" s="18" t="n"/>
      <c r="Q734" s="16" t="n"/>
    </row>
    <row r="735">
      <c r="E735" s="15" t="n"/>
      <c r="F735" s="15" t="n"/>
      <c r="G735" s="15" t="n"/>
      <c r="H735" s="16" t="n"/>
      <c r="I735" s="16" t="n"/>
      <c r="J735" s="17" t="n"/>
      <c r="K735" s="17" t="n"/>
      <c r="L735" s="17" t="n"/>
      <c r="M735" s="16" t="n"/>
      <c r="N735" s="16" t="n"/>
      <c r="O735" s="18" t="n"/>
      <c r="P735" s="18" t="n"/>
      <c r="Q735" s="16" t="n"/>
    </row>
    <row r="736">
      <c r="E736" s="15" t="n"/>
      <c r="F736" s="15" t="n"/>
      <c r="G736" s="15" t="n"/>
      <c r="H736" s="16" t="n"/>
      <c r="I736" s="16" t="n"/>
      <c r="J736" s="17" t="n"/>
      <c r="K736" s="17" t="n"/>
      <c r="L736" s="17" t="n"/>
      <c r="M736" s="16" t="n"/>
      <c r="N736" s="16" t="n"/>
      <c r="O736" s="18" t="n"/>
      <c r="P736" s="18" t="n"/>
      <c r="Q736" s="16" t="n"/>
    </row>
    <row r="737">
      <c r="E737" s="15" t="n"/>
      <c r="F737" s="15" t="n"/>
      <c r="G737" s="15" t="n"/>
      <c r="H737" s="16" t="n"/>
      <c r="I737" s="16" t="n"/>
      <c r="J737" s="17" t="n"/>
      <c r="K737" s="17" t="n"/>
      <c r="L737" s="17" t="n"/>
      <c r="M737" s="16" t="n"/>
      <c r="N737" s="16" t="n"/>
      <c r="O737" s="18" t="n"/>
      <c r="P737" s="18" t="n"/>
      <c r="Q737" s="16" t="n"/>
    </row>
    <row r="738">
      <c r="E738" s="15" t="n"/>
      <c r="F738" s="15" t="n"/>
      <c r="G738" s="15" t="n"/>
      <c r="H738" s="16" t="n"/>
      <c r="I738" s="16" t="n"/>
      <c r="J738" s="17" t="n"/>
      <c r="K738" s="17" t="n"/>
      <c r="L738" s="17" t="n"/>
      <c r="M738" s="16" t="n"/>
      <c r="N738" s="16" t="n"/>
      <c r="O738" s="18" t="n"/>
      <c r="P738" s="18" t="n"/>
      <c r="Q738" s="16" t="n"/>
    </row>
    <row r="739">
      <c r="E739" s="15" t="n"/>
      <c r="F739" s="15" t="n"/>
      <c r="G739" s="15" t="n"/>
      <c r="H739" s="16" t="n"/>
      <c r="I739" s="16" t="n"/>
      <c r="J739" s="17" t="n"/>
      <c r="K739" s="17" t="n"/>
      <c r="L739" s="17" t="n"/>
      <c r="M739" s="16" t="n"/>
      <c r="N739" s="16" t="n"/>
      <c r="O739" s="18" t="n"/>
      <c r="P739" s="18" t="n"/>
      <c r="Q739" s="16" t="n"/>
    </row>
    <row r="740">
      <c r="E740" s="15" t="n"/>
      <c r="F740" s="15" t="n"/>
      <c r="G740" s="15" t="n"/>
      <c r="H740" s="16" t="n"/>
      <c r="I740" s="16" t="n"/>
      <c r="J740" s="17" t="n"/>
      <c r="K740" s="17" t="n"/>
      <c r="L740" s="17" t="n"/>
      <c r="M740" s="16" t="n"/>
      <c r="N740" s="16" t="n"/>
      <c r="O740" s="18" t="n"/>
      <c r="P740" s="18" t="n"/>
      <c r="Q740" s="16" t="n"/>
    </row>
    <row r="741">
      <c r="E741" s="15" t="n"/>
      <c r="F741" s="15" t="n"/>
      <c r="G741" s="15" t="n"/>
      <c r="H741" s="16" t="n"/>
      <c r="I741" s="16" t="n"/>
      <c r="J741" s="17" t="n"/>
      <c r="K741" s="17" t="n"/>
      <c r="L741" s="17" t="n"/>
      <c r="M741" s="16" t="n"/>
      <c r="N741" s="16" t="n"/>
      <c r="O741" s="18" t="n"/>
      <c r="P741" s="18" t="n"/>
      <c r="Q741" s="16" t="n"/>
    </row>
    <row r="742">
      <c r="E742" s="15" t="n"/>
      <c r="F742" s="15" t="n"/>
      <c r="G742" s="15" t="n"/>
      <c r="H742" s="16" t="n"/>
      <c r="I742" s="16" t="n"/>
      <c r="J742" s="17" t="n"/>
      <c r="K742" s="17" t="n"/>
      <c r="L742" s="17" t="n"/>
      <c r="M742" s="16" t="n"/>
      <c r="N742" s="16" t="n"/>
      <c r="O742" s="18" t="n"/>
      <c r="P742" s="18" t="n"/>
      <c r="Q742" s="16" t="n"/>
    </row>
    <row r="743">
      <c r="E743" s="15" t="n"/>
      <c r="F743" s="15" t="n"/>
      <c r="G743" s="15" t="n"/>
      <c r="H743" s="16" t="n"/>
      <c r="I743" s="16" t="n"/>
      <c r="J743" s="17" t="n"/>
      <c r="K743" s="17" t="n"/>
      <c r="L743" s="17" t="n"/>
      <c r="M743" s="16" t="n"/>
      <c r="N743" s="16" t="n"/>
      <c r="O743" s="18" t="n"/>
      <c r="P743" s="18" t="n"/>
      <c r="Q743" s="16" t="n"/>
    </row>
    <row r="744">
      <c r="E744" s="15" t="n"/>
      <c r="F744" s="15" t="n"/>
      <c r="G744" s="15" t="n"/>
      <c r="H744" s="16" t="n"/>
      <c r="I744" s="16" t="n"/>
      <c r="J744" s="17" t="n"/>
      <c r="K744" s="17" t="n"/>
      <c r="L744" s="17" t="n"/>
      <c r="M744" s="16" t="n"/>
      <c r="N744" s="16" t="n"/>
      <c r="O744" s="18" t="n"/>
      <c r="P744" s="18" t="n"/>
      <c r="Q744" s="16" t="n"/>
    </row>
    <row r="745">
      <c r="E745" s="15" t="n"/>
      <c r="F745" s="15" t="n"/>
      <c r="G745" s="15" t="n"/>
      <c r="H745" s="16" t="n"/>
      <c r="I745" s="16" t="n"/>
      <c r="J745" s="17" t="n"/>
      <c r="K745" s="17" t="n"/>
      <c r="L745" s="17" t="n"/>
      <c r="M745" s="16" t="n"/>
      <c r="N745" s="16" t="n"/>
      <c r="O745" s="18" t="n"/>
      <c r="P745" s="18" t="n"/>
      <c r="Q745" s="16" t="n"/>
    </row>
    <row r="746">
      <c r="E746" s="15" t="n"/>
      <c r="F746" s="15" t="n"/>
      <c r="G746" s="15" t="n"/>
      <c r="H746" s="16" t="n"/>
      <c r="I746" s="16" t="n"/>
      <c r="J746" s="17" t="n"/>
      <c r="K746" s="17" t="n"/>
      <c r="L746" s="17" t="n"/>
      <c r="M746" s="16" t="n"/>
      <c r="N746" s="16" t="n"/>
      <c r="O746" s="18" t="n"/>
      <c r="P746" s="18" t="n"/>
      <c r="Q746" s="16" t="n"/>
    </row>
    <row r="747">
      <c r="E747" s="15" t="n"/>
      <c r="F747" s="15" t="n"/>
      <c r="G747" s="15" t="n"/>
      <c r="H747" s="16" t="n"/>
      <c r="I747" s="16" t="n"/>
      <c r="J747" s="17" t="n"/>
      <c r="K747" s="17" t="n"/>
      <c r="L747" s="17" t="n"/>
      <c r="M747" s="16" t="n"/>
      <c r="N747" s="16" t="n"/>
      <c r="O747" s="18" t="n"/>
      <c r="P747" s="18" t="n"/>
      <c r="Q747" s="16" t="n"/>
    </row>
    <row r="748">
      <c r="E748" s="15" t="n"/>
      <c r="F748" s="15" t="n"/>
      <c r="G748" s="15" t="n"/>
      <c r="H748" s="16" t="n"/>
      <c r="I748" s="16" t="n"/>
      <c r="J748" s="17" t="n"/>
      <c r="K748" s="17" t="n"/>
      <c r="L748" s="17" t="n"/>
      <c r="M748" s="16" t="n"/>
      <c r="N748" s="16" t="n"/>
      <c r="O748" s="18" t="n"/>
      <c r="P748" s="18" t="n"/>
      <c r="Q748" s="16" t="n"/>
    </row>
    <row r="749">
      <c r="E749" s="15" t="n"/>
      <c r="F749" s="15" t="n"/>
      <c r="G749" s="15" t="n"/>
      <c r="H749" s="16" t="n"/>
      <c r="I749" s="16" t="n"/>
      <c r="J749" s="17" t="n"/>
      <c r="K749" s="17" t="n"/>
      <c r="L749" s="17" t="n"/>
      <c r="M749" s="16" t="n"/>
      <c r="N749" s="16" t="n"/>
      <c r="O749" s="18" t="n"/>
      <c r="P749" s="18" t="n"/>
      <c r="Q749" s="16" t="n"/>
    </row>
    <row r="750">
      <c r="E750" s="15" t="n"/>
      <c r="F750" s="15" t="n"/>
      <c r="G750" s="15" t="n"/>
      <c r="H750" s="16" t="n"/>
      <c r="I750" s="16" t="n"/>
      <c r="J750" s="17" t="n"/>
      <c r="K750" s="17" t="n"/>
      <c r="L750" s="17" t="n"/>
      <c r="M750" s="16" t="n"/>
      <c r="N750" s="16" t="n"/>
      <c r="O750" s="18" t="n"/>
      <c r="P750" s="18" t="n"/>
      <c r="Q750" s="16" t="n"/>
    </row>
    <row r="751">
      <c r="E751" s="15" t="n"/>
      <c r="F751" s="15" t="n"/>
      <c r="G751" s="15" t="n"/>
      <c r="H751" s="16" t="n"/>
      <c r="I751" s="16" t="n"/>
      <c r="J751" s="17" t="n"/>
      <c r="K751" s="17" t="n"/>
      <c r="L751" s="17" t="n"/>
      <c r="M751" s="16" t="n"/>
      <c r="N751" s="16" t="n"/>
      <c r="O751" s="18" t="n"/>
      <c r="P751" s="18" t="n"/>
      <c r="Q751" s="16" t="n"/>
    </row>
    <row r="752">
      <c r="E752" s="15" t="n"/>
      <c r="F752" s="15" t="n"/>
      <c r="G752" s="15" t="n"/>
      <c r="H752" s="16" t="n"/>
      <c r="I752" s="16" t="n"/>
      <c r="J752" s="17" t="n"/>
      <c r="K752" s="17" t="n"/>
      <c r="L752" s="17" t="n"/>
      <c r="M752" s="16" t="n"/>
      <c r="N752" s="16" t="n"/>
      <c r="O752" s="18" t="n"/>
      <c r="P752" s="18" t="n"/>
      <c r="Q752" s="16" t="n"/>
    </row>
    <row r="753">
      <c r="E753" s="15" t="n"/>
      <c r="F753" s="15" t="n"/>
      <c r="G753" s="15" t="n"/>
      <c r="H753" s="16" t="n"/>
      <c r="I753" s="16" t="n"/>
      <c r="J753" s="17" t="n"/>
      <c r="K753" s="17" t="n"/>
      <c r="L753" s="17" t="n"/>
      <c r="M753" s="16" t="n"/>
      <c r="N753" s="16" t="n"/>
      <c r="O753" s="18" t="n"/>
      <c r="P753" s="18" t="n"/>
      <c r="Q753" s="16" t="n"/>
    </row>
    <row r="754">
      <c r="E754" s="15" t="n"/>
      <c r="F754" s="15" t="n"/>
      <c r="G754" s="15" t="n"/>
      <c r="H754" s="16" t="n"/>
      <c r="I754" s="16" t="n"/>
      <c r="J754" s="17" t="n"/>
      <c r="K754" s="17" t="n"/>
      <c r="L754" s="17" t="n"/>
      <c r="M754" s="16" t="n"/>
      <c r="N754" s="16" t="n"/>
      <c r="O754" s="18" t="n"/>
      <c r="P754" s="18" t="n"/>
      <c r="Q754" s="16" t="n"/>
    </row>
    <row r="755">
      <c r="E755" s="15" t="n"/>
      <c r="F755" s="15" t="n"/>
      <c r="G755" s="15" t="n"/>
      <c r="H755" s="16" t="n"/>
      <c r="I755" s="16" t="n"/>
      <c r="J755" s="17" t="n"/>
      <c r="K755" s="17" t="n"/>
      <c r="L755" s="17" t="n"/>
      <c r="M755" s="16" t="n"/>
      <c r="N755" s="16" t="n"/>
      <c r="O755" s="18" t="n"/>
      <c r="P755" s="18" t="n"/>
      <c r="Q755" s="16" t="n"/>
    </row>
    <row r="756">
      <c r="E756" s="15" t="n"/>
      <c r="F756" s="15" t="n"/>
      <c r="G756" s="15" t="n"/>
      <c r="H756" s="16" t="n"/>
      <c r="I756" s="16" t="n"/>
      <c r="J756" s="17" t="n"/>
      <c r="K756" s="17" t="n"/>
      <c r="L756" s="17" t="n"/>
      <c r="M756" s="16" t="n"/>
      <c r="N756" s="16" t="n"/>
      <c r="O756" s="18" t="n"/>
      <c r="P756" s="18" t="n"/>
      <c r="Q756" s="16" t="n"/>
    </row>
    <row r="757">
      <c r="E757" s="15" t="n"/>
      <c r="F757" s="15" t="n"/>
      <c r="G757" s="15" t="n"/>
      <c r="H757" s="16" t="n"/>
      <c r="I757" s="16" t="n"/>
      <c r="J757" s="17" t="n"/>
      <c r="K757" s="17" t="n"/>
      <c r="L757" s="17" t="n"/>
      <c r="M757" s="16" t="n"/>
      <c r="N757" s="16" t="n"/>
      <c r="O757" s="18" t="n"/>
      <c r="P757" s="18" t="n"/>
      <c r="Q757" s="16" t="n"/>
    </row>
    <row r="758">
      <c r="E758" s="15" t="n"/>
      <c r="F758" s="15" t="n"/>
      <c r="G758" s="15" t="n"/>
      <c r="H758" s="16" t="n"/>
      <c r="I758" s="16" t="n"/>
      <c r="J758" s="17" t="n"/>
      <c r="K758" s="17" t="n"/>
      <c r="L758" s="17" t="n"/>
      <c r="M758" s="16" t="n"/>
      <c r="N758" s="16" t="n"/>
      <c r="O758" s="18" t="n"/>
      <c r="P758" s="18" t="n"/>
      <c r="Q758" s="16" t="n"/>
    </row>
    <row r="759">
      <c r="E759" s="15" t="n"/>
      <c r="F759" s="15" t="n"/>
      <c r="G759" s="15" t="n"/>
      <c r="H759" s="16" t="n"/>
      <c r="I759" s="16" t="n"/>
      <c r="J759" s="17" t="n"/>
      <c r="K759" s="17" t="n"/>
      <c r="L759" s="17" t="n"/>
      <c r="M759" s="16" t="n"/>
      <c r="N759" s="16" t="n"/>
      <c r="O759" s="18" t="n"/>
      <c r="P759" s="18" t="n"/>
      <c r="Q759" s="16" t="n"/>
    </row>
    <row r="760">
      <c r="E760" s="15" t="n"/>
      <c r="F760" s="15" t="n"/>
      <c r="G760" s="15" t="n"/>
      <c r="H760" s="16" t="n"/>
      <c r="I760" s="16" t="n"/>
      <c r="J760" s="17" t="n"/>
      <c r="K760" s="17" t="n"/>
      <c r="L760" s="17" t="n"/>
      <c r="M760" s="16" t="n"/>
      <c r="N760" s="16" t="n"/>
      <c r="O760" s="18" t="n"/>
      <c r="P760" s="18" t="n"/>
      <c r="Q760" s="16" t="n"/>
    </row>
    <row r="761">
      <c r="E761" s="15" t="n"/>
      <c r="F761" s="15" t="n"/>
      <c r="G761" s="15" t="n"/>
      <c r="H761" s="16" t="n"/>
      <c r="I761" s="16" t="n"/>
      <c r="J761" s="17" t="n"/>
      <c r="K761" s="17" t="n"/>
      <c r="L761" s="17" t="n"/>
      <c r="M761" s="16" t="n"/>
      <c r="N761" s="16" t="n"/>
      <c r="O761" s="18" t="n"/>
      <c r="P761" s="18" t="n"/>
      <c r="Q761" s="16" t="n"/>
    </row>
    <row r="762">
      <c r="E762" s="15" t="n"/>
      <c r="F762" s="15" t="n"/>
      <c r="G762" s="15" t="n"/>
      <c r="H762" s="16" t="n"/>
      <c r="I762" s="16" t="n"/>
      <c r="J762" s="17" t="n"/>
      <c r="K762" s="17" t="n"/>
      <c r="L762" s="17" t="n"/>
      <c r="M762" s="16" t="n"/>
      <c r="N762" s="16" t="n"/>
      <c r="O762" s="18" t="n"/>
      <c r="P762" s="18" t="n"/>
      <c r="Q762" s="16" t="n"/>
    </row>
    <row r="763">
      <c r="E763" s="15" t="n"/>
      <c r="F763" s="15" t="n"/>
      <c r="G763" s="15" t="n"/>
      <c r="H763" s="16" t="n"/>
      <c r="I763" s="16" t="n"/>
      <c r="J763" s="17" t="n"/>
      <c r="K763" s="17" t="n"/>
      <c r="L763" s="17" t="n"/>
      <c r="M763" s="16" t="n"/>
      <c r="N763" s="16" t="n"/>
      <c r="O763" s="18" t="n"/>
      <c r="P763" s="18" t="n"/>
      <c r="Q763" s="16" t="n"/>
    </row>
    <row r="764">
      <c r="E764" s="15" t="n"/>
      <c r="F764" s="15" t="n"/>
      <c r="G764" s="15" t="n"/>
      <c r="H764" s="16" t="n"/>
      <c r="I764" s="16" t="n"/>
      <c r="J764" s="17" t="n"/>
      <c r="K764" s="17" t="n"/>
      <c r="L764" s="17" t="n"/>
      <c r="M764" s="16" t="n"/>
      <c r="N764" s="16" t="n"/>
      <c r="O764" s="18" t="n"/>
      <c r="P764" s="18" t="n"/>
      <c r="Q764" s="16" t="n"/>
    </row>
    <row r="765">
      <c r="E765" s="15" t="n"/>
      <c r="F765" s="15" t="n"/>
      <c r="G765" s="15" t="n"/>
      <c r="H765" s="16" t="n"/>
      <c r="I765" s="16" t="n"/>
      <c r="J765" s="17" t="n"/>
      <c r="K765" s="17" t="n"/>
      <c r="L765" s="17" t="n"/>
      <c r="M765" s="16" t="n"/>
      <c r="N765" s="16" t="n"/>
      <c r="O765" s="18" t="n"/>
      <c r="P765" s="18" t="n"/>
      <c r="Q765" s="16" t="n"/>
    </row>
    <row r="766">
      <c r="E766" s="15" t="n"/>
      <c r="F766" s="15" t="n"/>
      <c r="G766" s="15" t="n"/>
      <c r="H766" s="16" t="n"/>
      <c r="I766" s="16" t="n"/>
      <c r="J766" s="17" t="n"/>
      <c r="K766" s="17" t="n"/>
      <c r="L766" s="17" t="n"/>
      <c r="M766" s="16" t="n"/>
      <c r="N766" s="16" t="n"/>
      <c r="O766" s="18" t="n"/>
      <c r="P766" s="18" t="n"/>
      <c r="Q766" s="16" t="n"/>
    </row>
    <row r="767">
      <c r="E767" s="15" t="n"/>
      <c r="F767" s="15" t="n"/>
      <c r="G767" s="15" t="n"/>
      <c r="H767" s="16" t="n"/>
      <c r="I767" s="16" t="n"/>
      <c r="J767" s="17" t="n"/>
      <c r="K767" s="17" t="n"/>
      <c r="L767" s="17" t="n"/>
      <c r="M767" s="16" t="n"/>
      <c r="N767" s="16" t="n"/>
      <c r="O767" s="18" t="n"/>
      <c r="P767" s="18" t="n"/>
      <c r="Q767" s="16" t="n"/>
    </row>
    <row r="768">
      <c r="E768" s="15" t="n"/>
      <c r="F768" s="15" t="n"/>
      <c r="G768" s="15" t="n"/>
      <c r="H768" s="16" t="n"/>
      <c r="I768" s="16" t="n"/>
      <c r="J768" s="17" t="n"/>
      <c r="K768" s="17" t="n"/>
      <c r="L768" s="17" t="n"/>
      <c r="M768" s="16" t="n"/>
      <c r="N768" s="16" t="n"/>
      <c r="O768" s="18" t="n"/>
      <c r="P768" s="18" t="n"/>
      <c r="Q768" s="16" t="n"/>
    </row>
    <row r="769">
      <c r="E769" s="15" t="n"/>
      <c r="F769" s="15" t="n"/>
      <c r="G769" s="15" t="n"/>
      <c r="H769" s="16" t="n"/>
      <c r="I769" s="16" t="n"/>
      <c r="J769" s="17" t="n"/>
      <c r="K769" s="17" t="n"/>
      <c r="L769" s="17" t="n"/>
      <c r="M769" s="16" t="n"/>
      <c r="N769" s="16" t="n"/>
      <c r="O769" s="18" t="n"/>
      <c r="P769" s="18" t="n"/>
      <c r="Q769" s="16" t="n"/>
    </row>
    <row r="770">
      <c r="E770" s="15" t="n"/>
      <c r="F770" s="15" t="n"/>
      <c r="G770" s="15" t="n"/>
      <c r="H770" s="16" t="n"/>
      <c r="I770" s="16" t="n"/>
      <c r="J770" s="17" t="n"/>
      <c r="K770" s="17" t="n"/>
      <c r="L770" s="17" t="n"/>
      <c r="M770" s="16" t="n"/>
      <c r="N770" s="16" t="n"/>
      <c r="O770" s="18" t="n"/>
      <c r="P770" s="18" t="n"/>
      <c r="Q770" s="16" t="n"/>
    </row>
    <row r="771">
      <c r="E771" s="15" t="n"/>
      <c r="F771" s="15" t="n"/>
      <c r="G771" s="15" t="n"/>
      <c r="H771" s="16" t="n"/>
      <c r="I771" s="16" t="n"/>
      <c r="J771" s="17" t="n"/>
      <c r="K771" s="17" t="n"/>
      <c r="L771" s="17" t="n"/>
      <c r="M771" s="16" t="n"/>
      <c r="N771" s="16" t="n"/>
      <c r="O771" s="18" t="n"/>
      <c r="P771" s="18" t="n"/>
      <c r="Q771" s="16" t="n"/>
    </row>
    <row r="772">
      <c r="E772" s="15" t="n"/>
      <c r="F772" s="15" t="n"/>
      <c r="G772" s="15" t="n"/>
      <c r="H772" s="16" t="n"/>
      <c r="I772" s="16" t="n"/>
      <c r="J772" s="17" t="n"/>
      <c r="K772" s="17" t="n"/>
      <c r="L772" s="17" t="n"/>
      <c r="M772" s="16" t="n"/>
      <c r="N772" s="16" t="n"/>
      <c r="O772" s="18" t="n"/>
      <c r="P772" s="18" t="n"/>
      <c r="Q772" s="16" t="n"/>
    </row>
    <row r="773">
      <c r="E773" s="15" t="n"/>
      <c r="F773" s="15" t="n"/>
      <c r="G773" s="15" t="n"/>
      <c r="H773" s="16" t="n"/>
      <c r="I773" s="16" t="n"/>
      <c r="J773" s="17" t="n"/>
      <c r="K773" s="17" t="n"/>
      <c r="L773" s="17" t="n"/>
      <c r="M773" s="16" t="n"/>
      <c r="N773" s="16" t="n"/>
      <c r="O773" s="18" t="n"/>
      <c r="P773" s="18" t="n"/>
      <c r="Q773" s="16" t="n"/>
    </row>
    <row r="774">
      <c r="E774" s="15" t="n"/>
      <c r="F774" s="15" t="n"/>
      <c r="G774" s="15" t="n"/>
      <c r="H774" s="16" t="n"/>
      <c r="I774" s="16" t="n"/>
      <c r="J774" s="17" t="n"/>
      <c r="K774" s="17" t="n"/>
      <c r="L774" s="17" t="n"/>
      <c r="M774" s="16" t="n"/>
      <c r="N774" s="16" t="n"/>
      <c r="O774" s="18" t="n"/>
      <c r="P774" s="18" t="n"/>
      <c r="Q774" s="16" t="n"/>
    </row>
    <row r="775">
      <c r="E775" s="15" t="n"/>
      <c r="F775" s="15" t="n"/>
      <c r="G775" s="15" t="n"/>
      <c r="H775" s="16" t="n"/>
      <c r="I775" s="16" t="n"/>
      <c r="J775" s="17" t="n"/>
      <c r="K775" s="17" t="n"/>
      <c r="L775" s="17" t="n"/>
      <c r="M775" s="16" t="n"/>
      <c r="N775" s="16" t="n"/>
      <c r="O775" s="18" t="n"/>
      <c r="P775" s="18" t="n"/>
      <c r="Q775" s="16" t="n"/>
    </row>
    <row r="776">
      <c r="E776" s="15" t="n"/>
      <c r="F776" s="15" t="n"/>
      <c r="G776" s="15" t="n"/>
      <c r="H776" s="16" t="n"/>
      <c r="I776" s="16" t="n"/>
      <c r="J776" s="17" t="n"/>
      <c r="K776" s="17" t="n"/>
      <c r="L776" s="17" t="n"/>
      <c r="M776" s="16" t="n"/>
      <c r="N776" s="16" t="n"/>
      <c r="O776" s="18" t="n"/>
      <c r="P776" s="18" t="n"/>
      <c r="Q776" s="16" t="n"/>
    </row>
    <row r="777">
      <c r="E777" s="15" t="n"/>
      <c r="F777" s="15" t="n"/>
      <c r="G777" s="15" t="n"/>
      <c r="H777" s="16" t="n"/>
      <c r="I777" s="16" t="n"/>
      <c r="J777" s="17" t="n"/>
      <c r="K777" s="17" t="n"/>
      <c r="L777" s="17" t="n"/>
      <c r="M777" s="16" t="n"/>
      <c r="N777" s="16" t="n"/>
      <c r="O777" s="18" t="n"/>
      <c r="P777" s="18" t="n"/>
      <c r="Q777" s="16" t="n"/>
    </row>
    <row r="778">
      <c r="E778" s="15" t="n"/>
      <c r="F778" s="15" t="n"/>
      <c r="G778" s="15" t="n"/>
      <c r="H778" s="16" t="n"/>
      <c r="I778" s="16" t="n"/>
      <c r="J778" s="17" t="n"/>
      <c r="K778" s="17" t="n"/>
      <c r="L778" s="17" t="n"/>
      <c r="M778" s="16" t="n"/>
      <c r="N778" s="16" t="n"/>
      <c r="O778" s="18" t="n"/>
      <c r="P778" s="18" t="n"/>
      <c r="Q778" s="16" t="n"/>
    </row>
    <row r="779">
      <c r="E779" s="15" t="n"/>
      <c r="F779" s="15" t="n"/>
      <c r="G779" s="15" t="n"/>
      <c r="H779" s="16" t="n"/>
      <c r="I779" s="16" t="n"/>
      <c r="J779" s="17" t="n"/>
      <c r="K779" s="17" t="n"/>
      <c r="L779" s="17" t="n"/>
      <c r="M779" s="16" t="n"/>
      <c r="N779" s="16" t="n"/>
      <c r="O779" s="18" t="n"/>
      <c r="P779" s="18" t="n"/>
      <c r="Q779" s="16" t="n"/>
    </row>
    <row r="780">
      <c r="E780" s="15" t="n"/>
      <c r="F780" s="15" t="n"/>
      <c r="G780" s="15" t="n"/>
      <c r="H780" s="16" t="n"/>
      <c r="I780" s="16" t="n"/>
      <c r="J780" s="17" t="n"/>
      <c r="K780" s="17" t="n"/>
      <c r="L780" s="17" t="n"/>
      <c r="M780" s="16" t="n"/>
      <c r="N780" s="16" t="n"/>
      <c r="O780" s="18" t="n"/>
      <c r="P780" s="18" t="n"/>
      <c r="Q780" s="16" t="n"/>
    </row>
    <row r="781">
      <c r="E781" s="15" t="n"/>
      <c r="F781" s="15" t="n"/>
      <c r="G781" s="15" t="n"/>
      <c r="H781" s="16" t="n"/>
      <c r="I781" s="16" t="n"/>
      <c r="J781" s="17" t="n"/>
      <c r="K781" s="17" t="n"/>
      <c r="L781" s="17" t="n"/>
      <c r="M781" s="16" t="n"/>
      <c r="N781" s="16" t="n"/>
      <c r="O781" s="18" t="n"/>
      <c r="P781" s="18" t="n"/>
      <c r="Q781" s="16" t="n"/>
    </row>
    <row r="782">
      <c r="E782" s="15" t="n"/>
      <c r="F782" s="15" t="n"/>
      <c r="G782" s="15" t="n"/>
      <c r="H782" s="16" t="n"/>
      <c r="I782" s="16" t="n"/>
      <c r="J782" s="17" t="n"/>
      <c r="K782" s="17" t="n"/>
      <c r="L782" s="17" t="n"/>
      <c r="M782" s="16" t="n"/>
      <c r="N782" s="16" t="n"/>
      <c r="O782" s="18" t="n"/>
      <c r="P782" s="18" t="n"/>
      <c r="Q782" s="16" t="n"/>
    </row>
    <row r="783">
      <c r="E783" s="15" t="n"/>
      <c r="F783" s="15" t="n"/>
      <c r="G783" s="15" t="n"/>
      <c r="H783" s="16" t="n"/>
      <c r="I783" s="16" t="n"/>
      <c r="J783" s="17" t="n"/>
      <c r="K783" s="17" t="n"/>
      <c r="L783" s="17" t="n"/>
      <c r="M783" s="16" t="n"/>
      <c r="N783" s="16" t="n"/>
      <c r="O783" s="18" t="n"/>
      <c r="P783" s="18" t="n"/>
      <c r="Q783" s="16" t="n"/>
    </row>
    <row r="784">
      <c r="E784" s="15" t="n"/>
      <c r="F784" s="15" t="n"/>
      <c r="G784" s="15" t="n"/>
      <c r="H784" s="16" t="n"/>
      <c r="I784" s="16" t="n"/>
      <c r="J784" s="17" t="n"/>
      <c r="K784" s="17" t="n"/>
      <c r="L784" s="17" t="n"/>
      <c r="M784" s="16" t="n"/>
      <c r="N784" s="16" t="n"/>
      <c r="O784" s="18" t="n"/>
      <c r="P784" s="18" t="n"/>
      <c r="Q784" s="16" t="n"/>
    </row>
    <row r="785">
      <c r="E785" s="15" t="n"/>
      <c r="F785" s="15" t="n"/>
      <c r="G785" s="15" t="n"/>
      <c r="H785" s="16" t="n"/>
      <c r="I785" s="16" t="n"/>
      <c r="J785" s="17" t="n"/>
      <c r="K785" s="17" t="n"/>
      <c r="L785" s="17" t="n"/>
      <c r="M785" s="16" t="n"/>
      <c r="N785" s="16" t="n"/>
      <c r="O785" s="18" t="n"/>
      <c r="P785" s="18" t="n"/>
      <c r="Q785" s="16" t="n"/>
    </row>
    <row r="786">
      <c r="E786" s="15" t="n"/>
      <c r="F786" s="15" t="n"/>
      <c r="G786" s="15" t="n"/>
      <c r="H786" s="16" t="n"/>
      <c r="I786" s="16" t="n"/>
      <c r="J786" s="17" t="n"/>
      <c r="K786" s="17" t="n"/>
      <c r="L786" s="17" t="n"/>
      <c r="M786" s="16" t="n"/>
      <c r="N786" s="16" t="n"/>
      <c r="O786" s="18" t="n"/>
      <c r="P786" s="18" t="n"/>
      <c r="Q786" s="16" t="n"/>
    </row>
    <row r="787">
      <c r="E787" s="15" t="n"/>
      <c r="F787" s="15" t="n"/>
      <c r="G787" s="15" t="n"/>
      <c r="H787" s="16" t="n"/>
      <c r="I787" s="16" t="n"/>
      <c r="J787" s="17" t="n"/>
      <c r="K787" s="17" t="n"/>
      <c r="L787" s="17" t="n"/>
      <c r="M787" s="16" t="n"/>
      <c r="N787" s="16" t="n"/>
      <c r="O787" s="18" t="n"/>
      <c r="P787" s="18" t="n"/>
      <c r="Q787" s="16" t="n"/>
    </row>
    <row r="788">
      <c r="E788" s="15" t="n"/>
      <c r="F788" s="15" t="n"/>
      <c r="G788" s="15" t="n"/>
      <c r="H788" s="16" t="n"/>
      <c r="I788" s="16" t="n"/>
      <c r="J788" s="17" t="n"/>
      <c r="K788" s="17" t="n"/>
      <c r="L788" s="17" t="n"/>
      <c r="M788" s="16" t="n"/>
      <c r="N788" s="16" t="n"/>
      <c r="O788" s="18" t="n"/>
      <c r="P788" s="18" t="n"/>
      <c r="Q788" s="16" t="n"/>
    </row>
    <row r="789">
      <c r="E789" s="15" t="n"/>
      <c r="F789" s="15" t="n"/>
      <c r="G789" s="15" t="n"/>
      <c r="H789" s="16" t="n"/>
      <c r="I789" s="16" t="n"/>
      <c r="J789" s="17" t="n"/>
      <c r="K789" s="17" t="n"/>
      <c r="L789" s="17" t="n"/>
      <c r="M789" s="16" t="n"/>
      <c r="N789" s="16" t="n"/>
      <c r="O789" s="18" t="n"/>
      <c r="P789" s="18" t="n"/>
      <c r="Q789" s="16" t="n"/>
    </row>
    <row r="790">
      <c r="E790" s="15" t="n"/>
      <c r="F790" s="15" t="n"/>
      <c r="G790" s="15" t="n"/>
      <c r="H790" s="16" t="n"/>
      <c r="I790" s="16" t="n"/>
      <c r="J790" s="17" t="n"/>
      <c r="K790" s="17" t="n"/>
      <c r="L790" s="17" t="n"/>
      <c r="M790" s="16" t="n"/>
      <c r="N790" s="16" t="n"/>
      <c r="O790" s="18" t="n"/>
      <c r="P790" s="18" t="n"/>
      <c r="Q790" s="16" t="n"/>
    </row>
    <row r="791">
      <c r="E791" s="15" t="n"/>
      <c r="F791" s="15" t="n"/>
      <c r="G791" s="15" t="n"/>
      <c r="H791" s="16" t="n"/>
      <c r="I791" s="16" t="n"/>
      <c r="J791" s="17" t="n"/>
      <c r="K791" s="17" t="n"/>
      <c r="L791" s="17" t="n"/>
      <c r="M791" s="16" t="n"/>
      <c r="N791" s="16" t="n"/>
      <c r="O791" s="18" t="n"/>
      <c r="P791" s="18" t="n"/>
      <c r="Q791" s="16" t="n"/>
    </row>
    <row r="792">
      <c r="E792" s="15" t="n"/>
      <c r="F792" s="15" t="n"/>
      <c r="G792" s="15" t="n"/>
      <c r="H792" s="16" t="n"/>
      <c r="I792" s="16" t="n"/>
      <c r="J792" s="17" t="n"/>
      <c r="K792" s="17" t="n"/>
      <c r="L792" s="17" t="n"/>
      <c r="M792" s="16" t="n"/>
      <c r="N792" s="16" t="n"/>
      <c r="O792" s="18" t="n"/>
      <c r="P792" s="18" t="n"/>
      <c r="Q792" s="16" t="n"/>
    </row>
    <row r="793">
      <c r="E793" s="15" t="n"/>
      <c r="F793" s="15" t="n"/>
      <c r="G793" s="15" t="n"/>
      <c r="H793" s="16" t="n"/>
      <c r="I793" s="16" t="n"/>
      <c r="J793" s="17" t="n"/>
      <c r="K793" s="17" t="n"/>
      <c r="L793" s="17" t="n"/>
      <c r="M793" s="16" t="n"/>
      <c r="N793" s="16" t="n"/>
      <c r="O793" s="18" t="n"/>
      <c r="P793" s="18" t="n"/>
      <c r="Q793" s="16" t="n"/>
    </row>
    <row r="794">
      <c r="E794" s="15" t="n"/>
      <c r="F794" s="15" t="n"/>
      <c r="G794" s="15" t="n"/>
      <c r="H794" s="16" t="n"/>
      <c r="I794" s="16" t="n"/>
      <c r="J794" s="17" t="n"/>
      <c r="K794" s="17" t="n"/>
      <c r="L794" s="17" t="n"/>
      <c r="M794" s="16" t="n"/>
      <c r="N794" s="16" t="n"/>
      <c r="O794" s="18" t="n"/>
      <c r="P794" s="18" t="n"/>
      <c r="Q794" s="16" t="n"/>
    </row>
    <row r="795">
      <c r="E795" s="15" t="n"/>
      <c r="F795" s="15" t="n"/>
      <c r="G795" s="15" t="n"/>
      <c r="H795" s="16" t="n"/>
      <c r="I795" s="16" t="n"/>
      <c r="J795" s="17" t="n"/>
      <c r="K795" s="17" t="n"/>
      <c r="L795" s="17" t="n"/>
      <c r="M795" s="16" t="n"/>
      <c r="N795" s="16" t="n"/>
      <c r="O795" s="18" t="n"/>
      <c r="P795" s="18" t="n"/>
      <c r="Q795" s="16" t="n"/>
    </row>
    <row r="796">
      <c r="E796" s="15" t="n"/>
      <c r="F796" s="15" t="n"/>
      <c r="G796" s="15" t="n"/>
      <c r="H796" s="16" t="n"/>
      <c r="I796" s="16" t="n"/>
      <c r="J796" s="17" t="n"/>
      <c r="K796" s="17" t="n"/>
      <c r="L796" s="17" t="n"/>
      <c r="M796" s="16" t="n"/>
      <c r="N796" s="16" t="n"/>
      <c r="O796" s="18" t="n"/>
      <c r="P796" s="18" t="n"/>
      <c r="Q796" s="16" t="n"/>
    </row>
    <row r="797">
      <c r="E797" s="15" t="n"/>
      <c r="F797" s="15" t="n"/>
      <c r="G797" s="15" t="n"/>
      <c r="H797" s="16" t="n"/>
      <c r="I797" s="16" t="n"/>
      <c r="J797" s="17" t="n"/>
      <c r="K797" s="17" t="n"/>
      <c r="L797" s="17" t="n"/>
      <c r="M797" s="16" t="n"/>
      <c r="N797" s="16" t="n"/>
      <c r="O797" s="18" t="n"/>
      <c r="P797" s="18" t="n"/>
      <c r="Q797" s="16" t="n"/>
    </row>
    <row r="798">
      <c r="E798" s="15" t="n"/>
      <c r="F798" s="15" t="n"/>
      <c r="G798" s="15" t="n"/>
      <c r="H798" s="16" t="n"/>
      <c r="I798" s="16" t="n"/>
      <c r="J798" s="17" t="n"/>
      <c r="K798" s="17" t="n"/>
      <c r="L798" s="17" t="n"/>
      <c r="M798" s="16" t="n"/>
      <c r="N798" s="16" t="n"/>
      <c r="O798" s="18" t="n"/>
      <c r="P798" s="18" t="n"/>
      <c r="Q798" s="16" t="n"/>
    </row>
    <row r="799">
      <c r="E799" s="15" t="n"/>
      <c r="F799" s="15" t="n"/>
      <c r="G799" s="15" t="n"/>
      <c r="H799" s="16" t="n"/>
      <c r="I799" s="16" t="n"/>
      <c r="J799" s="17" t="n"/>
      <c r="K799" s="17" t="n"/>
      <c r="L799" s="17" t="n"/>
      <c r="M799" s="16" t="n"/>
      <c r="N799" s="16" t="n"/>
      <c r="O799" s="18" t="n"/>
      <c r="P799" s="18" t="n"/>
      <c r="Q799" s="16" t="n"/>
    </row>
    <row r="800">
      <c r="E800" s="15" t="n"/>
      <c r="F800" s="15" t="n"/>
      <c r="G800" s="15" t="n"/>
      <c r="H800" s="16" t="n"/>
      <c r="I800" s="16" t="n"/>
      <c r="J800" s="17" t="n"/>
      <c r="K800" s="17" t="n"/>
      <c r="L800" s="17" t="n"/>
      <c r="M800" s="16" t="n"/>
      <c r="N800" s="16" t="n"/>
      <c r="O800" s="18" t="n"/>
      <c r="P800" s="18" t="n"/>
      <c r="Q800" s="16" t="n"/>
    </row>
    <row r="801">
      <c r="E801" s="15" t="n"/>
      <c r="F801" s="15" t="n"/>
      <c r="G801" s="15" t="n"/>
      <c r="H801" s="16" t="n"/>
      <c r="I801" s="16" t="n"/>
      <c r="J801" s="17" t="n"/>
      <c r="K801" s="17" t="n"/>
      <c r="L801" s="17" t="n"/>
      <c r="M801" s="16" t="n"/>
      <c r="N801" s="16" t="n"/>
      <c r="O801" s="18" t="n"/>
      <c r="P801" s="18" t="n"/>
      <c r="Q801" s="16" t="n"/>
    </row>
    <row r="802">
      <c r="E802" s="15" t="n"/>
      <c r="F802" s="15" t="n"/>
      <c r="G802" s="15" t="n"/>
      <c r="H802" s="16" t="n"/>
      <c r="I802" s="16" t="n"/>
      <c r="J802" s="17" t="n"/>
      <c r="K802" s="17" t="n"/>
      <c r="L802" s="17" t="n"/>
      <c r="M802" s="16" t="n"/>
      <c r="N802" s="16" t="n"/>
      <c r="O802" s="18" t="n"/>
      <c r="P802" s="18" t="n"/>
      <c r="Q802" s="16" t="n"/>
    </row>
    <row r="803">
      <c r="E803" s="15" t="n"/>
      <c r="F803" s="15" t="n"/>
      <c r="G803" s="15" t="n"/>
      <c r="H803" s="16" t="n"/>
      <c r="I803" s="16" t="n"/>
      <c r="J803" s="17" t="n"/>
      <c r="K803" s="17" t="n"/>
      <c r="L803" s="17" t="n"/>
      <c r="M803" s="16" t="n"/>
      <c r="N803" s="16" t="n"/>
      <c r="O803" s="18" t="n"/>
      <c r="P803" s="18" t="n"/>
      <c r="Q803" s="16" t="n"/>
    </row>
    <row r="804">
      <c r="E804" s="15" t="n"/>
      <c r="F804" s="15" t="n"/>
      <c r="G804" s="15" t="n"/>
      <c r="H804" s="16" t="n"/>
      <c r="I804" s="16" t="n"/>
      <c r="J804" s="17" t="n"/>
      <c r="K804" s="17" t="n"/>
      <c r="L804" s="17" t="n"/>
      <c r="M804" s="16" t="n"/>
      <c r="N804" s="16" t="n"/>
      <c r="O804" s="18" t="n"/>
      <c r="P804" s="18" t="n"/>
      <c r="Q804" s="16" t="n"/>
    </row>
    <row r="805">
      <c r="E805" s="15" t="n"/>
      <c r="F805" s="15" t="n"/>
      <c r="G805" s="15" t="n"/>
      <c r="H805" s="16" t="n"/>
      <c r="I805" s="16" t="n"/>
      <c r="J805" s="17" t="n"/>
      <c r="K805" s="17" t="n"/>
      <c r="L805" s="17" t="n"/>
      <c r="M805" s="16" t="n"/>
      <c r="N805" s="16" t="n"/>
      <c r="O805" s="18" t="n"/>
      <c r="P805" s="18" t="n"/>
      <c r="Q805" s="16" t="n"/>
    </row>
    <row r="806">
      <c r="E806" s="15" t="n"/>
      <c r="F806" s="15" t="n"/>
      <c r="G806" s="15" t="n"/>
      <c r="H806" s="16" t="n"/>
      <c r="I806" s="16" t="n"/>
      <c r="J806" s="17" t="n"/>
      <c r="K806" s="17" t="n"/>
      <c r="L806" s="17" t="n"/>
      <c r="M806" s="16" t="n"/>
      <c r="N806" s="16" t="n"/>
      <c r="O806" s="18" t="n"/>
      <c r="P806" s="18" t="n"/>
      <c r="Q806" s="16" t="n"/>
    </row>
    <row r="807">
      <c r="E807" s="15" t="n"/>
      <c r="F807" s="15" t="n"/>
      <c r="G807" s="15" t="n"/>
      <c r="H807" s="16" t="n"/>
      <c r="I807" s="16" t="n"/>
      <c r="J807" s="17" t="n"/>
      <c r="K807" s="17" t="n"/>
      <c r="L807" s="17" t="n"/>
      <c r="M807" s="16" t="n"/>
      <c r="N807" s="16" t="n"/>
      <c r="O807" s="18" t="n"/>
      <c r="P807" s="18" t="n"/>
      <c r="Q807" s="16" t="n"/>
    </row>
    <row r="808">
      <c r="E808" s="15" t="n"/>
      <c r="F808" s="15" t="n"/>
      <c r="G808" s="15" t="n"/>
      <c r="H808" s="16" t="n"/>
      <c r="I808" s="16" t="n"/>
      <c r="J808" s="17" t="n"/>
      <c r="K808" s="17" t="n"/>
      <c r="L808" s="17" t="n"/>
      <c r="M808" s="16" t="n"/>
      <c r="N808" s="16" t="n"/>
      <c r="O808" s="18" t="n"/>
      <c r="P808" s="18" t="n"/>
      <c r="Q808" s="16" t="n"/>
    </row>
    <row r="809">
      <c r="E809" s="15" t="n"/>
      <c r="F809" s="15" t="n"/>
      <c r="G809" s="15" t="n"/>
      <c r="H809" s="16" t="n"/>
      <c r="I809" s="16" t="n"/>
      <c r="J809" s="17" t="n"/>
      <c r="K809" s="17" t="n"/>
      <c r="L809" s="17" t="n"/>
      <c r="M809" s="16" t="n"/>
      <c r="N809" s="16" t="n"/>
      <c r="O809" s="18" t="n"/>
      <c r="P809" s="18" t="n"/>
      <c r="Q809" s="16" t="n"/>
    </row>
    <row r="810">
      <c r="E810" s="15" t="n"/>
      <c r="F810" s="15" t="n"/>
      <c r="G810" s="15" t="n"/>
      <c r="H810" s="16" t="n"/>
      <c r="I810" s="16" t="n"/>
      <c r="J810" s="17" t="n"/>
      <c r="K810" s="17" t="n"/>
      <c r="L810" s="17" t="n"/>
      <c r="M810" s="16" t="n"/>
      <c r="N810" s="16" t="n"/>
      <c r="O810" s="18" t="n"/>
      <c r="P810" s="18" t="n"/>
      <c r="Q810" s="16" t="n"/>
    </row>
    <row r="811">
      <c r="E811" s="15" t="n"/>
      <c r="F811" s="15" t="n"/>
      <c r="G811" s="15" t="n"/>
      <c r="H811" s="16" t="n"/>
      <c r="I811" s="16" t="n"/>
      <c r="J811" s="17" t="n"/>
      <c r="K811" s="17" t="n"/>
      <c r="L811" s="17" t="n"/>
      <c r="M811" s="16" t="n"/>
      <c r="N811" s="16" t="n"/>
      <c r="O811" s="18" t="n"/>
      <c r="P811" s="18" t="n"/>
      <c r="Q811" s="16" t="n"/>
    </row>
    <row r="812">
      <c r="E812" s="15" t="n"/>
      <c r="F812" s="15" t="n"/>
      <c r="G812" s="15" t="n"/>
      <c r="H812" s="16" t="n"/>
      <c r="I812" s="16" t="n"/>
      <c r="J812" s="17" t="n"/>
      <c r="K812" s="17" t="n"/>
      <c r="L812" s="17" t="n"/>
      <c r="M812" s="16" t="n"/>
      <c r="N812" s="16" t="n"/>
      <c r="O812" s="18" t="n"/>
      <c r="P812" s="18" t="n"/>
      <c r="Q812" s="16" t="n"/>
    </row>
    <row r="813">
      <c r="E813" s="15" t="n"/>
      <c r="F813" s="15" t="n"/>
      <c r="G813" s="15" t="n"/>
      <c r="H813" s="16" t="n"/>
      <c r="I813" s="16" t="n"/>
      <c r="J813" s="17" t="n"/>
      <c r="K813" s="17" t="n"/>
      <c r="L813" s="17" t="n"/>
      <c r="M813" s="16" t="n"/>
      <c r="N813" s="16" t="n"/>
      <c r="O813" s="18" t="n"/>
      <c r="P813" s="18" t="n"/>
      <c r="Q813" s="16" t="n"/>
    </row>
    <row r="814">
      <c r="E814" s="15" t="n"/>
      <c r="F814" s="15" t="n"/>
      <c r="G814" s="15" t="n"/>
      <c r="H814" s="16" t="n"/>
      <c r="I814" s="16" t="n"/>
      <c r="J814" s="17" t="n"/>
      <c r="K814" s="17" t="n"/>
      <c r="L814" s="17" t="n"/>
      <c r="M814" s="16" t="n"/>
      <c r="N814" s="16" t="n"/>
      <c r="O814" s="18" t="n"/>
      <c r="P814" s="18" t="n"/>
      <c r="Q814" s="16" t="n"/>
    </row>
    <row r="815">
      <c r="E815" s="15" t="n"/>
      <c r="F815" s="15" t="n"/>
      <c r="G815" s="15" t="n"/>
      <c r="H815" s="16" t="n"/>
      <c r="I815" s="16" t="n"/>
      <c r="J815" s="17" t="n"/>
      <c r="K815" s="17" t="n"/>
      <c r="L815" s="17" t="n"/>
      <c r="M815" s="16" t="n"/>
      <c r="N815" s="16" t="n"/>
      <c r="O815" s="18" t="n"/>
      <c r="P815" s="18" t="n"/>
      <c r="Q815" s="16" t="n"/>
    </row>
    <row r="816">
      <c r="E816" s="15" t="n"/>
      <c r="F816" s="15" t="n"/>
      <c r="G816" s="15" t="n"/>
      <c r="H816" s="16" t="n"/>
      <c r="I816" s="16" t="n"/>
      <c r="J816" s="17" t="n"/>
      <c r="K816" s="17" t="n"/>
      <c r="L816" s="17" t="n"/>
      <c r="M816" s="16" t="n"/>
      <c r="N816" s="16" t="n"/>
      <c r="O816" s="18" t="n"/>
      <c r="P816" s="18" t="n"/>
      <c r="Q816" s="16" t="n"/>
    </row>
    <row r="817">
      <c r="E817" s="15" t="n"/>
      <c r="F817" s="15" t="n"/>
      <c r="G817" s="15" t="n"/>
      <c r="H817" s="16" t="n"/>
      <c r="I817" s="16" t="n"/>
      <c r="J817" s="17" t="n"/>
      <c r="K817" s="17" t="n"/>
      <c r="L817" s="17" t="n"/>
      <c r="M817" s="16" t="n"/>
      <c r="N817" s="16" t="n"/>
      <c r="O817" s="18" t="n"/>
      <c r="P817" s="18" t="n"/>
      <c r="Q817" s="16" t="n"/>
    </row>
    <row r="818">
      <c r="E818" s="15" t="n"/>
      <c r="F818" s="15" t="n"/>
      <c r="G818" s="15" t="n"/>
      <c r="H818" s="16" t="n"/>
      <c r="I818" s="16" t="n"/>
      <c r="J818" s="17" t="n"/>
      <c r="K818" s="17" t="n"/>
      <c r="L818" s="17" t="n"/>
      <c r="M818" s="16" t="n"/>
      <c r="N818" s="16" t="n"/>
      <c r="O818" s="18" t="n"/>
      <c r="P818" s="18" t="n"/>
      <c r="Q818" s="16" t="n"/>
    </row>
    <row r="819">
      <c r="E819" s="15" t="n"/>
      <c r="F819" s="15" t="n"/>
      <c r="G819" s="15" t="n"/>
      <c r="H819" s="16" t="n"/>
      <c r="I819" s="16" t="n"/>
      <c r="J819" s="17" t="n"/>
      <c r="K819" s="17" t="n"/>
      <c r="L819" s="17" t="n"/>
      <c r="M819" s="16" t="n"/>
      <c r="N819" s="16" t="n"/>
      <c r="O819" s="18" t="n"/>
      <c r="P819" s="18" t="n"/>
      <c r="Q819" s="16" t="n"/>
    </row>
    <row r="820">
      <c r="E820" s="15" t="n"/>
      <c r="F820" s="15" t="n"/>
      <c r="G820" s="15" t="n"/>
      <c r="H820" s="16" t="n"/>
      <c r="I820" s="16" t="n"/>
      <c r="J820" s="17" t="n"/>
      <c r="K820" s="17" t="n"/>
      <c r="L820" s="17" t="n"/>
      <c r="M820" s="16" t="n"/>
      <c r="N820" s="16" t="n"/>
      <c r="O820" s="18" t="n"/>
      <c r="P820" s="18" t="n"/>
      <c r="Q820" s="16" t="n"/>
    </row>
    <row r="821">
      <c r="E821" s="15" t="n"/>
      <c r="F821" s="15" t="n"/>
      <c r="G821" s="15" t="n"/>
      <c r="H821" s="16" t="n"/>
      <c r="I821" s="16" t="n"/>
      <c r="J821" s="17" t="n"/>
      <c r="K821" s="17" t="n"/>
      <c r="L821" s="17" t="n"/>
      <c r="M821" s="16" t="n"/>
      <c r="N821" s="16" t="n"/>
      <c r="O821" s="18" t="n"/>
      <c r="P821" s="18" t="n"/>
      <c r="Q821" s="16" t="n"/>
    </row>
    <row r="822">
      <c r="E822" s="15" t="n"/>
      <c r="F822" s="15" t="n"/>
      <c r="G822" s="15" t="n"/>
      <c r="H822" s="16" t="n"/>
      <c r="I822" s="16" t="n"/>
      <c r="J822" s="17" t="n"/>
      <c r="K822" s="17" t="n"/>
      <c r="L822" s="17" t="n"/>
      <c r="M822" s="16" t="n"/>
      <c r="N822" s="16" t="n"/>
      <c r="O822" s="18" t="n"/>
      <c r="P822" s="18" t="n"/>
      <c r="Q822" s="16" t="n"/>
    </row>
    <row r="823">
      <c r="E823" s="15" t="n"/>
      <c r="F823" s="15" t="n"/>
      <c r="G823" s="15" t="n"/>
      <c r="H823" s="16" t="n"/>
      <c r="I823" s="16" t="n"/>
      <c r="J823" s="17" t="n"/>
      <c r="K823" s="17" t="n"/>
      <c r="L823" s="17" t="n"/>
      <c r="M823" s="16" t="n"/>
      <c r="N823" s="16" t="n"/>
      <c r="O823" s="18" t="n"/>
      <c r="P823" s="18" t="n"/>
      <c r="Q823" s="16" t="n"/>
    </row>
    <row r="824">
      <c r="E824" s="15" t="n"/>
      <c r="F824" s="15" t="n"/>
      <c r="G824" s="15" t="n"/>
      <c r="H824" s="16" t="n"/>
      <c r="I824" s="16" t="n"/>
      <c r="J824" s="17" t="n"/>
      <c r="K824" s="17" t="n"/>
      <c r="L824" s="17" t="n"/>
      <c r="M824" s="16" t="n"/>
      <c r="N824" s="16" t="n"/>
      <c r="O824" s="18" t="n"/>
      <c r="P824" s="18" t="n"/>
      <c r="Q824" s="16" t="n"/>
    </row>
    <row r="825">
      <c r="E825" s="15" t="n"/>
      <c r="F825" s="15" t="n"/>
      <c r="G825" s="15" t="n"/>
      <c r="H825" s="16" t="n"/>
      <c r="I825" s="16" t="n"/>
      <c r="J825" s="17" t="n"/>
      <c r="K825" s="17" t="n"/>
      <c r="L825" s="17" t="n"/>
      <c r="M825" s="16" t="n"/>
      <c r="N825" s="16" t="n"/>
      <c r="O825" s="18" t="n"/>
      <c r="P825" s="18" t="n"/>
      <c r="Q825" s="16" t="n"/>
    </row>
    <row r="826">
      <c r="E826" s="15" t="n"/>
      <c r="F826" s="15" t="n"/>
      <c r="G826" s="15" t="n"/>
      <c r="H826" s="16" t="n"/>
      <c r="I826" s="16" t="n"/>
      <c r="J826" s="17" t="n"/>
      <c r="K826" s="17" t="n"/>
      <c r="L826" s="17" t="n"/>
      <c r="M826" s="16" t="n"/>
      <c r="N826" s="16" t="n"/>
      <c r="O826" s="18" t="n"/>
      <c r="P826" s="18" t="n"/>
      <c r="Q826" s="16" t="n"/>
    </row>
    <row r="827">
      <c r="E827" s="15" t="n"/>
      <c r="F827" s="15" t="n"/>
      <c r="G827" s="15" t="n"/>
      <c r="H827" s="16" t="n"/>
      <c r="I827" s="16" t="n"/>
      <c r="J827" s="17" t="n"/>
      <c r="K827" s="17" t="n"/>
      <c r="L827" s="17" t="n"/>
      <c r="M827" s="16" t="n"/>
      <c r="N827" s="16" t="n"/>
      <c r="O827" s="18" t="n"/>
      <c r="P827" s="18" t="n"/>
      <c r="Q827" s="16" t="n"/>
    </row>
    <row r="828">
      <c r="E828" s="15" t="n"/>
      <c r="F828" s="15" t="n"/>
      <c r="G828" s="15" t="n"/>
      <c r="H828" s="16" t="n"/>
      <c r="I828" s="16" t="n"/>
      <c r="J828" s="17" t="n"/>
      <c r="K828" s="17" t="n"/>
      <c r="L828" s="17" t="n"/>
      <c r="M828" s="16" t="n"/>
      <c r="N828" s="16" t="n"/>
      <c r="O828" s="18" t="n"/>
      <c r="P828" s="18" t="n"/>
      <c r="Q828" s="16" t="n"/>
    </row>
    <row r="829">
      <c r="E829" s="15" t="n"/>
      <c r="F829" s="15" t="n"/>
      <c r="G829" s="15" t="n"/>
      <c r="H829" s="16" t="n"/>
      <c r="I829" s="16" t="n"/>
      <c r="J829" s="17" t="n"/>
      <c r="K829" s="17" t="n"/>
      <c r="L829" s="17" t="n"/>
      <c r="M829" s="16" t="n"/>
      <c r="N829" s="16" t="n"/>
      <c r="O829" s="18" t="n"/>
      <c r="P829" s="18" t="n"/>
      <c r="Q829" s="16" t="n"/>
    </row>
    <row r="830">
      <c r="E830" s="15" t="n"/>
      <c r="F830" s="15" t="n"/>
      <c r="G830" s="15" t="n"/>
      <c r="H830" s="16" t="n"/>
      <c r="I830" s="16" t="n"/>
      <c r="J830" s="17" t="n"/>
      <c r="K830" s="17" t="n"/>
      <c r="L830" s="17" t="n"/>
      <c r="M830" s="16" t="n"/>
      <c r="N830" s="16" t="n"/>
      <c r="O830" s="18" t="n"/>
      <c r="P830" s="18" t="n"/>
      <c r="Q830" s="16" t="n"/>
    </row>
    <row r="831">
      <c r="E831" s="15" t="n"/>
      <c r="F831" s="15" t="n"/>
      <c r="G831" s="15" t="n"/>
      <c r="H831" s="16" t="n"/>
      <c r="I831" s="16" t="n"/>
      <c r="J831" s="17" t="n"/>
      <c r="K831" s="17" t="n"/>
      <c r="L831" s="17" t="n"/>
      <c r="M831" s="16" t="n"/>
      <c r="N831" s="16" t="n"/>
      <c r="O831" s="18" t="n"/>
      <c r="P831" s="18" t="n"/>
      <c r="Q831" s="16" t="n"/>
    </row>
    <row r="832">
      <c r="E832" s="15" t="n"/>
      <c r="F832" s="15" t="n"/>
      <c r="G832" s="15" t="n"/>
      <c r="H832" s="16" t="n"/>
      <c r="I832" s="16" t="n"/>
      <c r="J832" s="17" t="n"/>
      <c r="K832" s="17" t="n"/>
      <c r="L832" s="17" t="n"/>
      <c r="M832" s="16" t="n"/>
      <c r="N832" s="16" t="n"/>
      <c r="O832" s="18" t="n"/>
      <c r="P832" s="18" t="n"/>
      <c r="Q832" s="16" t="n"/>
    </row>
    <row r="833">
      <c r="E833" s="15" t="n"/>
      <c r="F833" s="15" t="n"/>
      <c r="G833" s="15" t="n"/>
      <c r="H833" s="16" t="n"/>
      <c r="I833" s="16" t="n"/>
      <c r="J833" s="17" t="n"/>
      <c r="K833" s="17" t="n"/>
      <c r="L833" s="17" t="n"/>
      <c r="M833" s="16" t="n"/>
      <c r="N833" s="16" t="n"/>
      <c r="O833" s="18" t="n"/>
      <c r="P833" s="18" t="n"/>
      <c r="Q833" s="16" t="n"/>
    </row>
    <row r="834">
      <c r="E834" s="15" t="n"/>
      <c r="F834" s="15" t="n"/>
      <c r="G834" s="15" t="n"/>
      <c r="H834" s="16" t="n"/>
      <c r="I834" s="16" t="n"/>
      <c r="J834" s="17" t="n"/>
      <c r="K834" s="17" t="n"/>
      <c r="L834" s="17" t="n"/>
      <c r="M834" s="16" t="n"/>
      <c r="N834" s="16" t="n"/>
      <c r="O834" s="18" t="n"/>
      <c r="P834" s="18" t="n"/>
      <c r="Q834" s="16" t="n"/>
    </row>
    <row r="835">
      <c r="E835" s="15" t="n"/>
      <c r="F835" s="15" t="n"/>
      <c r="G835" s="15" t="n"/>
      <c r="H835" s="16" t="n"/>
      <c r="I835" s="16" t="n"/>
      <c r="J835" s="17" t="n"/>
      <c r="K835" s="17" t="n"/>
      <c r="L835" s="17" t="n"/>
      <c r="M835" s="16" t="n"/>
      <c r="N835" s="16" t="n"/>
      <c r="O835" s="18" t="n"/>
      <c r="P835" s="18" t="n"/>
      <c r="Q835" s="16" t="n"/>
    </row>
    <row r="836">
      <c r="E836" s="15" t="n"/>
      <c r="F836" s="15" t="n"/>
      <c r="G836" s="15" t="n"/>
      <c r="H836" s="16" t="n"/>
      <c r="I836" s="16" t="n"/>
      <c r="J836" s="17" t="n"/>
      <c r="K836" s="17" t="n"/>
      <c r="L836" s="17" t="n"/>
      <c r="M836" s="16" t="n"/>
      <c r="N836" s="16" t="n"/>
      <c r="O836" s="18" t="n"/>
      <c r="P836" s="18" t="n"/>
      <c r="Q836" s="16" t="n"/>
    </row>
    <row r="837">
      <c r="E837" s="15" t="n"/>
      <c r="F837" s="15" t="n"/>
      <c r="G837" s="15" t="n"/>
      <c r="H837" s="16" t="n"/>
      <c r="I837" s="16" t="n"/>
      <c r="J837" s="17" t="n"/>
      <c r="K837" s="17" t="n"/>
      <c r="L837" s="17" t="n"/>
      <c r="M837" s="16" t="n"/>
      <c r="N837" s="16" t="n"/>
      <c r="O837" s="18" t="n"/>
      <c r="P837" s="18" t="n"/>
      <c r="Q837" s="16" t="n"/>
    </row>
    <row r="838">
      <c r="E838" s="15" t="n"/>
      <c r="F838" s="15" t="n"/>
      <c r="G838" s="15" t="n"/>
      <c r="H838" s="16" t="n"/>
      <c r="I838" s="16" t="n"/>
      <c r="J838" s="17" t="n"/>
      <c r="K838" s="17" t="n"/>
      <c r="L838" s="17" t="n"/>
      <c r="M838" s="16" t="n"/>
      <c r="N838" s="16" t="n"/>
      <c r="O838" s="18" t="n"/>
      <c r="P838" s="18" t="n"/>
      <c r="Q838" s="16" t="n"/>
    </row>
    <row r="839">
      <c r="E839" s="15" t="n"/>
      <c r="F839" s="15" t="n"/>
      <c r="G839" s="15" t="n"/>
      <c r="H839" s="16" t="n"/>
      <c r="I839" s="16" t="n"/>
      <c r="J839" s="17" t="n"/>
      <c r="K839" s="17" t="n"/>
      <c r="L839" s="17" t="n"/>
      <c r="M839" s="16" t="n"/>
      <c r="N839" s="16" t="n"/>
      <c r="O839" s="18" t="n"/>
      <c r="P839" s="18" t="n"/>
      <c r="Q839" s="16" t="n"/>
    </row>
    <row r="840">
      <c r="E840" s="15" t="n"/>
      <c r="F840" s="15" t="n"/>
      <c r="G840" s="15" t="n"/>
      <c r="H840" s="16" t="n"/>
      <c r="I840" s="16" t="n"/>
      <c r="J840" s="17" t="n"/>
      <c r="K840" s="17" t="n"/>
      <c r="L840" s="17" t="n"/>
      <c r="M840" s="16" t="n"/>
      <c r="N840" s="16" t="n"/>
      <c r="O840" s="18" t="n"/>
      <c r="P840" s="18" t="n"/>
      <c r="Q840" s="16" t="n"/>
    </row>
    <row r="841">
      <c r="E841" s="15" t="n"/>
      <c r="F841" s="15" t="n"/>
      <c r="G841" s="15" t="n"/>
      <c r="H841" s="16" t="n"/>
      <c r="I841" s="16" t="n"/>
      <c r="J841" s="17" t="n"/>
      <c r="K841" s="17" t="n"/>
      <c r="L841" s="17" t="n"/>
      <c r="M841" s="16" t="n"/>
      <c r="N841" s="16" t="n"/>
      <c r="O841" s="18" t="n"/>
      <c r="P841" s="18" t="n"/>
      <c r="Q841" s="16" t="n"/>
    </row>
    <row r="842">
      <c r="E842" s="15" t="n"/>
      <c r="F842" s="15" t="n"/>
      <c r="G842" s="15" t="n"/>
      <c r="H842" s="16" t="n"/>
      <c r="I842" s="16" t="n"/>
      <c r="J842" s="17" t="n"/>
      <c r="K842" s="17" t="n"/>
      <c r="L842" s="17" t="n"/>
      <c r="M842" s="16" t="n"/>
      <c r="N842" s="16" t="n"/>
      <c r="O842" s="18" t="n"/>
      <c r="P842" s="18" t="n"/>
      <c r="Q842" s="16" t="n"/>
    </row>
    <row r="843">
      <c r="E843" s="15" t="n"/>
      <c r="F843" s="15" t="n"/>
      <c r="G843" s="15" t="n"/>
      <c r="H843" s="16" t="n"/>
      <c r="I843" s="16" t="n"/>
      <c r="J843" s="17" t="n"/>
      <c r="K843" s="17" t="n"/>
      <c r="L843" s="17" t="n"/>
      <c r="M843" s="16" t="n"/>
      <c r="N843" s="16" t="n"/>
      <c r="O843" s="18" t="n"/>
      <c r="P843" s="18" t="n"/>
      <c r="Q843" s="16" t="n"/>
    </row>
    <row r="844">
      <c r="E844" s="15" t="n"/>
      <c r="F844" s="15" t="n"/>
      <c r="G844" s="15" t="n"/>
      <c r="H844" s="16" t="n"/>
      <c r="I844" s="16" t="n"/>
      <c r="J844" s="17" t="n"/>
      <c r="K844" s="17" t="n"/>
      <c r="L844" s="17" t="n"/>
      <c r="M844" s="16" t="n"/>
      <c r="N844" s="16" t="n"/>
      <c r="O844" s="18" t="n"/>
      <c r="P844" s="18" t="n"/>
      <c r="Q844" s="16" t="n"/>
    </row>
    <row r="845">
      <c r="E845" s="15" t="n"/>
      <c r="F845" s="15" t="n"/>
      <c r="G845" s="15" t="n"/>
      <c r="H845" s="16" t="n"/>
      <c r="I845" s="16" t="n"/>
      <c r="J845" s="17" t="n"/>
      <c r="K845" s="17" t="n"/>
      <c r="L845" s="17" t="n"/>
      <c r="M845" s="16" t="n"/>
      <c r="N845" s="16" t="n"/>
      <c r="O845" s="18" t="n"/>
      <c r="P845" s="18" t="n"/>
      <c r="Q845" s="16" t="n"/>
    </row>
    <row r="846">
      <c r="E846" s="15" t="n"/>
      <c r="F846" s="15" t="n"/>
      <c r="G846" s="15" t="n"/>
      <c r="H846" s="16" t="n"/>
      <c r="I846" s="16" t="n"/>
      <c r="J846" s="17" t="n"/>
      <c r="K846" s="17" t="n"/>
      <c r="L846" s="17" t="n"/>
      <c r="M846" s="16" t="n"/>
      <c r="N846" s="16" t="n"/>
      <c r="O846" s="18" t="n"/>
      <c r="P846" s="18" t="n"/>
      <c r="Q846" s="16" t="n"/>
    </row>
    <row r="847">
      <c r="E847" s="15" t="n"/>
      <c r="F847" s="15" t="n"/>
      <c r="G847" s="15" t="n"/>
      <c r="H847" s="16" t="n"/>
      <c r="I847" s="16" t="n"/>
      <c r="J847" s="17" t="n"/>
      <c r="K847" s="17" t="n"/>
      <c r="L847" s="17" t="n"/>
      <c r="M847" s="16" t="n"/>
      <c r="N847" s="16" t="n"/>
      <c r="O847" s="18" t="n"/>
      <c r="P847" s="18" t="n"/>
      <c r="Q847" s="16" t="n"/>
    </row>
    <row r="848">
      <c r="E848" s="15" t="n"/>
      <c r="F848" s="15" t="n"/>
      <c r="G848" s="15" t="n"/>
      <c r="H848" s="16" t="n"/>
      <c r="I848" s="16" t="n"/>
      <c r="J848" s="17" t="n"/>
      <c r="K848" s="17" t="n"/>
      <c r="L848" s="17" t="n"/>
      <c r="M848" s="16" t="n"/>
      <c r="N848" s="16" t="n"/>
      <c r="O848" s="18" t="n"/>
      <c r="P848" s="18" t="n"/>
      <c r="Q848" s="16" t="n"/>
    </row>
    <row r="849">
      <c r="E849" s="15" t="n"/>
      <c r="F849" s="15" t="n"/>
      <c r="G849" s="15" t="n"/>
      <c r="H849" s="16" t="n"/>
      <c r="I849" s="16" t="n"/>
      <c r="J849" s="17" t="n"/>
      <c r="K849" s="17" t="n"/>
      <c r="L849" s="17" t="n"/>
      <c r="M849" s="16" t="n"/>
      <c r="N849" s="16" t="n"/>
      <c r="O849" s="18" t="n"/>
      <c r="P849" s="18" t="n"/>
      <c r="Q849" s="16" t="n"/>
    </row>
    <row r="850">
      <c r="E850" s="15" t="n"/>
      <c r="F850" s="15" t="n"/>
      <c r="G850" s="15" t="n"/>
      <c r="H850" s="16" t="n"/>
      <c r="I850" s="16" t="n"/>
      <c r="J850" s="17" t="n"/>
      <c r="K850" s="17" t="n"/>
      <c r="L850" s="17" t="n"/>
      <c r="M850" s="16" t="n"/>
      <c r="N850" s="16" t="n"/>
      <c r="O850" s="18" t="n"/>
      <c r="P850" s="18" t="n"/>
      <c r="Q850" s="16" t="n"/>
    </row>
    <row r="851">
      <c r="E851" s="15" t="n"/>
      <c r="F851" s="15" t="n"/>
      <c r="G851" s="15" t="n"/>
      <c r="H851" s="16" t="n"/>
      <c r="I851" s="16" t="n"/>
      <c r="J851" s="17" t="n"/>
      <c r="K851" s="17" t="n"/>
      <c r="L851" s="17" t="n"/>
      <c r="M851" s="16" t="n"/>
      <c r="N851" s="16" t="n"/>
      <c r="O851" s="18" t="n"/>
      <c r="P851" s="18" t="n"/>
      <c r="Q851" s="16" t="n"/>
    </row>
    <row r="852">
      <c r="E852" s="15" t="n"/>
      <c r="F852" s="15" t="n"/>
      <c r="G852" s="15" t="n"/>
      <c r="H852" s="16" t="n"/>
      <c r="I852" s="16" t="n"/>
      <c r="J852" s="17" t="n"/>
      <c r="K852" s="17" t="n"/>
      <c r="L852" s="17" t="n"/>
      <c r="M852" s="16" t="n"/>
      <c r="N852" s="16" t="n"/>
      <c r="O852" s="18" t="n"/>
      <c r="P852" s="18" t="n"/>
      <c r="Q852" s="16" t="n"/>
    </row>
    <row r="853">
      <c r="E853" s="15" t="n"/>
      <c r="F853" s="15" t="n"/>
      <c r="G853" s="15" t="n"/>
      <c r="H853" s="16" t="n"/>
      <c r="I853" s="16" t="n"/>
      <c r="J853" s="17" t="n"/>
      <c r="K853" s="17" t="n"/>
      <c r="L853" s="17" t="n"/>
      <c r="M853" s="16" t="n"/>
      <c r="N853" s="16" t="n"/>
      <c r="O853" s="18" t="n"/>
      <c r="P853" s="18" t="n"/>
      <c r="Q853" s="16" t="n"/>
    </row>
    <row r="854">
      <c r="E854" s="15" t="n"/>
      <c r="F854" s="15" t="n"/>
      <c r="G854" s="15" t="n"/>
      <c r="H854" s="16" t="n"/>
      <c r="I854" s="16" t="n"/>
      <c r="J854" s="17" t="n"/>
      <c r="K854" s="17" t="n"/>
      <c r="L854" s="17" t="n"/>
      <c r="M854" s="16" t="n"/>
      <c r="N854" s="16" t="n"/>
      <c r="O854" s="18" t="n"/>
      <c r="P854" s="18" t="n"/>
      <c r="Q854" s="16" t="n"/>
    </row>
    <row r="855">
      <c r="E855" s="15" t="n"/>
      <c r="F855" s="15" t="n"/>
      <c r="G855" s="15" t="n"/>
      <c r="H855" s="16" t="n"/>
      <c r="I855" s="16" t="n"/>
      <c r="J855" s="17" t="n"/>
      <c r="K855" s="17" t="n"/>
      <c r="L855" s="17" t="n"/>
      <c r="M855" s="16" t="n"/>
      <c r="N855" s="16" t="n"/>
      <c r="O855" s="18" t="n"/>
      <c r="P855" s="18" t="n"/>
      <c r="Q855" s="16" t="n"/>
    </row>
    <row r="856">
      <c r="E856" s="15" t="n"/>
      <c r="F856" s="15" t="n"/>
      <c r="G856" s="15" t="n"/>
      <c r="H856" s="16" t="n"/>
      <c r="I856" s="16" t="n"/>
      <c r="J856" s="17" t="n"/>
      <c r="K856" s="17" t="n"/>
      <c r="L856" s="17" t="n"/>
      <c r="M856" s="16" t="n"/>
      <c r="N856" s="16" t="n"/>
      <c r="O856" s="18" t="n"/>
      <c r="P856" s="18" t="n"/>
      <c r="Q856" s="16" t="n"/>
    </row>
    <row r="857">
      <c r="E857" s="15" t="n"/>
      <c r="F857" s="15" t="n"/>
      <c r="G857" s="15" t="n"/>
      <c r="H857" s="16" t="n"/>
      <c r="I857" s="16" t="n"/>
      <c r="J857" s="17" t="n"/>
      <c r="K857" s="17" t="n"/>
      <c r="L857" s="17" t="n"/>
      <c r="M857" s="16" t="n"/>
      <c r="N857" s="16" t="n"/>
      <c r="O857" s="18" t="n"/>
      <c r="P857" s="18" t="n"/>
      <c r="Q857" s="16" t="n"/>
    </row>
    <row r="858">
      <c r="E858" s="15" t="n"/>
      <c r="F858" s="15" t="n"/>
      <c r="G858" s="15" t="n"/>
      <c r="H858" s="16" t="n"/>
      <c r="I858" s="16" t="n"/>
      <c r="J858" s="17" t="n"/>
      <c r="K858" s="17" t="n"/>
      <c r="L858" s="17" t="n"/>
      <c r="M858" s="16" t="n"/>
      <c r="N858" s="16" t="n"/>
      <c r="O858" s="18" t="n"/>
      <c r="P858" s="18" t="n"/>
      <c r="Q858" s="16" t="n"/>
    </row>
    <row r="859">
      <c r="E859" s="15" t="n"/>
      <c r="F859" s="15" t="n"/>
      <c r="G859" s="15" t="n"/>
      <c r="H859" s="16" t="n"/>
      <c r="I859" s="16" t="n"/>
      <c r="J859" s="17" t="n"/>
      <c r="K859" s="17" t="n"/>
      <c r="L859" s="17" t="n"/>
      <c r="M859" s="16" t="n"/>
      <c r="N859" s="16" t="n"/>
      <c r="O859" s="18" t="n"/>
      <c r="P859" s="18" t="n"/>
      <c r="Q859" s="16" t="n"/>
    </row>
    <row r="860">
      <c r="E860" s="15" t="n"/>
      <c r="F860" s="15" t="n"/>
      <c r="G860" s="15" t="n"/>
      <c r="H860" s="16" t="n"/>
      <c r="I860" s="16" t="n"/>
      <c r="J860" s="17" t="n"/>
      <c r="K860" s="17" t="n"/>
      <c r="L860" s="17" t="n"/>
      <c r="M860" s="16" t="n"/>
      <c r="N860" s="16" t="n"/>
      <c r="O860" s="18" t="n"/>
      <c r="P860" s="18" t="n"/>
      <c r="Q860" s="16" t="n"/>
    </row>
    <row r="861">
      <c r="E861" s="15" t="n"/>
      <c r="F861" s="15" t="n"/>
      <c r="G861" s="15" t="n"/>
      <c r="H861" s="16" t="n"/>
      <c r="I861" s="16" t="n"/>
      <c r="J861" s="17" t="n"/>
      <c r="K861" s="17" t="n"/>
      <c r="L861" s="17" t="n"/>
      <c r="M861" s="16" t="n"/>
      <c r="N861" s="16" t="n"/>
      <c r="O861" s="18" t="n"/>
      <c r="P861" s="18" t="n"/>
      <c r="Q861" s="16" t="n"/>
    </row>
    <row r="862">
      <c r="E862" s="15" t="n"/>
      <c r="F862" s="15" t="n"/>
      <c r="G862" s="15" t="n"/>
      <c r="H862" s="16" t="n"/>
      <c r="I862" s="16" t="n"/>
      <c r="J862" s="17" t="n"/>
      <c r="K862" s="17" t="n"/>
      <c r="L862" s="17" t="n"/>
      <c r="M862" s="16" t="n"/>
      <c r="N862" s="16" t="n"/>
      <c r="O862" s="18" t="n"/>
      <c r="P862" s="18" t="n"/>
      <c r="Q862" s="16" t="n"/>
    </row>
    <row r="863">
      <c r="E863" s="15" t="n"/>
      <c r="F863" s="15" t="n"/>
      <c r="G863" s="15" t="n"/>
      <c r="H863" s="16" t="n"/>
      <c r="I863" s="16" t="n"/>
      <c r="J863" s="17" t="n"/>
      <c r="K863" s="17" t="n"/>
      <c r="L863" s="17" t="n"/>
      <c r="M863" s="16" t="n"/>
      <c r="N863" s="16" t="n"/>
      <c r="O863" s="18" t="n"/>
      <c r="P863" s="18" t="n"/>
      <c r="Q863" s="16" t="n"/>
    </row>
    <row r="864">
      <c r="E864" s="15" t="n"/>
      <c r="F864" s="15" t="n"/>
      <c r="G864" s="15" t="n"/>
      <c r="H864" s="16" t="n"/>
      <c r="I864" s="16" t="n"/>
      <c r="J864" s="17" t="n"/>
      <c r="K864" s="17" t="n"/>
      <c r="L864" s="17" t="n"/>
      <c r="M864" s="16" t="n"/>
      <c r="N864" s="16" t="n"/>
      <c r="O864" s="18" t="n"/>
      <c r="P864" s="18" t="n"/>
      <c r="Q864" s="16" t="n"/>
    </row>
    <row r="865">
      <c r="E865" s="15" t="n"/>
      <c r="F865" s="15" t="n"/>
      <c r="G865" s="15" t="n"/>
      <c r="H865" s="16" t="n"/>
      <c r="I865" s="16" t="n"/>
      <c r="J865" s="17" t="n"/>
      <c r="K865" s="17" t="n"/>
      <c r="L865" s="17" t="n"/>
      <c r="M865" s="16" t="n"/>
      <c r="N865" s="16" t="n"/>
      <c r="O865" s="18" t="n"/>
      <c r="P865" s="18" t="n"/>
      <c r="Q865" s="16" t="n"/>
    </row>
    <row r="866">
      <c r="E866" s="15" t="n"/>
      <c r="F866" s="15" t="n"/>
      <c r="G866" s="15" t="n"/>
      <c r="H866" s="16" t="n"/>
      <c r="I866" s="16" t="n"/>
      <c r="J866" s="17" t="n"/>
      <c r="K866" s="17" t="n"/>
      <c r="L866" s="17" t="n"/>
      <c r="M866" s="16" t="n"/>
      <c r="N866" s="16" t="n"/>
      <c r="O866" s="18" t="n"/>
      <c r="P866" s="18" t="n"/>
      <c r="Q866" s="16" t="n"/>
    </row>
    <row r="867">
      <c r="E867" s="15" t="n"/>
      <c r="F867" s="15" t="n"/>
      <c r="G867" s="15" t="n"/>
      <c r="H867" s="16" t="n"/>
      <c r="I867" s="16" t="n"/>
      <c r="J867" s="17" t="n"/>
      <c r="K867" s="17" t="n"/>
      <c r="L867" s="17" t="n"/>
      <c r="M867" s="16" t="n"/>
      <c r="N867" s="16" t="n"/>
      <c r="O867" s="18" t="n"/>
      <c r="P867" s="18" t="n"/>
      <c r="Q867" s="16" t="n"/>
    </row>
    <row r="868">
      <c r="E868" s="15" t="n"/>
      <c r="F868" s="15" t="n"/>
      <c r="G868" s="15" t="n"/>
      <c r="H868" s="16" t="n"/>
      <c r="I868" s="16" t="n"/>
      <c r="J868" s="17" t="n"/>
      <c r="K868" s="17" t="n"/>
      <c r="L868" s="17" t="n"/>
      <c r="M868" s="16" t="n"/>
      <c r="N868" s="16" t="n"/>
      <c r="O868" s="18" t="n"/>
      <c r="P868" s="18" t="n"/>
      <c r="Q868" s="16" t="n"/>
    </row>
    <row r="869">
      <c r="E869" s="15" t="n"/>
      <c r="F869" s="15" t="n"/>
      <c r="G869" s="15" t="n"/>
      <c r="H869" s="16" t="n"/>
      <c r="I869" s="16" t="n"/>
      <c r="J869" s="17" t="n"/>
      <c r="K869" s="17" t="n"/>
      <c r="L869" s="17" t="n"/>
      <c r="M869" s="16" t="n"/>
      <c r="N869" s="16" t="n"/>
      <c r="O869" s="18" t="n"/>
      <c r="P869" s="18" t="n"/>
      <c r="Q869" s="16" t="n"/>
    </row>
    <row r="870">
      <c r="E870" s="15" t="n"/>
      <c r="F870" s="15" t="n"/>
      <c r="G870" s="15" t="n"/>
      <c r="H870" s="16" t="n"/>
      <c r="I870" s="16" t="n"/>
      <c r="J870" s="17" t="n"/>
      <c r="K870" s="17" t="n"/>
      <c r="L870" s="17" t="n"/>
      <c r="M870" s="16" t="n"/>
      <c r="N870" s="16" t="n"/>
      <c r="O870" s="18" t="n"/>
      <c r="P870" s="18" t="n"/>
      <c r="Q870" s="16" t="n"/>
    </row>
    <row r="871">
      <c r="E871" s="15" t="n"/>
      <c r="F871" s="15" t="n"/>
      <c r="G871" s="15" t="n"/>
      <c r="H871" s="16" t="n"/>
      <c r="I871" s="16" t="n"/>
      <c r="J871" s="17" t="n"/>
      <c r="K871" s="17" t="n"/>
      <c r="L871" s="17" t="n"/>
      <c r="M871" s="16" t="n"/>
      <c r="N871" s="16" t="n"/>
      <c r="O871" s="18" t="n"/>
      <c r="P871" s="18" t="n"/>
      <c r="Q871" s="16" t="n"/>
    </row>
    <row r="872">
      <c r="E872" s="15" t="n"/>
      <c r="F872" s="15" t="n"/>
      <c r="G872" s="15" t="n"/>
      <c r="H872" s="16" t="n"/>
      <c r="I872" s="16" t="n"/>
      <c r="J872" s="17" t="n"/>
      <c r="K872" s="17" t="n"/>
      <c r="L872" s="17" t="n"/>
      <c r="M872" s="16" t="n"/>
      <c r="N872" s="16" t="n"/>
      <c r="O872" s="18" t="n"/>
      <c r="P872" s="18" t="n"/>
      <c r="Q872" s="16" t="n"/>
    </row>
    <row r="873">
      <c r="E873" s="15" t="n"/>
      <c r="F873" s="15" t="n"/>
      <c r="G873" s="15" t="n"/>
      <c r="H873" s="16" t="n"/>
      <c r="I873" s="16" t="n"/>
      <c r="J873" s="17" t="n"/>
      <c r="K873" s="17" t="n"/>
      <c r="L873" s="17" t="n"/>
      <c r="M873" s="16" t="n"/>
      <c r="N873" s="16" t="n"/>
      <c r="O873" s="18" t="n"/>
      <c r="P873" s="18" t="n"/>
      <c r="Q873" s="16" t="n"/>
    </row>
    <row r="874">
      <c r="E874" s="15" t="n"/>
      <c r="F874" s="15" t="n"/>
      <c r="G874" s="15" t="n"/>
      <c r="H874" s="16" t="n"/>
      <c r="I874" s="16" t="n"/>
      <c r="J874" s="17" t="n"/>
      <c r="K874" s="17" t="n"/>
      <c r="L874" s="17" t="n"/>
      <c r="M874" s="16" t="n"/>
      <c r="N874" s="16" t="n"/>
      <c r="O874" s="18" t="n"/>
      <c r="P874" s="18" t="n"/>
      <c r="Q874" s="16" t="n"/>
    </row>
    <row r="875">
      <c r="E875" s="15" t="n"/>
      <c r="F875" s="15" t="n"/>
      <c r="G875" s="15" t="n"/>
      <c r="H875" s="16" t="n"/>
      <c r="I875" s="16" t="n"/>
      <c r="J875" s="17" t="n"/>
      <c r="K875" s="17" t="n"/>
      <c r="L875" s="17" t="n"/>
      <c r="M875" s="16" t="n"/>
      <c r="N875" s="16" t="n"/>
      <c r="O875" s="18" t="n"/>
      <c r="P875" s="18" t="n"/>
      <c r="Q875" s="16" t="n"/>
    </row>
    <row r="876">
      <c r="E876" s="15" t="n"/>
      <c r="F876" s="15" t="n"/>
      <c r="G876" s="15" t="n"/>
      <c r="H876" s="16" t="n"/>
      <c r="I876" s="16" t="n"/>
      <c r="J876" s="17" t="n"/>
      <c r="K876" s="17" t="n"/>
      <c r="L876" s="17" t="n"/>
      <c r="M876" s="16" t="n"/>
      <c r="N876" s="16" t="n"/>
      <c r="O876" s="18" t="n"/>
      <c r="P876" s="18" t="n"/>
      <c r="Q876" s="16" t="n"/>
    </row>
    <row r="877">
      <c r="E877" s="15" t="n"/>
      <c r="F877" s="15" t="n"/>
      <c r="G877" s="15" t="n"/>
      <c r="H877" s="16" t="n"/>
      <c r="I877" s="16" t="n"/>
      <c r="J877" s="17" t="n"/>
      <c r="K877" s="17" t="n"/>
      <c r="L877" s="17" t="n"/>
      <c r="M877" s="16" t="n"/>
      <c r="N877" s="16" t="n"/>
      <c r="O877" s="18" t="n"/>
      <c r="P877" s="18" t="n"/>
      <c r="Q877" s="16" t="n"/>
    </row>
    <row r="878">
      <c r="E878" s="15" t="n"/>
      <c r="F878" s="15" t="n"/>
      <c r="G878" s="15" t="n"/>
      <c r="H878" s="16" t="n"/>
      <c r="I878" s="16" t="n"/>
      <c r="J878" s="17" t="n"/>
      <c r="K878" s="17" t="n"/>
      <c r="L878" s="17" t="n"/>
      <c r="M878" s="16" t="n"/>
      <c r="N878" s="16" t="n"/>
      <c r="O878" s="18" t="n"/>
      <c r="P878" s="18" t="n"/>
      <c r="Q878" s="16" t="n"/>
    </row>
    <row r="879">
      <c r="E879" s="15" t="n"/>
      <c r="F879" s="15" t="n"/>
      <c r="G879" s="15" t="n"/>
      <c r="H879" s="16" t="n"/>
      <c r="I879" s="16" t="n"/>
      <c r="J879" s="17" t="n"/>
      <c r="K879" s="17" t="n"/>
      <c r="L879" s="17" t="n"/>
      <c r="M879" s="16" t="n"/>
      <c r="N879" s="16" t="n"/>
      <c r="O879" s="18" t="n"/>
      <c r="P879" s="18" t="n"/>
      <c r="Q879" s="16" t="n"/>
    </row>
    <row r="880">
      <c r="E880" s="15" t="n"/>
      <c r="F880" s="15" t="n"/>
      <c r="G880" s="15" t="n"/>
      <c r="H880" s="16" t="n"/>
      <c r="I880" s="16" t="n"/>
      <c r="J880" s="17" t="n"/>
      <c r="K880" s="17" t="n"/>
      <c r="L880" s="17" t="n"/>
      <c r="M880" s="16" t="n"/>
      <c r="N880" s="16" t="n"/>
      <c r="O880" s="18" t="n"/>
      <c r="P880" s="18" t="n"/>
      <c r="Q880" s="16" t="n"/>
    </row>
    <row r="881">
      <c r="E881" s="15" t="n"/>
      <c r="F881" s="15" t="n"/>
      <c r="G881" s="15" t="n"/>
      <c r="H881" s="16" t="n"/>
      <c r="I881" s="16" t="n"/>
      <c r="J881" s="17" t="n"/>
      <c r="K881" s="17" t="n"/>
      <c r="L881" s="17" t="n"/>
      <c r="M881" s="16" t="n"/>
      <c r="N881" s="16" t="n"/>
      <c r="O881" s="18" t="n"/>
      <c r="P881" s="18" t="n"/>
      <c r="Q881" s="16" t="n"/>
    </row>
    <row r="882">
      <c r="E882" s="15" t="n"/>
      <c r="F882" s="15" t="n"/>
      <c r="G882" s="15" t="n"/>
      <c r="H882" s="16" t="n"/>
      <c r="I882" s="16" t="n"/>
      <c r="J882" s="17" t="n"/>
      <c r="K882" s="17" t="n"/>
      <c r="L882" s="17" t="n"/>
      <c r="M882" s="16" t="n"/>
      <c r="N882" s="16" t="n"/>
      <c r="O882" s="18" t="n"/>
      <c r="P882" s="18" t="n"/>
      <c r="Q882" s="16" t="n"/>
    </row>
    <row r="883">
      <c r="E883" s="15" t="n"/>
      <c r="F883" s="15" t="n"/>
      <c r="G883" s="15" t="n"/>
      <c r="H883" s="16" t="n"/>
      <c r="I883" s="16" t="n"/>
      <c r="J883" s="17" t="n"/>
      <c r="K883" s="17" t="n"/>
      <c r="L883" s="17" t="n"/>
      <c r="M883" s="16" t="n"/>
      <c r="N883" s="16" t="n"/>
      <c r="O883" s="18" t="n"/>
      <c r="P883" s="18" t="n"/>
      <c r="Q883" s="16" t="n"/>
    </row>
    <row r="884">
      <c r="E884" s="15" t="n"/>
      <c r="F884" s="15" t="n"/>
      <c r="G884" s="15" t="n"/>
      <c r="H884" s="16" t="n"/>
      <c r="I884" s="16" t="n"/>
      <c r="J884" s="17" t="n"/>
      <c r="K884" s="17" t="n"/>
      <c r="L884" s="17" t="n"/>
      <c r="M884" s="16" t="n"/>
      <c r="N884" s="16" t="n"/>
      <c r="O884" s="18" t="n"/>
      <c r="P884" s="18" t="n"/>
      <c r="Q884" s="16" t="n"/>
    </row>
    <row r="885">
      <c r="E885" s="15" t="n"/>
      <c r="F885" s="15" t="n"/>
      <c r="G885" s="15" t="n"/>
      <c r="H885" s="16" t="n"/>
      <c r="I885" s="16" t="n"/>
      <c r="J885" s="17" t="n"/>
      <c r="K885" s="17" t="n"/>
      <c r="L885" s="17" t="n"/>
      <c r="M885" s="16" t="n"/>
      <c r="N885" s="16" t="n"/>
      <c r="O885" s="18" t="n"/>
      <c r="P885" s="18" t="n"/>
      <c r="Q885" s="16" t="n"/>
    </row>
    <row r="886">
      <c r="E886" s="15" t="n"/>
      <c r="F886" s="15" t="n"/>
      <c r="G886" s="15" t="n"/>
      <c r="H886" s="16" t="n"/>
      <c r="I886" s="16" t="n"/>
      <c r="J886" s="17" t="n"/>
      <c r="K886" s="17" t="n"/>
      <c r="L886" s="17" t="n"/>
      <c r="M886" s="16" t="n"/>
      <c r="N886" s="16" t="n"/>
      <c r="O886" s="18" t="n"/>
      <c r="P886" s="18" t="n"/>
      <c r="Q886" s="16" t="n"/>
    </row>
    <row r="887">
      <c r="E887" s="15" t="n"/>
      <c r="F887" s="15" t="n"/>
      <c r="G887" s="15" t="n"/>
      <c r="H887" s="16" t="n"/>
      <c r="I887" s="16" t="n"/>
      <c r="J887" s="17" t="n"/>
      <c r="K887" s="17" t="n"/>
      <c r="L887" s="17" t="n"/>
      <c r="M887" s="16" t="n"/>
      <c r="N887" s="16" t="n"/>
      <c r="O887" s="18" t="n"/>
      <c r="P887" s="18" t="n"/>
      <c r="Q887" s="16" t="n"/>
    </row>
    <row r="888">
      <c r="E888" s="15" t="n"/>
      <c r="F888" s="15" t="n"/>
      <c r="G888" s="15" t="n"/>
      <c r="H888" s="16" t="n"/>
      <c r="I888" s="16" t="n"/>
      <c r="J888" s="17" t="n"/>
      <c r="K888" s="17" t="n"/>
      <c r="L888" s="17" t="n"/>
      <c r="M888" s="16" t="n"/>
      <c r="N888" s="16" t="n"/>
      <c r="O888" s="18" t="n"/>
      <c r="P888" s="18" t="n"/>
      <c r="Q888" s="16" t="n"/>
    </row>
    <row r="889">
      <c r="E889" s="15" t="n"/>
      <c r="F889" s="15" t="n"/>
      <c r="G889" s="15" t="n"/>
      <c r="H889" s="16" t="n"/>
      <c r="I889" s="16" t="n"/>
      <c r="J889" s="17" t="n"/>
      <c r="K889" s="17" t="n"/>
      <c r="L889" s="17" t="n"/>
      <c r="M889" s="16" t="n"/>
      <c r="N889" s="16" t="n"/>
      <c r="O889" s="18" t="n"/>
      <c r="P889" s="18" t="n"/>
      <c r="Q889" s="16" t="n"/>
    </row>
    <row r="890">
      <c r="E890" s="15" t="n"/>
      <c r="F890" s="15" t="n"/>
      <c r="G890" s="15" t="n"/>
      <c r="H890" s="16" t="n"/>
      <c r="I890" s="16" t="n"/>
      <c r="J890" s="17" t="n"/>
      <c r="K890" s="17" t="n"/>
      <c r="L890" s="17" t="n"/>
      <c r="M890" s="16" t="n"/>
      <c r="N890" s="16" t="n"/>
      <c r="O890" s="18" t="n"/>
      <c r="P890" s="18" t="n"/>
      <c r="Q890" s="16" t="n"/>
    </row>
    <row r="891">
      <c r="E891" s="15" t="n"/>
      <c r="F891" s="15" t="n"/>
      <c r="G891" s="15" t="n"/>
      <c r="H891" s="16" t="n"/>
      <c r="I891" s="16" t="n"/>
      <c r="J891" s="17" t="n"/>
      <c r="K891" s="17" t="n"/>
      <c r="L891" s="17" t="n"/>
      <c r="M891" s="16" t="n"/>
      <c r="N891" s="16" t="n"/>
      <c r="O891" s="18" t="n"/>
      <c r="P891" s="18" t="n"/>
      <c r="Q891" s="16" t="n"/>
    </row>
    <row r="892">
      <c r="E892" s="15" t="n"/>
      <c r="F892" s="15" t="n"/>
      <c r="G892" s="15" t="n"/>
      <c r="H892" s="16" t="n"/>
      <c r="I892" s="16" t="n"/>
      <c r="J892" s="17" t="n"/>
      <c r="K892" s="17" t="n"/>
      <c r="L892" s="17" t="n"/>
      <c r="M892" s="16" t="n"/>
      <c r="N892" s="16" t="n"/>
      <c r="O892" s="18" t="n"/>
      <c r="P892" s="18" t="n"/>
      <c r="Q892" s="16" t="n"/>
    </row>
    <row r="893">
      <c r="E893" s="15" t="n"/>
      <c r="F893" s="15" t="n"/>
      <c r="G893" s="15" t="n"/>
      <c r="H893" s="16" t="n"/>
      <c r="I893" s="16" t="n"/>
      <c r="J893" s="17" t="n"/>
      <c r="K893" s="17" t="n"/>
      <c r="L893" s="17" t="n"/>
      <c r="M893" s="16" t="n"/>
      <c r="N893" s="16" t="n"/>
      <c r="O893" s="18" t="n"/>
      <c r="P893" s="18" t="n"/>
      <c r="Q893" s="16" t="n"/>
    </row>
    <row r="894">
      <c r="E894" s="15" t="n"/>
      <c r="F894" s="15" t="n"/>
      <c r="G894" s="15" t="n"/>
      <c r="H894" s="16" t="n"/>
      <c r="I894" s="16" t="n"/>
      <c r="J894" s="17" t="n"/>
      <c r="K894" s="17" t="n"/>
      <c r="L894" s="17" t="n"/>
      <c r="M894" s="16" t="n"/>
      <c r="N894" s="16" t="n"/>
      <c r="O894" s="18" t="n"/>
      <c r="P894" s="18" t="n"/>
      <c r="Q894" s="16" t="n"/>
    </row>
    <row r="895">
      <c r="E895" s="15" t="n"/>
      <c r="F895" s="15" t="n"/>
      <c r="G895" s="15" t="n"/>
      <c r="H895" s="16" t="n"/>
      <c r="I895" s="16" t="n"/>
      <c r="J895" s="17" t="n"/>
      <c r="K895" s="17" t="n"/>
      <c r="L895" s="17" t="n"/>
      <c r="M895" s="16" t="n"/>
      <c r="N895" s="16" t="n"/>
      <c r="O895" s="18" t="n"/>
      <c r="P895" s="18" t="n"/>
      <c r="Q895" s="16" t="n"/>
    </row>
    <row r="896">
      <c r="E896" s="15" t="n"/>
      <c r="F896" s="15" t="n"/>
      <c r="G896" s="15" t="n"/>
      <c r="H896" s="16" t="n"/>
      <c r="I896" s="16" t="n"/>
      <c r="J896" s="17" t="n"/>
      <c r="K896" s="17" t="n"/>
      <c r="L896" s="17" t="n"/>
      <c r="M896" s="16" t="n"/>
      <c r="N896" s="16" t="n"/>
      <c r="O896" s="18" t="n"/>
      <c r="P896" s="18" t="n"/>
      <c r="Q896" s="16" t="n"/>
    </row>
    <row r="897">
      <c r="E897" s="15" t="n"/>
      <c r="F897" s="15" t="n"/>
      <c r="G897" s="15" t="n"/>
      <c r="H897" s="16" t="n"/>
      <c r="I897" s="16" t="n"/>
      <c r="J897" s="17" t="n"/>
      <c r="K897" s="17" t="n"/>
      <c r="L897" s="17" t="n"/>
      <c r="M897" s="16" t="n"/>
      <c r="N897" s="16" t="n"/>
      <c r="O897" s="18" t="n"/>
      <c r="P897" s="18" t="n"/>
      <c r="Q897" s="16" t="n"/>
    </row>
    <row r="898">
      <c r="E898" s="15" t="n"/>
      <c r="F898" s="15" t="n"/>
      <c r="G898" s="15" t="n"/>
      <c r="H898" s="16" t="n"/>
      <c r="I898" s="16" t="n"/>
      <c r="J898" s="17" t="n"/>
      <c r="K898" s="17" t="n"/>
      <c r="L898" s="17" t="n"/>
      <c r="M898" s="16" t="n"/>
      <c r="N898" s="16" t="n"/>
      <c r="O898" s="18" t="n"/>
      <c r="P898" s="18" t="n"/>
      <c r="Q898" s="16" t="n"/>
    </row>
    <row r="899">
      <c r="E899" s="15" t="n"/>
      <c r="F899" s="15" t="n"/>
      <c r="G899" s="15" t="n"/>
      <c r="H899" s="16" t="n"/>
      <c r="I899" s="16" t="n"/>
      <c r="J899" s="17" t="n"/>
      <c r="K899" s="17" t="n"/>
      <c r="L899" s="17" t="n"/>
      <c r="M899" s="16" t="n"/>
      <c r="N899" s="16" t="n"/>
      <c r="O899" s="18" t="n"/>
      <c r="P899" s="18" t="n"/>
      <c r="Q899" s="16" t="n"/>
    </row>
    <row r="900">
      <c r="E900" s="15" t="n"/>
      <c r="F900" s="15" t="n"/>
      <c r="G900" s="15" t="n"/>
      <c r="H900" s="16" t="n"/>
      <c r="I900" s="16" t="n"/>
      <c r="J900" s="17" t="n"/>
      <c r="K900" s="17" t="n"/>
      <c r="L900" s="17" t="n"/>
      <c r="M900" s="16" t="n"/>
      <c r="N900" s="16" t="n"/>
      <c r="O900" s="18" t="n"/>
      <c r="P900" s="18" t="n"/>
      <c r="Q900" s="16" t="n"/>
    </row>
    <row r="901">
      <c r="E901" s="15" t="n"/>
      <c r="F901" s="15" t="n"/>
      <c r="G901" s="15" t="n"/>
      <c r="H901" s="16" t="n"/>
      <c r="I901" s="16" t="n"/>
      <c r="J901" s="17" t="n"/>
      <c r="K901" s="17" t="n"/>
      <c r="L901" s="17" t="n"/>
      <c r="M901" s="16" t="n"/>
      <c r="N901" s="16" t="n"/>
      <c r="O901" s="18" t="n"/>
      <c r="P901" s="18" t="n"/>
      <c r="Q901" s="16" t="n"/>
    </row>
    <row r="902">
      <c r="E902" s="15" t="n"/>
      <c r="F902" s="15" t="n"/>
      <c r="G902" s="15" t="n"/>
      <c r="H902" s="16" t="n"/>
      <c r="I902" s="16" t="n"/>
      <c r="J902" s="17" t="n"/>
      <c r="K902" s="17" t="n"/>
      <c r="L902" s="17" t="n"/>
      <c r="M902" s="16" t="n"/>
      <c r="N902" s="16" t="n"/>
      <c r="O902" s="18" t="n"/>
      <c r="P902" s="18" t="n"/>
      <c r="Q902" s="16" t="n"/>
    </row>
    <row r="903">
      <c r="E903" s="15" t="n"/>
      <c r="F903" s="15" t="n"/>
      <c r="G903" s="15" t="n"/>
      <c r="H903" s="16" t="n"/>
      <c r="I903" s="16" t="n"/>
      <c r="J903" s="17" t="n"/>
      <c r="K903" s="17" t="n"/>
      <c r="L903" s="17" t="n"/>
      <c r="M903" s="16" t="n"/>
      <c r="N903" s="16" t="n"/>
      <c r="O903" s="18" t="n"/>
      <c r="P903" s="18" t="n"/>
      <c r="Q903" s="16" t="n"/>
    </row>
    <row r="904">
      <c r="E904" s="15" t="n"/>
      <c r="F904" s="15" t="n"/>
      <c r="G904" s="15" t="n"/>
      <c r="H904" s="16" t="n"/>
      <c r="I904" s="16" t="n"/>
      <c r="J904" s="17" t="n"/>
      <c r="K904" s="17" t="n"/>
      <c r="L904" s="17" t="n"/>
      <c r="M904" s="16" t="n"/>
      <c r="N904" s="16" t="n"/>
      <c r="O904" s="18" t="n"/>
      <c r="P904" s="18" t="n"/>
      <c r="Q904" s="16" t="n"/>
    </row>
    <row r="905">
      <c r="E905" s="15" t="n"/>
      <c r="F905" s="15" t="n"/>
      <c r="G905" s="15" t="n"/>
      <c r="H905" s="16" t="n"/>
      <c r="I905" s="16" t="n"/>
      <c r="J905" s="17" t="n"/>
      <c r="K905" s="17" t="n"/>
      <c r="L905" s="17" t="n"/>
      <c r="M905" s="16" t="n"/>
      <c r="N905" s="16" t="n"/>
      <c r="O905" s="18" t="n"/>
      <c r="P905" s="18" t="n"/>
      <c r="Q905" s="16" t="n"/>
    </row>
    <row r="906">
      <c r="E906" s="15" t="n"/>
      <c r="F906" s="15" t="n"/>
      <c r="G906" s="15" t="n"/>
      <c r="H906" s="16" t="n"/>
      <c r="I906" s="16" t="n"/>
      <c r="J906" s="17" t="n"/>
      <c r="K906" s="17" t="n"/>
      <c r="L906" s="17" t="n"/>
      <c r="M906" s="16" t="n"/>
      <c r="N906" s="16" t="n"/>
      <c r="O906" s="18" t="n"/>
      <c r="P906" s="18" t="n"/>
      <c r="Q906" s="16" t="n"/>
    </row>
    <row r="907">
      <c r="E907" s="15" t="n"/>
      <c r="F907" s="15" t="n"/>
      <c r="G907" s="15" t="n"/>
      <c r="H907" s="16" t="n"/>
      <c r="I907" s="16" t="n"/>
      <c r="J907" s="17" t="n"/>
      <c r="K907" s="17" t="n"/>
      <c r="L907" s="17" t="n"/>
      <c r="M907" s="16" t="n"/>
      <c r="N907" s="16" t="n"/>
      <c r="O907" s="18" t="n"/>
      <c r="P907" s="18" t="n"/>
      <c r="Q907" s="16" t="n"/>
    </row>
    <row r="908">
      <c r="E908" s="15" t="n"/>
      <c r="F908" s="15" t="n"/>
      <c r="G908" s="15" t="n"/>
      <c r="H908" s="16" t="n"/>
      <c r="I908" s="16" t="n"/>
      <c r="J908" s="17" t="n"/>
      <c r="K908" s="17" t="n"/>
      <c r="L908" s="17" t="n"/>
      <c r="M908" s="16" t="n"/>
      <c r="N908" s="16" t="n"/>
      <c r="O908" s="18" t="n"/>
      <c r="P908" s="18" t="n"/>
      <c r="Q908" s="16" t="n"/>
    </row>
    <row r="909">
      <c r="E909" s="15" t="n"/>
      <c r="F909" s="15" t="n"/>
      <c r="G909" s="15" t="n"/>
      <c r="H909" s="16" t="n"/>
      <c r="I909" s="16" t="n"/>
      <c r="J909" s="17" t="n"/>
      <c r="K909" s="17" t="n"/>
      <c r="L909" s="17" t="n"/>
      <c r="M909" s="16" t="n"/>
      <c r="N909" s="16" t="n"/>
      <c r="O909" s="18" t="n"/>
      <c r="P909" s="18" t="n"/>
      <c r="Q909" s="16" t="n"/>
    </row>
    <row r="910">
      <c r="E910" s="15" t="n"/>
      <c r="F910" s="15" t="n"/>
      <c r="G910" s="15" t="n"/>
      <c r="H910" s="16" t="n"/>
      <c r="I910" s="16" t="n"/>
      <c r="J910" s="17" t="n"/>
      <c r="K910" s="17" t="n"/>
      <c r="L910" s="17" t="n"/>
      <c r="M910" s="16" t="n"/>
      <c r="N910" s="16" t="n"/>
      <c r="O910" s="18" t="n"/>
      <c r="P910" s="18" t="n"/>
      <c r="Q910" s="16" t="n"/>
    </row>
    <row r="911">
      <c r="E911" s="15" t="n"/>
      <c r="F911" s="15" t="n"/>
      <c r="G911" s="15" t="n"/>
      <c r="H911" s="16" t="n"/>
      <c r="I911" s="16" t="n"/>
      <c r="J911" s="17" t="n"/>
      <c r="K911" s="17" t="n"/>
      <c r="L911" s="17" t="n"/>
      <c r="M911" s="16" t="n"/>
      <c r="N911" s="16" t="n"/>
      <c r="O911" s="18" t="n"/>
      <c r="P911" s="18" t="n"/>
      <c r="Q911" s="16" t="n"/>
    </row>
    <row r="912">
      <c r="E912" s="15" t="n"/>
      <c r="F912" s="15" t="n"/>
      <c r="G912" s="15" t="n"/>
      <c r="H912" s="16" t="n"/>
      <c r="I912" s="16" t="n"/>
      <c r="J912" s="17" t="n"/>
      <c r="K912" s="17" t="n"/>
      <c r="L912" s="17" t="n"/>
      <c r="M912" s="16" t="n"/>
      <c r="N912" s="16" t="n"/>
      <c r="O912" s="18" t="n"/>
      <c r="P912" s="18" t="n"/>
      <c r="Q912" s="16" t="n"/>
    </row>
    <row r="913">
      <c r="E913" s="15" t="n"/>
      <c r="F913" s="15" t="n"/>
      <c r="G913" s="15" t="n"/>
      <c r="H913" s="16" t="n"/>
      <c r="I913" s="16" t="n"/>
      <c r="J913" s="17" t="n"/>
      <c r="K913" s="17" t="n"/>
      <c r="L913" s="17" t="n"/>
      <c r="M913" s="16" t="n"/>
      <c r="N913" s="16" t="n"/>
      <c r="O913" s="18" t="n"/>
      <c r="P913" s="18" t="n"/>
      <c r="Q913" s="16" t="n"/>
    </row>
    <row r="914">
      <c r="E914" s="15" t="n"/>
      <c r="F914" s="15" t="n"/>
      <c r="G914" s="15" t="n"/>
      <c r="H914" s="16" t="n"/>
      <c r="I914" s="16" t="n"/>
      <c r="J914" s="17" t="n"/>
      <c r="K914" s="17" t="n"/>
      <c r="L914" s="17" t="n"/>
      <c r="M914" s="16" t="n"/>
      <c r="N914" s="16" t="n"/>
      <c r="O914" s="18" t="n"/>
      <c r="P914" s="18" t="n"/>
      <c r="Q914" s="16" t="n"/>
    </row>
    <row r="915">
      <c r="E915" s="15" t="n"/>
      <c r="F915" s="15" t="n"/>
      <c r="G915" s="15" t="n"/>
      <c r="H915" s="16" t="n"/>
      <c r="I915" s="16" t="n"/>
      <c r="J915" s="17" t="n"/>
      <c r="K915" s="17" t="n"/>
      <c r="L915" s="17" t="n"/>
      <c r="M915" s="16" t="n"/>
      <c r="N915" s="16" t="n"/>
      <c r="O915" s="18" t="n"/>
      <c r="P915" s="18" t="n"/>
      <c r="Q915" s="16" t="n"/>
    </row>
    <row r="916">
      <c r="E916" s="15" t="n"/>
      <c r="F916" s="15" t="n"/>
      <c r="G916" s="15" t="n"/>
      <c r="H916" s="16" t="n"/>
      <c r="I916" s="16" t="n"/>
      <c r="J916" s="17" t="n"/>
      <c r="K916" s="17" t="n"/>
      <c r="L916" s="17" t="n"/>
      <c r="M916" s="16" t="n"/>
      <c r="N916" s="16" t="n"/>
      <c r="O916" s="18" t="n"/>
      <c r="P916" s="18" t="n"/>
      <c r="Q916" s="16" t="n"/>
    </row>
    <row r="917">
      <c r="E917" s="15" t="n"/>
      <c r="F917" s="15" t="n"/>
      <c r="G917" s="15" t="n"/>
      <c r="H917" s="16" t="n"/>
      <c r="I917" s="16" t="n"/>
      <c r="J917" s="17" t="n"/>
      <c r="K917" s="17" t="n"/>
      <c r="L917" s="17" t="n"/>
      <c r="M917" s="16" t="n"/>
      <c r="N917" s="16" t="n"/>
      <c r="O917" s="18" t="n"/>
      <c r="P917" s="18" t="n"/>
      <c r="Q917" s="16" t="n"/>
    </row>
    <row r="918">
      <c r="E918" s="15" t="n"/>
      <c r="F918" s="15" t="n"/>
      <c r="G918" s="15" t="n"/>
      <c r="H918" s="16" t="n"/>
      <c r="I918" s="16" t="n"/>
      <c r="J918" s="17" t="n"/>
      <c r="K918" s="17" t="n"/>
      <c r="L918" s="17" t="n"/>
      <c r="M918" s="16" t="n"/>
      <c r="N918" s="16" t="n"/>
      <c r="O918" s="18" t="n"/>
      <c r="P918" s="18" t="n"/>
      <c r="Q918" s="16" t="n"/>
    </row>
    <row r="919">
      <c r="E919" s="15" t="n"/>
      <c r="F919" s="15" t="n"/>
      <c r="G919" s="15" t="n"/>
      <c r="H919" s="16" t="n"/>
      <c r="I919" s="16" t="n"/>
      <c r="J919" s="17" t="n"/>
      <c r="K919" s="17" t="n"/>
      <c r="L919" s="17" t="n"/>
      <c r="M919" s="16" t="n"/>
      <c r="N919" s="16" t="n"/>
      <c r="O919" s="18" t="n"/>
      <c r="P919" s="18" t="n"/>
      <c r="Q919" s="16" t="n"/>
    </row>
    <row r="920">
      <c r="E920" s="15" t="n"/>
      <c r="F920" s="15" t="n"/>
      <c r="G920" s="15" t="n"/>
      <c r="H920" s="16" t="n"/>
      <c r="I920" s="16" t="n"/>
      <c r="J920" s="17" t="n"/>
      <c r="K920" s="17" t="n"/>
      <c r="L920" s="17" t="n"/>
      <c r="M920" s="16" t="n"/>
      <c r="N920" s="16" t="n"/>
      <c r="O920" s="18" t="n"/>
      <c r="P920" s="18" t="n"/>
      <c r="Q920" s="16" t="n"/>
    </row>
    <row r="921">
      <c r="E921" s="15" t="n"/>
      <c r="F921" s="15" t="n"/>
      <c r="G921" s="15" t="n"/>
      <c r="H921" s="16" t="n"/>
      <c r="I921" s="16" t="n"/>
      <c r="J921" s="17" t="n"/>
      <c r="K921" s="17" t="n"/>
      <c r="L921" s="17" t="n"/>
      <c r="M921" s="16" t="n"/>
      <c r="N921" s="16" t="n"/>
      <c r="O921" s="18" t="n"/>
      <c r="P921" s="18" t="n"/>
      <c r="Q921" s="16" t="n"/>
    </row>
    <row r="922">
      <c r="E922" s="15" t="n"/>
      <c r="F922" s="15" t="n"/>
      <c r="G922" s="15" t="n"/>
      <c r="H922" s="16" t="n"/>
      <c r="I922" s="16" t="n"/>
      <c r="J922" s="17" t="n"/>
      <c r="K922" s="17" t="n"/>
      <c r="L922" s="17" t="n"/>
      <c r="M922" s="16" t="n"/>
      <c r="N922" s="16" t="n"/>
      <c r="O922" s="18" t="n"/>
      <c r="P922" s="18" t="n"/>
      <c r="Q922" s="16" t="n"/>
    </row>
    <row r="923">
      <c r="E923" s="15" t="n"/>
      <c r="F923" s="15" t="n"/>
      <c r="G923" s="15" t="n"/>
      <c r="H923" s="16" t="n"/>
      <c r="I923" s="16" t="n"/>
      <c r="J923" s="17" t="n"/>
      <c r="K923" s="17" t="n"/>
      <c r="L923" s="17" t="n"/>
      <c r="M923" s="16" t="n"/>
      <c r="N923" s="16" t="n"/>
      <c r="O923" s="18" t="n"/>
      <c r="P923" s="18" t="n"/>
      <c r="Q923" s="16" t="n"/>
    </row>
    <row r="924">
      <c r="E924" s="15" t="n"/>
      <c r="F924" s="15" t="n"/>
      <c r="G924" s="15" t="n"/>
      <c r="H924" s="16" t="n"/>
      <c r="I924" s="16" t="n"/>
      <c r="J924" s="17" t="n"/>
      <c r="K924" s="17" t="n"/>
      <c r="L924" s="17" t="n"/>
      <c r="M924" s="16" t="n"/>
      <c r="N924" s="16" t="n"/>
      <c r="O924" s="18" t="n"/>
      <c r="P924" s="18" t="n"/>
      <c r="Q924" s="16" t="n"/>
    </row>
    <row r="925">
      <c r="E925" s="15" t="n"/>
      <c r="F925" s="15" t="n"/>
      <c r="G925" s="15" t="n"/>
      <c r="H925" s="16" t="n"/>
      <c r="I925" s="16" t="n"/>
      <c r="J925" s="17" t="n"/>
      <c r="K925" s="17" t="n"/>
      <c r="L925" s="17" t="n"/>
      <c r="M925" s="16" t="n"/>
      <c r="N925" s="16" t="n"/>
      <c r="O925" s="18" t="n"/>
      <c r="P925" s="18" t="n"/>
      <c r="Q925" s="16" t="n"/>
    </row>
    <row r="926">
      <c r="E926" s="15" t="n"/>
      <c r="F926" s="15" t="n"/>
      <c r="G926" s="15" t="n"/>
      <c r="H926" s="16" t="n"/>
      <c r="I926" s="16" t="n"/>
      <c r="J926" s="17" t="n"/>
      <c r="K926" s="17" t="n"/>
      <c r="L926" s="17" t="n"/>
      <c r="M926" s="16" t="n"/>
      <c r="N926" s="16" t="n"/>
      <c r="O926" s="18" t="n"/>
      <c r="P926" s="18" t="n"/>
      <c r="Q926" s="16" t="n"/>
    </row>
    <row r="927">
      <c r="E927" s="15" t="n"/>
      <c r="F927" s="15" t="n"/>
      <c r="G927" s="15" t="n"/>
      <c r="H927" s="16" t="n"/>
      <c r="I927" s="16" t="n"/>
      <c r="J927" s="17" t="n"/>
      <c r="K927" s="17" t="n"/>
      <c r="L927" s="17" t="n"/>
      <c r="M927" s="16" t="n"/>
      <c r="N927" s="16" t="n"/>
      <c r="O927" s="18" t="n"/>
      <c r="P927" s="18" t="n"/>
      <c r="Q927" s="16" t="n"/>
    </row>
    <row r="928">
      <c r="E928" s="15" t="n"/>
      <c r="F928" s="15" t="n"/>
      <c r="G928" s="15" t="n"/>
      <c r="H928" s="16" t="n"/>
      <c r="I928" s="16" t="n"/>
      <c r="J928" s="17" t="n"/>
      <c r="K928" s="17" t="n"/>
      <c r="L928" s="17" t="n"/>
      <c r="M928" s="16" t="n"/>
      <c r="N928" s="16" t="n"/>
      <c r="O928" s="18" t="n"/>
      <c r="P928" s="18" t="n"/>
      <c r="Q928" s="16" t="n"/>
    </row>
    <row r="929">
      <c r="E929" s="15" t="n"/>
      <c r="F929" s="15" t="n"/>
      <c r="G929" s="15" t="n"/>
      <c r="H929" s="16" t="n"/>
      <c r="I929" s="16" t="n"/>
      <c r="J929" s="17" t="n"/>
      <c r="K929" s="17" t="n"/>
      <c r="L929" s="17" t="n"/>
      <c r="M929" s="16" t="n"/>
      <c r="N929" s="16" t="n"/>
      <c r="O929" s="18" t="n"/>
      <c r="P929" s="18" t="n"/>
      <c r="Q929" s="16" t="n"/>
    </row>
    <row r="930">
      <c r="E930" s="15" t="n"/>
      <c r="F930" s="15" t="n"/>
      <c r="G930" s="15" t="n"/>
      <c r="H930" s="16" t="n"/>
      <c r="I930" s="16" t="n"/>
      <c r="J930" s="17" t="n"/>
      <c r="K930" s="17" t="n"/>
      <c r="L930" s="17" t="n"/>
      <c r="M930" s="16" t="n"/>
      <c r="N930" s="16" t="n"/>
      <c r="O930" s="18" t="n"/>
      <c r="P930" s="18" t="n"/>
      <c r="Q930" s="16" t="n"/>
    </row>
    <row r="931">
      <c r="E931" s="15" t="n"/>
      <c r="F931" s="15" t="n"/>
      <c r="G931" s="15" t="n"/>
      <c r="H931" s="16" t="n"/>
      <c r="I931" s="16" t="n"/>
      <c r="J931" s="17" t="n"/>
      <c r="K931" s="17" t="n"/>
      <c r="L931" s="17" t="n"/>
      <c r="M931" s="16" t="n"/>
      <c r="N931" s="16" t="n"/>
      <c r="O931" s="18" t="n"/>
      <c r="P931" s="18" t="n"/>
      <c r="Q931" s="16" t="n"/>
    </row>
    <row r="932">
      <c r="E932" s="15" t="n"/>
      <c r="F932" s="15" t="n"/>
      <c r="G932" s="15" t="n"/>
      <c r="H932" s="16" t="n"/>
      <c r="I932" s="16" t="n"/>
      <c r="J932" s="17" t="n"/>
      <c r="K932" s="17" t="n"/>
      <c r="L932" s="17" t="n"/>
      <c r="M932" s="16" t="n"/>
      <c r="N932" s="16" t="n"/>
      <c r="O932" s="18" t="n"/>
      <c r="P932" s="18" t="n"/>
      <c r="Q932" s="16" t="n"/>
    </row>
    <row r="933">
      <c r="E933" s="15" t="n"/>
      <c r="F933" s="15" t="n"/>
      <c r="G933" s="15" t="n"/>
      <c r="H933" s="16" t="n"/>
      <c r="I933" s="16" t="n"/>
      <c r="J933" s="17" t="n"/>
      <c r="K933" s="17" t="n"/>
      <c r="L933" s="17" t="n"/>
      <c r="M933" s="16" t="n"/>
      <c r="N933" s="16" t="n"/>
      <c r="O933" s="18" t="n"/>
      <c r="P933" s="18" t="n"/>
      <c r="Q933" s="16" t="n"/>
    </row>
    <row r="934">
      <c r="E934" s="15" t="n"/>
      <c r="F934" s="15" t="n"/>
      <c r="G934" s="15" t="n"/>
      <c r="H934" s="16" t="n"/>
      <c r="I934" s="16" t="n"/>
      <c r="J934" s="17" t="n"/>
      <c r="K934" s="17" t="n"/>
      <c r="L934" s="17" t="n"/>
      <c r="M934" s="16" t="n"/>
      <c r="N934" s="16" t="n"/>
      <c r="O934" s="18" t="n"/>
      <c r="P934" s="18" t="n"/>
      <c r="Q934" s="16" t="n"/>
    </row>
    <row r="935">
      <c r="E935" s="15" t="n"/>
      <c r="F935" s="15" t="n"/>
      <c r="G935" s="15" t="n"/>
      <c r="H935" s="16" t="n"/>
      <c r="I935" s="16" t="n"/>
      <c r="J935" s="17" t="n"/>
      <c r="K935" s="17" t="n"/>
      <c r="L935" s="17" t="n"/>
      <c r="M935" s="16" t="n"/>
      <c r="N935" s="16" t="n"/>
      <c r="O935" s="18" t="n"/>
      <c r="P935" s="18" t="n"/>
      <c r="Q935" s="16" t="n"/>
    </row>
    <row r="936">
      <c r="E936" s="15" t="n"/>
      <c r="F936" s="15" t="n"/>
      <c r="G936" s="15" t="n"/>
      <c r="H936" s="16" t="n"/>
      <c r="I936" s="16" t="n"/>
      <c r="J936" s="17" t="n"/>
      <c r="K936" s="17" t="n"/>
      <c r="L936" s="17" t="n"/>
      <c r="M936" s="16" t="n"/>
      <c r="N936" s="16" t="n"/>
      <c r="O936" s="18" t="n"/>
      <c r="P936" s="18" t="n"/>
      <c r="Q936" s="16" t="n"/>
    </row>
    <row r="937">
      <c r="E937" s="15" t="n"/>
      <c r="F937" s="15" t="n"/>
      <c r="G937" s="15" t="n"/>
      <c r="H937" s="16" t="n"/>
      <c r="I937" s="16" t="n"/>
      <c r="J937" s="17" t="n"/>
      <c r="K937" s="17" t="n"/>
      <c r="L937" s="17" t="n"/>
      <c r="M937" s="16" t="n"/>
      <c r="N937" s="16" t="n"/>
      <c r="O937" s="18" t="n"/>
      <c r="P937" s="18" t="n"/>
      <c r="Q937" s="16" t="n"/>
    </row>
    <row r="938">
      <c r="E938" s="15" t="n"/>
      <c r="F938" s="15" t="n"/>
      <c r="G938" s="15" t="n"/>
      <c r="H938" s="16" t="n"/>
      <c r="I938" s="16" t="n"/>
      <c r="J938" s="17" t="n"/>
      <c r="K938" s="17" t="n"/>
      <c r="L938" s="17" t="n"/>
      <c r="M938" s="16" t="n"/>
      <c r="N938" s="16" t="n"/>
      <c r="O938" s="18" t="n"/>
      <c r="P938" s="18" t="n"/>
      <c r="Q938" s="16" t="n"/>
    </row>
    <row r="939">
      <c r="E939" s="15" t="n"/>
      <c r="F939" s="15" t="n"/>
      <c r="G939" s="15" t="n"/>
      <c r="H939" s="16" t="n"/>
      <c r="I939" s="16" t="n"/>
      <c r="J939" s="17" t="n"/>
      <c r="K939" s="17" t="n"/>
      <c r="L939" s="17" t="n"/>
      <c r="M939" s="16" t="n"/>
      <c r="N939" s="16" t="n"/>
      <c r="O939" s="18" t="n"/>
      <c r="P939" s="18" t="n"/>
      <c r="Q939" s="16" t="n"/>
    </row>
    <row r="940">
      <c r="E940" s="15" t="n"/>
      <c r="F940" s="15" t="n"/>
      <c r="G940" s="15" t="n"/>
      <c r="H940" s="16" t="n"/>
      <c r="I940" s="16" t="n"/>
      <c r="J940" s="17" t="n"/>
      <c r="K940" s="17" t="n"/>
      <c r="L940" s="17" t="n"/>
      <c r="M940" s="16" t="n"/>
      <c r="N940" s="16" t="n"/>
      <c r="O940" s="18" t="n"/>
      <c r="P940" s="18" t="n"/>
      <c r="Q940" s="16" t="n"/>
    </row>
    <row r="941">
      <c r="E941" s="15" t="n"/>
      <c r="F941" s="15" t="n"/>
      <c r="G941" s="15" t="n"/>
      <c r="H941" s="16" t="n"/>
      <c r="I941" s="16" t="n"/>
      <c r="J941" s="17" t="n"/>
      <c r="K941" s="17" t="n"/>
      <c r="L941" s="17" t="n"/>
      <c r="M941" s="16" t="n"/>
      <c r="N941" s="16" t="n"/>
      <c r="O941" s="18" t="n"/>
      <c r="P941" s="18" t="n"/>
      <c r="Q941" s="16" t="n"/>
    </row>
    <row r="942">
      <c r="E942" s="15" t="n"/>
      <c r="F942" s="15" t="n"/>
      <c r="G942" s="15" t="n"/>
      <c r="H942" s="16" t="n"/>
      <c r="I942" s="16" t="n"/>
      <c r="J942" s="17" t="n"/>
      <c r="K942" s="17" t="n"/>
      <c r="L942" s="17" t="n"/>
      <c r="M942" s="16" t="n"/>
      <c r="N942" s="16" t="n"/>
      <c r="O942" s="18" t="n"/>
      <c r="P942" s="18" t="n"/>
      <c r="Q942" s="16" t="n"/>
    </row>
    <row r="943">
      <c r="E943" s="15" t="n"/>
      <c r="F943" s="15" t="n"/>
      <c r="G943" s="15" t="n"/>
      <c r="H943" s="16" t="n"/>
      <c r="I943" s="16" t="n"/>
      <c r="J943" s="17" t="n"/>
      <c r="K943" s="17" t="n"/>
      <c r="L943" s="17" t="n"/>
      <c r="M943" s="16" t="n"/>
      <c r="N943" s="16" t="n"/>
      <c r="O943" s="18" t="n"/>
      <c r="P943" s="18" t="n"/>
      <c r="Q943" s="16" t="n"/>
    </row>
    <row r="944">
      <c r="E944" s="15" t="n"/>
      <c r="F944" s="15" t="n"/>
      <c r="G944" s="15" t="n"/>
      <c r="H944" s="16" t="n"/>
      <c r="I944" s="16" t="n"/>
      <c r="J944" s="17" t="n"/>
      <c r="K944" s="17" t="n"/>
      <c r="L944" s="17" t="n"/>
      <c r="M944" s="16" t="n"/>
      <c r="N944" s="16" t="n"/>
      <c r="O944" s="18" t="n"/>
      <c r="P944" s="18" t="n"/>
      <c r="Q944" s="16" t="n"/>
    </row>
    <row r="945">
      <c r="E945" s="15" t="n"/>
      <c r="F945" s="15" t="n"/>
      <c r="G945" s="15" t="n"/>
      <c r="H945" s="16" t="n"/>
      <c r="I945" s="16" t="n"/>
      <c r="J945" s="17" t="n"/>
      <c r="K945" s="17" t="n"/>
      <c r="L945" s="17" t="n"/>
      <c r="M945" s="16" t="n"/>
      <c r="N945" s="16" t="n"/>
      <c r="O945" s="18" t="n"/>
      <c r="P945" s="18" t="n"/>
      <c r="Q945" s="16" t="n"/>
    </row>
    <row r="946">
      <c r="E946" s="15" t="n"/>
      <c r="F946" s="15" t="n"/>
      <c r="G946" s="15" t="n"/>
      <c r="H946" s="16" t="n"/>
      <c r="I946" s="16" t="n"/>
      <c r="J946" s="17" t="n"/>
      <c r="K946" s="17" t="n"/>
      <c r="L946" s="17" t="n"/>
      <c r="M946" s="16" t="n"/>
      <c r="N946" s="16" t="n"/>
      <c r="O946" s="18" t="n"/>
      <c r="P946" s="18" t="n"/>
      <c r="Q946" s="16" t="n"/>
    </row>
    <row r="947">
      <c r="E947" s="15" t="n"/>
      <c r="F947" s="15" t="n"/>
      <c r="G947" s="15" t="n"/>
      <c r="H947" s="16" t="n"/>
      <c r="I947" s="16" t="n"/>
      <c r="J947" s="17" t="n"/>
      <c r="K947" s="17" t="n"/>
      <c r="L947" s="17" t="n"/>
      <c r="M947" s="16" t="n"/>
      <c r="N947" s="16" t="n"/>
      <c r="O947" s="18" t="n"/>
      <c r="P947" s="18" t="n"/>
      <c r="Q947" s="16" t="n"/>
    </row>
    <row r="948">
      <c r="E948" s="15" t="n"/>
      <c r="F948" s="15" t="n"/>
      <c r="G948" s="15" t="n"/>
      <c r="H948" s="16" t="n"/>
      <c r="I948" s="16" t="n"/>
      <c r="J948" s="17" t="n"/>
      <c r="K948" s="17" t="n"/>
      <c r="L948" s="17" t="n"/>
      <c r="M948" s="16" t="n"/>
      <c r="N948" s="16" t="n"/>
      <c r="O948" s="18" t="n"/>
      <c r="P948" s="18" t="n"/>
      <c r="Q948" s="16" t="n"/>
    </row>
    <row r="949">
      <c r="E949" s="15" t="n"/>
      <c r="F949" s="15" t="n"/>
      <c r="G949" s="15" t="n"/>
      <c r="H949" s="16" t="n"/>
      <c r="I949" s="16" t="n"/>
      <c r="J949" s="17" t="n"/>
      <c r="K949" s="17" t="n"/>
      <c r="L949" s="17" t="n"/>
      <c r="M949" s="16" t="n"/>
      <c r="N949" s="16" t="n"/>
      <c r="O949" s="18" t="n"/>
      <c r="P949" s="18" t="n"/>
      <c r="Q949" s="16" t="n"/>
    </row>
    <row r="950">
      <c r="E950" s="15" t="n"/>
      <c r="F950" s="15" t="n"/>
      <c r="G950" s="15" t="n"/>
      <c r="H950" s="16" t="n"/>
      <c r="I950" s="16" t="n"/>
      <c r="J950" s="17" t="n"/>
      <c r="K950" s="17" t="n"/>
      <c r="L950" s="17" t="n"/>
      <c r="M950" s="16" t="n"/>
      <c r="N950" s="16" t="n"/>
      <c r="O950" s="18" t="n"/>
      <c r="P950" s="18" t="n"/>
      <c r="Q950" s="16" t="n"/>
    </row>
    <row r="951">
      <c r="E951" s="15" t="n"/>
      <c r="F951" s="15" t="n"/>
      <c r="G951" s="15" t="n"/>
      <c r="H951" s="16" t="n"/>
      <c r="I951" s="16" t="n"/>
      <c r="J951" s="17" t="n"/>
      <c r="K951" s="17" t="n"/>
      <c r="L951" s="17" t="n"/>
      <c r="M951" s="16" t="n"/>
      <c r="N951" s="16" t="n"/>
      <c r="O951" s="18" t="n"/>
      <c r="P951" s="18" t="n"/>
      <c r="Q951" s="16" t="n"/>
    </row>
    <row r="952">
      <c r="E952" s="15" t="n"/>
      <c r="F952" s="15" t="n"/>
      <c r="G952" s="15" t="n"/>
      <c r="H952" s="16" t="n"/>
      <c r="I952" s="16" t="n"/>
      <c r="J952" s="17" t="n"/>
      <c r="K952" s="17" t="n"/>
      <c r="L952" s="17" t="n"/>
      <c r="M952" s="16" t="n"/>
      <c r="N952" s="16" t="n"/>
      <c r="O952" s="18" t="n"/>
      <c r="P952" s="18" t="n"/>
      <c r="Q952" s="16" t="n"/>
    </row>
    <row r="953">
      <c r="E953" s="15" t="n"/>
      <c r="F953" s="15" t="n"/>
      <c r="G953" s="15" t="n"/>
      <c r="H953" s="16" t="n"/>
      <c r="I953" s="16" t="n"/>
      <c r="J953" s="17" t="n"/>
      <c r="K953" s="17" t="n"/>
      <c r="L953" s="17" t="n"/>
      <c r="M953" s="16" t="n"/>
      <c r="N953" s="16" t="n"/>
      <c r="O953" s="18" t="n"/>
      <c r="P953" s="18" t="n"/>
      <c r="Q953" s="16" t="n"/>
    </row>
    <row r="954">
      <c r="E954" s="15" t="n"/>
      <c r="F954" s="15" t="n"/>
      <c r="G954" s="15" t="n"/>
      <c r="H954" s="16" t="n"/>
      <c r="I954" s="16" t="n"/>
      <c r="J954" s="17" t="n"/>
      <c r="K954" s="17" t="n"/>
      <c r="L954" s="17" t="n"/>
      <c r="M954" s="16" t="n"/>
      <c r="N954" s="16" t="n"/>
      <c r="O954" s="18" t="n"/>
      <c r="P954" s="18" t="n"/>
      <c r="Q954" s="16" t="n"/>
    </row>
    <row r="955">
      <c r="E955" s="15" t="n"/>
      <c r="F955" s="15" t="n"/>
      <c r="G955" s="15" t="n"/>
      <c r="H955" s="16" t="n"/>
      <c r="I955" s="16" t="n"/>
      <c r="J955" s="17" t="n"/>
      <c r="K955" s="17" t="n"/>
      <c r="L955" s="17" t="n"/>
      <c r="M955" s="16" t="n"/>
      <c r="N955" s="16" t="n"/>
      <c r="O955" s="18" t="n"/>
      <c r="P955" s="18" t="n"/>
      <c r="Q955" s="16" t="n"/>
    </row>
    <row r="956">
      <c r="E956" s="15" t="n"/>
      <c r="F956" s="15" t="n"/>
      <c r="G956" s="15" t="n"/>
      <c r="H956" s="16" t="n"/>
      <c r="I956" s="16" t="n"/>
      <c r="J956" s="17" t="n"/>
      <c r="K956" s="17" t="n"/>
      <c r="L956" s="17" t="n"/>
      <c r="M956" s="16" t="n"/>
      <c r="N956" s="16" t="n"/>
      <c r="O956" s="18" t="n"/>
      <c r="P956" s="18" t="n"/>
      <c r="Q956" s="16" t="n"/>
    </row>
    <row r="957">
      <c r="E957" s="15" t="n"/>
      <c r="F957" s="15" t="n"/>
      <c r="G957" s="15" t="n"/>
      <c r="H957" s="16" t="n"/>
      <c r="I957" s="16" t="n"/>
      <c r="J957" s="17" t="n"/>
      <c r="K957" s="17" t="n"/>
      <c r="L957" s="17" t="n"/>
      <c r="M957" s="16" t="n"/>
      <c r="N957" s="16" t="n"/>
      <c r="O957" s="18" t="n"/>
      <c r="P957" s="18" t="n"/>
      <c r="Q957" s="16" t="n"/>
    </row>
    <row r="958">
      <c r="E958" s="15" t="n"/>
      <c r="F958" s="15" t="n"/>
      <c r="G958" s="15" t="n"/>
      <c r="H958" s="16" t="n"/>
      <c r="I958" s="16" t="n"/>
      <c r="J958" s="17" t="n"/>
      <c r="K958" s="17" t="n"/>
      <c r="L958" s="17" t="n"/>
      <c r="M958" s="16" t="n"/>
      <c r="N958" s="16" t="n"/>
      <c r="O958" s="18" t="n"/>
      <c r="P958" s="18" t="n"/>
      <c r="Q958" s="16" t="n"/>
    </row>
    <row r="959">
      <c r="E959" s="15" t="n"/>
      <c r="F959" s="15" t="n"/>
      <c r="G959" s="15" t="n"/>
      <c r="H959" s="16" t="n"/>
      <c r="I959" s="16" t="n"/>
      <c r="J959" s="17" t="n"/>
      <c r="K959" s="17" t="n"/>
      <c r="L959" s="17" t="n"/>
      <c r="M959" s="16" t="n"/>
      <c r="N959" s="16" t="n"/>
      <c r="O959" s="18" t="n"/>
      <c r="P959" s="18" t="n"/>
      <c r="Q959" s="16" t="n"/>
    </row>
    <row r="960">
      <c r="E960" s="15" t="n"/>
      <c r="F960" s="15" t="n"/>
      <c r="G960" s="15" t="n"/>
      <c r="H960" s="16" t="n"/>
      <c r="I960" s="16" t="n"/>
      <c r="J960" s="17" t="n"/>
      <c r="K960" s="17" t="n"/>
      <c r="L960" s="17" t="n"/>
      <c r="M960" s="16" t="n"/>
      <c r="N960" s="16" t="n"/>
      <c r="O960" s="18" t="n"/>
      <c r="P960" s="18" t="n"/>
      <c r="Q960" s="16" t="n"/>
    </row>
    <row r="961">
      <c r="E961" s="15" t="n"/>
      <c r="F961" s="15" t="n"/>
      <c r="G961" s="15" t="n"/>
      <c r="H961" s="16" t="n"/>
      <c r="I961" s="16" t="n"/>
      <c r="J961" s="17" t="n"/>
      <c r="K961" s="17" t="n"/>
      <c r="L961" s="17" t="n"/>
      <c r="M961" s="16" t="n"/>
      <c r="N961" s="16" t="n"/>
      <c r="O961" s="18" t="n"/>
      <c r="P961" s="18" t="n"/>
      <c r="Q961" s="16" t="n"/>
    </row>
    <row r="962">
      <c r="E962" s="15" t="n"/>
      <c r="F962" s="15" t="n"/>
      <c r="G962" s="15" t="n"/>
      <c r="H962" s="16" t="n"/>
      <c r="I962" s="16" t="n"/>
      <c r="J962" s="17" t="n"/>
      <c r="K962" s="17" t="n"/>
      <c r="L962" s="17" t="n"/>
      <c r="M962" s="16" t="n"/>
      <c r="N962" s="16" t="n"/>
      <c r="O962" s="18" t="n"/>
      <c r="P962" s="18" t="n"/>
      <c r="Q962" s="16" t="n"/>
    </row>
    <row r="963">
      <c r="E963" s="15" t="n"/>
      <c r="F963" s="15" t="n"/>
      <c r="G963" s="15" t="n"/>
      <c r="H963" s="16" t="n"/>
      <c r="I963" s="16" t="n"/>
      <c r="J963" s="17" t="n"/>
      <c r="K963" s="17" t="n"/>
      <c r="L963" s="17" t="n"/>
      <c r="M963" s="16" t="n"/>
      <c r="N963" s="16" t="n"/>
      <c r="O963" s="18" t="n"/>
      <c r="P963" s="18" t="n"/>
      <c r="Q963" s="16" t="n"/>
    </row>
    <row r="964">
      <c r="E964" s="15" t="n"/>
      <c r="F964" s="15" t="n"/>
      <c r="G964" s="15" t="n"/>
      <c r="H964" s="16" t="n"/>
      <c r="I964" s="16" t="n"/>
      <c r="J964" s="17" t="n"/>
      <c r="K964" s="17" t="n"/>
      <c r="L964" s="17" t="n"/>
      <c r="M964" s="16" t="n"/>
      <c r="N964" s="16" t="n"/>
      <c r="O964" s="18" t="n"/>
      <c r="P964" s="18" t="n"/>
      <c r="Q964" s="16" t="n"/>
    </row>
    <row r="965">
      <c r="E965" s="15" t="n"/>
      <c r="F965" s="15" t="n"/>
      <c r="G965" s="15" t="n"/>
      <c r="H965" s="16" t="n"/>
      <c r="I965" s="16" t="n"/>
      <c r="J965" s="17" t="n"/>
      <c r="K965" s="17" t="n"/>
      <c r="L965" s="17" t="n"/>
      <c r="M965" s="16" t="n"/>
      <c r="N965" s="16" t="n"/>
      <c r="O965" s="18" t="n"/>
      <c r="P965" s="18" t="n"/>
      <c r="Q965" s="16" t="n"/>
    </row>
    <row r="966">
      <c r="E966" s="15" t="n"/>
      <c r="F966" s="15" t="n"/>
      <c r="G966" s="15" t="n"/>
      <c r="H966" s="16" t="n"/>
      <c r="I966" s="16" t="n"/>
      <c r="J966" s="17" t="n"/>
      <c r="K966" s="17" t="n"/>
      <c r="L966" s="17" t="n"/>
      <c r="M966" s="16" t="n"/>
      <c r="N966" s="16" t="n"/>
      <c r="O966" s="18" t="n"/>
      <c r="P966" s="18" t="n"/>
      <c r="Q966" s="16" t="n"/>
    </row>
    <row r="967">
      <c r="E967" s="15" t="n"/>
      <c r="F967" s="15" t="n"/>
      <c r="G967" s="15" t="n"/>
      <c r="H967" s="16" t="n"/>
      <c r="I967" s="16" t="n"/>
      <c r="J967" s="17" t="n"/>
      <c r="K967" s="17" t="n"/>
      <c r="L967" s="17" t="n"/>
      <c r="M967" s="16" t="n"/>
      <c r="N967" s="16" t="n"/>
      <c r="O967" s="18" t="n"/>
      <c r="P967" s="18" t="n"/>
      <c r="Q967" s="16" t="n"/>
    </row>
    <row r="968">
      <c r="E968" s="15" t="n"/>
      <c r="F968" s="15" t="n"/>
      <c r="G968" s="15" t="n"/>
      <c r="H968" s="16" t="n"/>
      <c r="I968" s="16" t="n"/>
      <c r="J968" s="17" t="n"/>
      <c r="K968" s="17" t="n"/>
      <c r="L968" s="17" t="n"/>
      <c r="M968" s="16" t="n"/>
      <c r="N968" s="16" t="n"/>
      <c r="O968" s="18" t="n"/>
      <c r="P968" s="18" t="n"/>
      <c r="Q968" s="16" t="n"/>
    </row>
    <row r="969">
      <c r="E969" s="15" t="n"/>
      <c r="F969" s="15" t="n"/>
      <c r="G969" s="15" t="n"/>
      <c r="H969" s="16" t="n"/>
      <c r="I969" s="16" t="n"/>
      <c r="J969" s="17" t="n"/>
      <c r="K969" s="17" t="n"/>
      <c r="L969" s="17" t="n"/>
      <c r="M969" s="16" t="n"/>
      <c r="N969" s="16" t="n"/>
      <c r="O969" s="18" t="n"/>
      <c r="P969" s="18" t="n"/>
      <c r="Q969" s="16" t="n"/>
    </row>
    <row r="970">
      <c r="E970" s="15" t="n"/>
      <c r="F970" s="15" t="n"/>
      <c r="G970" s="15" t="n"/>
      <c r="H970" s="16" t="n"/>
      <c r="I970" s="16" t="n"/>
      <c r="J970" s="17" t="n"/>
      <c r="K970" s="17" t="n"/>
      <c r="L970" s="17" t="n"/>
      <c r="M970" s="16" t="n"/>
      <c r="N970" s="16" t="n"/>
      <c r="O970" s="18" t="n"/>
      <c r="P970" s="18" t="n"/>
      <c r="Q970" s="16" t="n"/>
    </row>
    <row r="971">
      <c r="E971" s="15" t="n"/>
      <c r="F971" s="15" t="n"/>
      <c r="G971" s="15" t="n"/>
      <c r="H971" s="16" t="n"/>
      <c r="I971" s="16" t="n"/>
      <c r="J971" s="17" t="n"/>
      <c r="K971" s="17" t="n"/>
      <c r="L971" s="17" t="n"/>
      <c r="M971" s="16" t="n"/>
      <c r="N971" s="16" t="n"/>
      <c r="O971" s="18" t="n"/>
      <c r="P971" s="18" t="n"/>
      <c r="Q971" s="16" t="n"/>
    </row>
    <row r="972">
      <c r="E972" s="15" t="n"/>
      <c r="F972" s="15" t="n"/>
      <c r="G972" s="15" t="n"/>
      <c r="H972" s="16" t="n"/>
      <c r="I972" s="16" t="n"/>
      <c r="J972" s="17" t="n"/>
      <c r="K972" s="17" t="n"/>
      <c r="L972" s="17" t="n"/>
      <c r="M972" s="16" t="n"/>
      <c r="N972" s="16" t="n"/>
      <c r="O972" s="18" t="n"/>
      <c r="P972" s="18" t="n"/>
      <c r="Q972" s="16" t="n"/>
    </row>
    <row r="973">
      <c r="E973" s="15" t="n"/>
      <c r="F973" s="15" t="n"/>
      <c r="G973" s="15" t="n"/>
      <c r="H973" s="16" t="n"/>
      <c r="I973" s="16" t="n"/>
      <c r="J973" s="17" t="n"/>
      <c r="K973" s="17" t="n"/>
      <c r="L973" s="17" t="n"/>
      <c r="M973" s="16" t="n"/>
      <c r="N973" s="16" t="n"/>
      <c r="O973" s="18" t="n"/>
      <c r="P973" s="18" t="n"/>
      <c r="Q973" s="16" t="n"/>
    </row>
    <row r="974">
      <c r="E974" s="15" t="n"/>
      <c r="F974" s="15" t="n"/>
      <c r="G974" s="15" t="n"/>
      <c r="H974" s="16" t="n"/>
      <c r="I974" s="16" t="n"/>
      <c r="J974" s="17" t="n"/>
      <c r="K974" s="17" t="n"/>
      <c r="L974" s="17" t="n"/>
      <c r="M974" s="16" t="n"/>
      <c r="N974" s="16" t="n"/>
      <c r="O974" s="18" t="n"/>
      <c r="P974" s="18" t="n"/>
      <c r="Q974" s="16" t="n"/>
    </row>
    <row r="975">
      <c r="E975" s="15" t="n"/>
      <c r="F975" s="15" t="n"/>
      <c r="G975" s="15" t="n"/>
      <c r="H975" s="16" t="n"/>
      <c r="I975" s="16" t="n"/>
      <c r="J975" s="17" t="n"/>
      <c r="K975" s="17" t="n"/>
      <c r="L975" s="17" t="n"/>
      <c r="M975" s="16" t="n"/>
      <c r="N975" s="16" t="n"/>
      <c r="O975" s="18" t="n"/>
      <c r="P975" s="18" t="n"/>
      <c r="Q975" s="16" t="n"/>
    </row>
    <row r="976">
      <c r="E976" s="15" t="n"/>
      <c r="F976" s="15" t="n"/>
      <c r="G976" s="15" t="n"/>
      <c r="H976" s="16" t="n"/>
      <c r="I976" s="16" t="n"/>
      <c r="J976" s="17" t="n"/>
      <c r="K976" s="17" t="n"/>
      <c r="L976" s="17" t="n"/>
      <c r="M976" s="16" t="n"/>
      <c r="N976" s="16" t="n"/>
      <c r="O976" s="18" t="n"/>
      <c r="P976" s="18" t="n"/>
      <c r="Q976" s="16" t="n"/>
    </row>
    <row r="977">
      <c r="E977" s="15" t="n"/>
      <c r="F977" s="15" t="n"/>
      <c r="G977" s="15" t="n"/>
      <c r="H977" s="16" t="n"/>
      <c r="I977" s="16" t="n"/>
      <c r="J977" s="17" t="n"/>
      <c r="K977" s="17" t="n"/>
      <c r="L977" s="17" t="n"/>
      <c r="M977" s="16" t="n"/>
      <c r="N977" s="16" t="n"/>
      <c r="O977" s="18" t="n"/>
      <c r="P977" s="18" t="n"/>
      <c r="Q977" s="16" t="n"/>
    </row>
    <row r="978">
      <c r="E978" s="15" t="n"/>
      <c r="F978" s="15" t="n"/>
      <c r="G978" s="15" t="n"/>
      <c r="H978" s="16" t="n"/>
      <c r="I978" s="16" t="n"/>
      <c r="J978" s="17" t="n"/>
      <c r="K978" s="17" t="n"/>
      <c r="L978" s="17" t="n"/>
      <c r="M978" s="16" t="n"/>
      <c r="N978" s="16" t="n"/>
      <c r="O978" s="18" t="n"/>
      <c r="P978" s="18" t="n"/>
      <c r="Q978" s="16" t="n"/>
    </row>
    <row r="979">
      <c r="E979" s="15" t="n"/>
      <c r="F979" s="15" t="n"/>
      <c r="G979" s="15" t="n"/>
      <c r="H979" s="16" t="n"/>
      <c r="I979" s="16" t="n"/>
      <c r="J979" s="17" t="n"/>
      <c r="K979" s="17" t="n"/>
      <c r="L979" s="17" t="n"/>
      <c r="M979" s="16" t="n"/>
      <c r="N979" s="16" t="n"/>
      <c r="O979" s="18" t="n"/>
      <c r="P979" s="18" t="n"/>
      <c r="Q979" s="16" t="n"/>
    </row>
    <row r="980">
      <c r="E980" s="15" t="n"/>
      <c r="F980" s="15" t="n"/>
      <c r="G980" s="15" t="n"/>
      <c r="H980" s="16" t="n"/>
      <c r="I980" s="16" t="n"/>
      <c r="J980" s="17" t="n"/>
      <c r="K980" s="17" t="n"/>
      <c r="L980" s="17" t="n"/>
      <c r="M980" s="16" t="n"/>
      <c r="N980" s="16" t="n"/>
      <c r="O980" s="18" t="n"/>
      <c r="P980" s="18" t="n"/>
      <c r="Q980" s="16" t="n"/>
    </row>
    <row r="981">
      <c r="E981" s="15" t="n"/>
      <c r="F981" s="15" t="n"/>
      <c r="G981" s="15" t="n"/>
      <c r="H981" s="16" t="n"/>
      <c r="I981" s="16" t="n"/>
      <c r="J981" s="17" t="n"/>
      <c r="K981" s="17" t="n"/>
      <c r="L981" s="17" t="n"/>
      <c r="M981" s="16" t="n"/>
      <c r="N981" s="16" t="n"/>
      <c r="O981" s="18" t="n"/>
      <c r="P981" s="18" t="n"/>
      <c r="Q981" s="16" t="n"/>
    </row>
    <row r="982">
      <c r="E982" s="15" t="n"/>
      <c r="F982" s="15" t="n"/>
      <c r="G982" s="15" t="n"/>
      <c r="H982" s="16" t="n"/>
      <c r="I982" s="16" t="n"/>
      <c r="J982" s="17" t="n"/>
      <c r="K982" s="17" t="n"/>
      <c r="L982" s="17" t="n"/>
      <c r="M982" s="16" t="n"/>
      <c r="N982" s="16" t="n"/>
      <c r="O982" s="18" t="n"/>
      <c r="P982" s="18" t="n"/>
      <c r="Q982" s="16" t="n"/>
    </row>
    <row r="983">
      <c r="E983" s="15" t="n"/>
      <c r="F983" s="15" t="n"/>
      <c r="G983" s="15" t="n"/>
      <c r="H983" s="16" t="n"/>
      <c r="I983" s="16" t="n"/>
      <c r="J983" s="17" t="n"/>
      <c r="K983" s="17" t="n"/>
      <c r="L983" s="17" t="n"/>
      <c r="M983" s="16" t="n"/>
      <c r="N983" s="16" t="n"/>
      <c r="O983" s="18" t="n"/>
      <c r="P983" s="18" t="n"/>
      <c r="Q983" s="16" t="n"/>
    </row>
    <row r="984">
      <c r="E984" s="15" t="n"/>
      <c r="F984" s="15" t="n"/>
      <c r="G984" s="15" t="n"/>
      <c r="H984" s="16" t="n"/>
      <c r="I984" s="16" t="n"/>
      <c r="J984" s="17" t="n"/>
      <c r="K984" s="17" t="n"/>
      <c r="L984" s="17" t="n"/>
      <c r="M984" s="16" t="n"/>
      <c r="N984" s="16" t="n"/>
      <c r="O984" s="18" t="n"/>
      <c r="P984" s="18" t="n"/>
      <c r="Q984" s="16" t="n"/>
    </row>
    <row r="985">
      <c r="E985" s="15" t="n"/>
      <c r="F985" s="15" t="n"/>
      <c r="G985" s="15" t="n"/>
      <c r="H985" s="16" t="n"/>
      <c r="I985" s="16" t="n"/>
      <c r="J985" s="17" t="n"/>
      <c r="K985" s="17" t="n"/>
      <c r="L985" s="17" t="n"/>
      <c r="M985" s="16" t="n"/>
      <c r="N985" s="16" t="n"/>
      <c r="O985" s="18" t="n"/>
      <c r="P985" s="18" t="n"/>
      <c r="Q985" s="16" t="n"/>
    </row>
    <row r="986">
      <c r="E986" s="15" t="n"/>
      <c r="F986" s="15" t="n"/>
      <c r="G986" s="15" t="n"/>
      <c r="H986" s="16" t="n"/>
      <c r="I986" s="16" t="n"/>
      <c r="J986" s="17" t="n"/>
      <c r="K986" s="17" t="n"/>
      <c r="L986" s="17" t="n"/>
      <c r="M986" s="16" t="n"/>
      <c r="N986" s="16" t="n"/>
      <c r="O986" s="18" t="n"/>
      <c r="P986" s="18" t="n"/>
      <c r="Q986" s="16" t="n"/>
    </row>
    <row r="987">
      <c r="E987" s="15" t="n"/>
      <c r="F987" s="15" t="n"/>
      <c r="G987" s="15" t="n"/>
      <c r="H987" s="16" t="n"/>
      <c r="I987" s="16" t="n"/>
      <c r="J987" s="17" t="n"/>
      <c r="K987" s="17" t="n"/>
      <c r="L987" s="17" t="n"/>
      <c r="M987" s="16" t="n"/>
      <c r="N987" s="16" t="n"/>
      <c r="O987" s="18" t="n"/>
      <c r="P987" s="18" t="n"/>
      <c r="Q987" s="16" t="n"/>
    </row>
    <row r="988">
      <c r="E988" s="15" t="n"/>
      <c r="F988" s="15" t="n"/>
      <c r="G988" s="15" t="n"/>
      <c r="H988" s="16" t="n"/>
      <c r="I988" s="16" t="n"/>
      <c r="J988" s="17" t="n"/>
      <c r="K988" s="17" t="n"/>
      <c r="L988" s="17" t="n"/>
      <c r="M988" s="16" t="n"/>
      <c r="N988" s="16" t="n"/>
      <c r="O988" s="18" t="n"/>
      <c r="P988" s="18" t="n"/>
      <c r="Q988" s="16" t="n"/>
    </row>
    <row r="989">
      <c r="E989" s="15" t="n"/>
      <c r="F989" s="15" t="n"/>
      <c r="G989" s="15" t="n"/>
      <c r="H989" s="16" t="n"/>
      <c r="I989" s="16" t="n"/>
      <c r="J989" s="17" t="n"/>
      <c r="K989" s="17" t="n"/>
      <c r="L989" s="17" t="n"/>
      <c r="M989" s="16" t="n"/>
      <c r="N989" s="16" t="n"/>
      <c r="O989" s="18" t="n"/>
      <c r="P989" s="18" t="n"/>
      <c r="Q989" s="16" t="n"/>
    </row>
    <row r="990">
      <c r="E990" s="15" t="n"/>
      <c r="F990" s="15" t="n"/>
      <c r="G990" s="15" t="n"/>
      <c r="H990" s="16" t="n"/>
      <c r="I990" s="16" t="n"/>
      <c r="J990" s="17" t="n"/>
      <c r="K990" s="17" t="n"/>
      <c r="L990" s="17" t="n"/>
      <c r="M990" s="16" t="n"/>
      <c r="N990" s="16" t="n"/>
      <c r="O990" s="18" t="n"/>
      <c r="P990" s="18" t="n"/>
      <c r="Q990" s="16" t="n"/>
    </row>
    <row r="991">
      <c r="E991" s="15" t="n"/>
      <c r="F991" s="15" t="n"/>
      <c r="G991" s="15" t="n"/>
      <c r="H991" s="16" t="n"/>
      <c r="I991" s="16" t="n"/>
      <c r="J991" s="17" t="n"/>
      <c r="K991" s="17" t="n"/>
      <c r="L991" s="17" t="n"/>
      <c r="M991" s="16" t="n"/>
      <c r="N991" s="16" t="n"/>
      <c r="O991" s="18" t="n"/>
      <c r="P991" s="18" t="n"/>
      <c r="Q991" s="16" t="n"/>
    </row>
    <row r="992">
      <c r="E992" s="15" t="n"/>
      <c r="F992" s="15" t="n"/>
      <c r="G992" s="15" t="n"/>
      <c r="H992" s="16" t="n"/>
      <c r="I992" s="16" t="n"/>
      <c r="J992" s="17" t="n"/>
      <c r="K992" s="17" t="n"/>
      <c r="L992" s="17" t="n"/>
      <c r="M992" s="16" t="n"/>
      <c r="N992" s="16" t="n"/>
      <c r="O992" s="18" t="n"/>
      <c r="P992" s="18" t="n"/>
      <c r="Q992" s="16" t="n"/>
    </row>
    <row r="993">
      <c r="E993" s="15" t="n"/>
      <c r="F993" s="15" t="n"/>
      <c r="G993" s="15" t="n"/>
      <c r="H993" s="16" t="n"/>
      <c r="I993" s="16" t="n"/>
      <c r="J993" s="17" t="n"/>
      <c r="K993" s="17" t="n"/>
      <c r="L993" s="17" t="n"/>
      <c r="M993" s="16" t="n"/>
      <c r="N993" s="16" t="n"/>
      <c r="O993" s="18" t="n"/>
      <c r="P993" s="18" t="n"/>
      <c r="Q993" s="16" t="n"/>
    </row>
    <row r="994">
      <c r="E994" s="15" t="n"/>
      <c r="F994" s="15" t="n"/>
      <c r="G994" s="15" t="n"/>
      <c r="H994" s="16" t="n"/>
      <c r="I994" s="16" t="n"/>
      <c r="J994" s="17" t="n"/>
      <c r="K994" s="17" t="n"/>
      <c r="L994" s="17" t="n"/>
      <c r="M994" s="16" t="n"/>
      <c r="N994" s="16" t="n"/>
      <c r="O994" s="18" t="n"/>
      <c r="P994" s="18" t="n"/>
      <c r="Q994" s="16" t="n"/>
    </row>
    <row r="995">
      <c r="E995" s="15" t="n"/>
      <c r="F995" s="15" t="n"/>
      <c r="G995" s="15" t="n"/>
      <c r="H995" s="16" t="n"/>
      <c r="I995" s="16" t="n"/>
      <c r="J995" s="17" t="n"/>
      <c r="K995" s="17" t="n"/>
      <c r="L995" s="17" t="n"/>
      <c r="M995" s="16" t="n"/>
      <c r="N995" s="16" t="n"/>
      <c r="O995" s="18" t="n"/>
      <c r="P995" s="18" t="n"/>
      <c r="Q995" s="16" t="n"/>
    </row>
    <row r="996">
      <c r="E996" s="15" t="n"/>
      <c r="F996" s="15" t="n"/>
      <c r="G996" s="15" t="n"/>
      <c r="H996" s="16" t="n"/>
      <c r="I996" s="16" t="n"/>
      <c r="J996" s="17" t="n"/>
      <c r="K996" s="17" t="n"/>
      <c r="L996" s="17" t="n"/>
      <c r="M996" s="16" t="n"/>
      <c r="N996" s="16" t="n"/>
      <c r="O996" s="18" t="n"/>
      <c r="P996" s="18" t="n"/>
      <c r="Q996" s="16" t="n"/>
    </row>
    <row r="997">
      <c r="E997" s="15" t="n"/>
      <c r="F997" s="15" t="n"/>
      <c r="G997" s="15" t="n"/>
      <c r="H997" s="16" t="n"/>
      <c r="I997" s="16" t="n"/>
      <c r="J997" s="17" t="n"/>
      <c r="K997" s="17" t="n"/>
      <c r="L997" s="17" t="n"/>
      <c r="M997" s="16" t="n"/>
      <c r="N997" s="16" t="n"/>
      <c r="O997" s="18" t="n"/>
      <c r="P997" s="18" t="n"/>
      <c r="Q997" s="16" t="n"/>
    </row>
    <row r="998">
      <c r="E998" s="15" t="n"/>
      <c r="F998" s="15" t="n"/>
      <c r="G998" s="15" t="n"/>
      <c r="H998" s="16" t="n"/>
      <c r="I998" s="16" t="n"/>
      <c r="J998" s="17" t="n"/>
      <c r="K998" s="17" t="n"/>
      <c r="L998" s="17" t="n"/>
      <c r="M998" s="16" t="n"/>
      <c r="N998" s="16" t="n"/>
      <c r="O998" s="18" t="n"/>
      <c r="P998" s="18" t="n"/>
      <c r="Q998" s="16" t="n"/>
    </row>
    <row r="999">
      <c r="E999" s="15" t="n"/>
      <c r="F999" s="15" t="n"/>
      <c r="G999" s="15" t="n"/>
      <c r="H999" s="16" t="n"/>
      <c r="I999" s="16" t="n"/>
      <c r="J999" s="17" t="n"/>
      <c r="K999" s="17" t="n"/>
      <c r="L999" s="17" t="n"/>
      <c r="M999" s="16" t="n"/>
      <c r="N999" s="16" t="n"/>
      <c r="O999" s="18" t="n"/>
      <c r="P999" s="18" t="n"/>
      <c r="Q999" s="16" t="n"/>
    </row>
    <row r="1000">
      <c r="E1000" s="15" t="n"/>
      <c r="F1000" s="15" t="n"/>
      <c r="G1000" s="15" t="n"/>
      <c r="H1000" s="16" t="n"/>
      <c r="I1000" s="16" t="n"/>
      <c r="J1000" s="17" t="n"/>
      <c r="K1000" s="17" t="n"/>
      <c r="L1000" s="17" t="n"/>
      <c r="M1000" s="16" t="n"/>
      <c r="N1000" s="16" t="n"/>
      <c r="O1000" s="18" t="n"/>
      <c r="P1000" s="18" t="n"/>
      <c r="Q1000" s="16" t="n"/>
    </row>
  </sheetData>
  <conditionalFormatting sqref="A2:AM234">
    <cfRule type="expression" priority="1" dxfId="0" stopIfTrue="1">
      <formula>$I2="100.00%"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M9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1.75" customWidth="1" style="21" min="1" max="1"/>
    <col width="14.75" customWidth="1" style="21" min="2" max="2"/>
    <col width="9.630000000000001" customWidth="1" style="21" min="3" max="3"/>
    <col width="9.75" customWidth="1" style="21" min="4" max="4"/>
    <col width="30.75" customWidth="1" style="21" min="5" max="5"/>
    <col width="13.75" customWidth="1" style="21" min="6" max="6"/>
    <col width="18.13" customWidth="1" style="21" min="7" max="7"/>
    <col width="12.88" customWidth="1" style="21" min="8" max="9"/>
    <col width="30.63" customWidth="1" style="21" min="10" max="10"/>
    <col width="13.63" customWidth="1" style="21" min="11" max="11"/>
    <col width="18" customWidth="1" style="21" min="12" max="12"/>
    <col width="13.13" customWidth="1" style="21" min="13" max="13"/>
    <col width="10.88" customWidth="1" style="21" min="14" max="14"/>
    <col width="15.88" customWidth="1" style="21" min="15" max="15"/>
    <col width="20.38" customWidth="1" style="21" min="16" max="16"/>
    <col width="15.13" customWidth="1" style="21" min="17" max="17"/>
    <col width="25.88" customWidth="1" style="21" min="18" max="18"/>
    <col width="17.13" customWidth="1" style="21" min="19" max="19"/>
    <col width="8.75" customWidth="1" style="21" min="20" max="24"/>
    <col width="21.5" customWidth="1" style="21" min="25" max="25"/>
    <col width="14.38" customWidth="1" style="21" min="26" max="26"/>
    <col width="22.13" customWidth="1" style="21" min="27" max="27"/>
    <col width="19" customWidth="1" style="21" min="28" max="28"/>
    <col width="13.88" customWidth="1" style="21" min="29" max="29"/>
    <col width="14.75" customWidth="1" style="21" min="30" max="30"/>
    <col width="14.63" customWidth="1" style="21" min="31" max="31"/>
    <col width="13.38" customWidth="1" style="21" min="32" max="32"/>
    <col width="18.25" customWidth="1" style="21" min="33" max="33"/>
    <col width="14.25" customWidth="1" style="21" min="34" max="34"/>
    <col width="14.75" customWidth="1" style="21" min="35" max="35"/>
    <col width="14.63" customWidth="1" style="21" min="36" max="36"/>
    <col width="13.38" customWidth="1" style="21" min="37" max="37"/>
    <col width="18.25" customWidth="1" style="21" min="38" max="38"/>
    <col width="14.25" customWidth="1" style="21" min="39" max="39"/>
  </cols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match_type</t>
        </is>
      </c>
      <c r="D1" s="1" t="inlineStr">
        <is>
          <t>q_threshold</t>
        </is>
      </c>
      <c r="E1" s="15" t="inlineStr">
        <is>
          <t>known_drugs_available_in_tahoe_count</t>
        </is>
      </c>
      <c r="F1" s="15" t="inlineStr">
        <is>
          <t>tahoe_hits_count</t>
        </is>
      </c>
      <c r="G1" s="15" t="inlineStr">
        <is>
          <t>tahoe_in_known_count</t>
        </is>
      </c>
      <c r="H1" s="8" t="inlineStr">
        <is>
          <t>Tahoe Precision</t>
        </is>
      </c>
      <c r="I1" s="8" t="inlineStr">
        <is>
          <t>Tahoe Recall</t>
        </is>
      </c>
      <c r="J1" s="4" t="inlineStr">
        <is>
          <t>known_drugs_available_in_cmap_count</t>
        </is>
      </c>
      <c r="K1" s="17" t="inlineStr">
        <is>
          <t>cmap_hits_count</t>
        </is>
      </c>
      <c r="L1" s="17" t="inlineStr">
        <is>
          <t>cmap_in_known_count</t>
        </is>
      </c>
      <c r="M1" s="8" t="inlineStr">
        <is>
          <t>CMAP Precision</t>
        </is>
      </c>
      <c r="N1" s="8" t="inlineStr">
        <is>
          <t>CMAP Recall</t>
        </is>
      </c>
      <c r="O1" s="18" t="inlineStr">
        <is>
          <t>common_hits_count</t>
        </is>
      </c>
      <c r="P1" s="7" t="inlineStr">
        <is>
          <t>common_in_known_count</t>
        </is>
      </c>
      <c r="Q1" s="8" t="inlineStr">
        <is>
          <t>Common Precision</t>
        </is>
      </c>
      <c r="R1" s="9" t="inlineStr">
        <is>
          <t>known_drugs_in_database_count</t>
        </is>
      </c>
      <c r="S1" s="9" t="inlineStr">
        <is>
          <t>total_in_known_count</t>
        </is>
      </c>
      <c r="T1" s="1" t="inlineStr">
        <is>
          <t>phase_0.5</t>
        </is>
      </c>
      <c r="U1" s="1" t="inlineStr">
        <is>
          <t>phase_1.0</t>
        </is>
      </c>
      <c r="V1" s="9" t="inlineStr">
        <is>
          <t>phase_2.0</t>
        </is>
      </c>
      <c r="W1" s="1" t="inlineStr">
        <is>
          <t>phase_3.0</t>
        </is>
      </c>
      <c r="X1" s="1" t="inlineStr">
        <is>
          <t>phase_4.0</t>
        </is>
      </c>
      <c r="Y1" s="1" t="inlineStr">
        <is>
          <t>status_Active, not recruiting</t>
        </is>
      </c>
      <c r="Z1" s="1" t="inlineStr">
        <is>
          <t>status_Completed</t>
        </is>
      </c>
      <c r="AA1" s="1" t="inlineStr">
        <is>
          <t>status_Enrolling by invitation</t>
        </is>
      </c>
      <c r="AB1" s="1" t="inlineStr">
        <is>
          <t>status_Not yet recruiting</t>
        </is>
      </c>
      <c r="AC1" s="1" t="inlineStr">
        <is>
          <t>status_Recruiting</t>
        </is>
      </c>
      <c r="AD1" s="1" t="inlineStr">
        <is>
          <t>status_Suspended</t>
        </is>
      </c>
      <c r="AE1" s="1" t="inlineStr">
        <is>
          <t>status_Terminated</t>
        </is>
      </c>
      <c r="AF1" s="1" t="inlineStr">
        <is>
          <t>status_Unknown</t>
        </is>
      </c>
      <c r="AG1" s="1" t="inlineStr">
        <is>
          <t>status_Unknown status</t>
        </is>
      </c>
      <c r="AH1" s="1" t="inlineStr">
        <is>
          <t>status_Withdrawn</t>
        </is>
      </c>
      <c r="AI1" s="1" t="inlineStr">
        <is>
          <t>status_Suspended</t>
        </is>
      </c>
      <c r="AJ1" s="1" t="inlineStr">
        <is>
          <t>status_Terminated</t>
        </is>
      </c>
      <c r="AK1" s="1" t="inlineStr">
        <is>
          <t>status_Unknown</t>
        </is>
      </c>
      <c r="AL1" s="1" t="inlineStr">
        <is>
          <t>status_Unknown status</t>
        </is>
      </c>
      <c r="AM1" s="1" t="inlineStr">
        <is>
          <t>status_Withdrawn</t>
        </is>
      </c>
    </row>
    <row r="2">
      <c r="A2" s="1" t="inlineStr">
        <is>
          <t>NASH</t>
        </is>
      </c>
      <c r="B2" s="1" t="inlineStr">
        <is>
          <t>EFO_1001249</t>
        </is>
      </c>
      <c r="C2" s="1" t="inlineStr">
        <is>
          <t>synonym</t>
        </is>
      </c>
      <c r="D2" s="1" t="n">
        <v>0.05</v>
      </c>
      <c r="E2" s="15" t="n">
        <v>6</v>
      </c>
      <c r="F2" s="15" t="n">
        <v>379</v>
      </c>
      <c r="G2" s="15" t="n">
        <v>6</v>
      </c>
      <c r="H2" s="16">
        <f>G2/F2</f>
        <v/>
      </c>
      <c r="I2" s="16">
        <f>G2/E2</f>
        <v/>
      </c>
      <c r="J2" s="17" t="n">
        <v>11</v>
      </c>
      <c r="K2" s="17" t="n">
        <v>761</v>
      </c>
      <c r="L2" s="17" t="n">
        <v>10</v>
      </c>
      <c r="M2" s="16">
        <f>L2/K2</f>
        <v/>
      </c>
      <c r="N2" s="16">
        <f>L2/J2</f>
        <v/>
      </c>
      <c r="O2" s="18" t="n">
        <v>33</v>
      </c>
      <c r="P2" s="18" t="n">
        <v>5</v>
      </c>
      <c r="Q2" s="16">
        <f>P2/O2</f>
        <v/>
      </c>
      <c r="R2" s="1" t="n">
        <v>486</v>
      </c>
      <c r="S2" s="1" t="n">
        <v>11</v>
      </c>
      <c r="T2" s="1" t="n">
        <v>0</v>
      </c>
      <c r="U2" s="1" t="n">
        <v>6</v>
      </c>
      <c r="V2" s="1" t="n">
        <v>8</v>
      </c>
      <c r="W2" s="1" t="n">
        <v>3</v>
      </c>
      <c r="X2" s="1" t="n">
        <v>0</v>
      </c>
      <c r="Y2" s="1" t="n">
        <v>2</v>
      </c>
      <c r="Z2" s="1" t="n">
        <v>11</v>
      </c>
      <c r="AA2" s="1" t="n">
        <v>0</v>
      </c>
      <c r="AB2" s="1" t="n">
        <v>0</v>
      </c>
      <c r="AC2" s="1" t="n">
        <v>1</v>
      </c>
      <c r="AD2" s="1" t="n">
        <v>0</v>
      </c>
      <c r="AE2" s="1" t="n">
        <v>0</v>
      </c>
      <c r="AF2" s="1" t="n">
        <v>0</v>
      </c>
      <c r="AG2" s="1" t="n">
        <v>2</v>
      </c>
      <c r="AH2" s="1" t="n">
        <v>1</v>
      </c>
      <c r="AI2" s="1" t="n">
        <v>0</v>
      </c>
      <c r="AJ2" s="1" t="n">
        <v>6</v>
      </c>
      <c r="AK2" s="1" t="n">
        <v>0</v>
      </c>
      <c r="AL2" s="1" t="n">
        <v>5</v>
      </c>
      <c r="AM2" s="1" t="n">
        <v>6</v>
      </c>
    </row>
    <row r="3">
      <c r="A3" s="1" t="inlineStr">
        <is>
          <t>Squamous cell carcinoma of mouth</t>
        </is>
      </c>
      <c r="B3" s="1" t="inlineStr">
        <is>
          <t>EFO_0000199</t>
        </is>
      </c>
      <c r="C3" s="1" t="inlineStr">
        <is>
          <t>synonym</t>
        </is>
      </c>
      <c r="D3" s="1" t="n">
        <v>0.05</v>
      </c>
      <c r="E3" s="15" t="n">
        <v>8</v>
      </c>
      <c r="F3" s="15" t="n">
        <v>379</v>
      </c>
      <c r="G3" s="15" t="n">
        <v>8</v>
      </c>
      <c r="H3" s="16">
        <f>G3/F3</f>
        <v/>
      </c>
      <c r="I3" s="16">
        <f>G3/E3</f>
        <v/>
      </c>
      <c r="J3" s="17" t="n">
        <v>7</v>
      </c>
      <c r="K3" s="17" t="n">
        <v>1140</v>
      </c>
      <c r="L3" s="17" t="n">
        <v>7</v>
      </c>
      <c r="M3" s="16">
        <f>L3/K3</f>
        <v/>
      </c>
      <c r="N3" s="16">
        <f>L3/J3</f>
        <v/>
      </c>
      <c r="O3" s="18" t="n">
        <v>54</v>
      </c>
      <c r="P3" s="18" t="n">
        <v>3</v>
      </c>
      <c r="Q3" s="16">
        <f>P3/O3</f>
        <v/>
      </c>
      <c r="R3" s="1" t="n">
        <v>401</v>
      </c>
      <c r="S3" s="1" t="n">
        <v>12</v>
      </c>
      <c r="T3" s="1" t="n">
        <v>1</v>
      </c>
      <c r="U3" s="1" t="n">
        <v>1</v>
      </c>
      <c r="V3" s="1" t="n">
        <v>13</v>
      </c>
      <c r="W3" s="1" t="n">
        <v>4</v>
      </c>
      <c r="X3" s="1" t="n">
        <v>0</v>
      </c>
      <c r="Y3" s="1" t="n">
        <v>4</v>
      </c>
      <c r="Z3" s="1" t="n">
        <v>7</v>
      </c>
      <c r="AA3" s="1" t="n">
        <v>0</v>
      </c>
      <c r="AB3" s="1" t="n">
        <v>1</v>
      </c>
      <c r="AC3" s="1" t="n">
        <v>6</v>
      </c>
      <c r="AD3" s="1" t="n">
        <v>0</v>
      </c>
      <c r="AE3" s="1" t="n">
        <v>0</v>
      </c>
      <c r="AF3" s="1" t="n">
        <v>0</v>
      </c>
      <c r="AG3" s="1" t="n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</row>
    <row r="4">
      <c r="A4" s="1" t="inlineStr">
        <is>
          <t>monoclonal gammopathy of uncertain significance</t>
        </is>
      </c>
      <c r="B4" s="1" t="inlineStr">
        <is>
          <t>EFO_0000203</t>
        </is>
      </c>
      <c r="C4" s="1" t="inlineStr">
        <is>
          <t>synonym</t>
        </is>
      </c>
      <c r="D4" s="1" t="n">
        <v>0.05</v>
      </c>
      <c r="E4" s="15" t="n">
        <v>1</v>
      </c>
      <c r="F4" s="15" t="n">
        <v>292</v>
      </c>
      <c r="G4" s="15" t="n">
        <v>1</v>
      </c>
      <c r="H4" s="16">
        <f>G4/F4</f>
        <v/>
      </c>
      <c r="I4" s="16">
        <f>G4/E4</f>
        <v/>
      </c>
      <c r="J4" s="17" t="n">
        <v>1</v>
      </c>
      <c r="K4" s="17" t="n">
        <v>258</v>
      </c>
      <c r="L4" s="17" t="n">
        <v>1</v>
      </c>
      <c r="M4" s="16">
        <f>L4/K4</f>
        <v/>
      </c>
      <c r="N4" s="16">
        <f>L4/J4</f>
        <v/>
      </c>
      <c r="O4" s="18" t="n">
        <v>11</v>
      </c>
      <c r="P4" s="18" t="n">
        <v>1</v>
      </c>
      <c r="Q4" s="16">
        <f>P4/O4</f>
        <v/>
      </c>
      <c r="R4" s="1" t="n">
        <v>33</v>
      </c>
      <c r="S4" s="1" t="n">
        <v>1</v>
      </c>
      <c r="T4" s="1" t="n">
        <v>0</v>
      </c>
      <c r="U4" s="1" t="n">
        <v>0</v>
      </c>
      <c r="V4" s="1" t="n">
        <v>1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</row>
    <row r="5">
      <c r="A5" s="1" t="inlineStr">
        <is>
          <t>nasopharynx carcinoma</t>
        </is>
      </c>
      <c r="B5" s="1" t="inlineStr">
        <is>
          <t>MONDO_0015459</t>
        </is>
      </c>
      <c r="C5" s="1" t="inlineStr">
        <is>
          <t>synonym</t>
        </is>
      </c>
      <c r="D5" s="1" t="n">
        <v>0.05</v>
      </c>
      <c r="E5" s="15" t="n">
        <v>16</v>
      </c>
      <c r="F5" s="15" t="n">
        <v>153</v>
      </c>
      <c r="G5" s="15" t="n">
        <v>6</v>
      </c>
      <c r="H5" s="16">
        <f>G5/F5</f>
        <v/>
      </c>
      <c r="I5" s="16">
        <f>G5/E5</f>
        <v/>
      </c>
      <c r="J5" s="17" t="n">
        <v>7</v>
      </c>
      <c r="K5" s="17" t="n">
        <v>604</v>
      </c>
      <c r="L5" s="17" t="n">
        <v>5</v>
      </c>
      <c r="M5" s="16">
        <f>L5/K5</f>
        <v/>
      </c>
      <c r="N5" s="16">
        <f>L5/J5</f>
        <v/>
      </c>
      <c r="O5" s="18" t="n">
        <v>6</v>
      </c>
      <c r="P5" s="18" t="n">
        <v>1</v>
      </c>
      <c r="Q5" s="16">
        <f>P5/O5</f>
        <v/>
      </c>
      <c r="R5" s="1" t="n">
        <v>540</v>
      </c>
      <c r="S5" s="1" t="n">
        <v>10</v>
      </c>
      <c r="T5" s="1" t="n">
        <v>0</v>
      </c>
      <c r="U5" s="1" t="n">
        <v>4</v>
      </c>
      <c r="V5" s="1" t="n">
        <v>12</v>
      </c>
      <c r="W5" s="1" t="n">
        <v>3</v>
      </c>
      <c r="X5" s="1" t="n">
        <v>0</v>
      </c>
      <c r="Y5" s="1" t="n">
        <v>3</v>
      </c>
      <c r="Z5" s="1" t="n">
        <v>4</v>
      </c>
      <c r="AA5" s="1" t="n">
        <v>0</v>
      </c>
      <c r="AB5" s="1" t="n">
        <v>6</v>
      </c>
      <c r="AC5" s="1" t="n">
        <v>2</v>
      </c>
      <c r="AD5" s="1" t="n">
        <v>0</v>
      </c>
      <c r="AE5" s="1" t="n">
        <v>1</v>
      </c>
      <c r="AF5" s="1" t="n">
        <v>0</v>
      </c>
      <c r="AG5" s="1" t="n">
        <v>2</v>
      </c>
      <c r="AH5" s="1" t="n">
        <v>1</v>
      </c>
      <c r="AI5" s="1" t="n">
        <v>0</v>
      </c>
      <c r="AJ5" s="1" t="n">
        <v>5</v>
      </c>
      <c r="AK5" s="1" t="n">
        <v>3</v>
      </c>
      <c r="AL5" s="1" t="n">
        <v>2</v>
      </c>
      <c r="AM5" s="1" t="n">
        <v>2</v>
      </c>
    </row>
    <row r="6">
      <c r="A6" s="1" t="inlineStr">
        <is>
          <t>Nicotine addiction</t>
        </is>
      </c>
      <c r="B6" s="1" t="inlineStr">
        <is>
          <t>EFO_0003768</t>
        </is>
      </c>
      <c r="C6" s="1" t="inlineStr">
        <is>
          <t>synonym</t>
        </is>
      </c>
      <c r="D6" s="1" t="n">
        <v>0.05</v>
      </c>
      <c r="E6" s="15" t="n">
        <v>9</v>
      </c>
      <c r="F6" s="15" t="n">
        <v>239</v>
      </c>
      <c r="G6" s="15" t="n">
        <v>5</v>
      </c>
      <c r="H6" s="16">
        <f>G6/F6</f>
        <v/>
      </c>
      <c r="I6" s="16">
        <f>G6/E6</f>
        <v/>
      </c>
      <c r="J6" s="17" t="n">
        <v>27</v>
      </c>
      <c r="K6" s="17" t="n">
        <v>710</v>
      </c>
      <c r="L6" s="17" t="n">
        <v>13</v>
      </c>
      <c r="M6" s="16">
        <f>L6/K6</f>
        <v/>
      </c>
      <c r="N6" s="16">
        <f>L6/J6</f>
        <v/>
      </c>
      <c r="O6" s="18" t="n">
        <v>18</v>
      </c>
      <c r="P6" s="18" t="n">
        <v>1</v>
      </c>
      <c r="Q6" s="16">
        <f>P6/O6</f>
        <v/>
      </c>
      <c r="R6" s="1" t="n">
        <v>785</v>
      </c>
      <c r="S6" s="1" t="n">
        <v>17</v>
      </c>
      <c r="T6" s="1" t="n">
        <v>4</v>
      </c>
      <c r="U6" s="1" t="n">
        <v>7</v>
      </c>
      <c r="V6" s="1" t="n">
        <v>11</v>
      </c>
      <c r="W6" s="1" t="n">
        <v>5</v>
      </c>
      <c r="X6" s="1" t="n">
        <v>0</v>
      </c>
      <c r="Y6" s="1" t="n">
        <v>0</v>
      </c>
      <c r="Z6" s="1" t="n">
        <v>19</v>
      </c>
      <c r="AA6" s="1" t="n">
        <v>0</v>
      </c>
      <c r="AB6" s="1" t="n">
        <v>0</v>
      </c>
      <c r="AC6" s="1" t="n">
        <v>2</v>
      </c>
      <c r="AD6" s="1" t="n">
        <v>0</v>
      </c>
      <c r="AE6" s="1" t="n">
        <v>3</v>
      </c>
      <c r="AF6" s="1" t="n">
        <v>1</v>
      </c>
      <c r="AG6" s="1" t="n">
        <v>2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</row>
    <row r="7">
      <c r="A7" s="1" t="inlineStr">
        <is>
          <t>pancreatic cancer</t>
        </is>
      </c>
      <c r="B7" s="1" t="inlineStr">
        <is>
          <t>EFO_1000359</t>
        </is>
      </c>
      <c r="C7" s="1" t="inlineStr">
        <is>
          <t>synonym</t>
        </is>
      </c>
      <c r="D7" s="1" t="n">
        <v>0.05</v>
      </c>
      <c r="E7" s="15" t="n">
        <v>11</v>
      </c>
      <c r="F7" s="15" t="n">
        <v>69</v>
      </c>
      <c r="G7" s="15" t="n">
        <v>4</v>
      </c>
      <c r="H7" s="16">
        <f>G7/F7</f>
        <v/>
      </c>
      <c r="I7" s="16">
        <f>G7/E7</f>
        <v/>
      </c>
      <c r="J7" s="17" t="n">
        <v>7</v>
      </c>
      <c r="K7" s="17" t="n">
        <v>763</v>
      </c>
      <c r="L7" s="17" t="n">
        <v>1</v>
      </c>
      <c r="M7" s="16">
        <f>L7/K7</f>
        <v/>
      </c>
      <c r="N7" s="16">
        <f>L7/J7</f>
        <v/>
      </c>
      <c r="O7" s="18" t="n">
        <v>1</v>
      </c>
      <c r="P7" s="18" t="n">
        <v>1</v>
      </c>
      <c r="Q7" s="16">
        <f>P7/O7</f>
        <v/>
      </c>
      <c r="R7" s="1" t="n">
        <v>357</v>
      </c>
      <c r="S7" s="1" t="n">
        <v>4</v>
      </c>
      <c r="T7" s="1" t="n">
        <v>0</v>
      </c>
      <c r="U7" s="1" t="n">
        <v>6</v>
      </c>
      <c r="V7" s="1" t="n">
        <v>10</v>
      </c>
      <c r="W7" s="1" t="n">
        <v>2</v>
      </c>
      <c r="X7" s="1" t="n">
        <v>0</v>
      </c>
      <c r="Y7" s="1" t="n">
        <v>4</v>
      </c>
      <c r="Z7" s="1" t="n">
        <v>4</v>
      </c>
      <c r="AA7" s="1" t="n">
        <v>0</v>
      </c>
      <c r="AB7" s="1" t="n">
        <v>4</v>
      </c>
      <c r="AC7" s="1" t="n">
        <v>5</v>
      </c>
      <c r="AD7" s="1" t="n">
        <v>0</v>
      </c>
      <c r="AE7" s="1" t="n">
        <v>0</v>
      </c>
      <c r="AF7" s="1" t="n">
        <v>0</v>
      </c>
      <c r="AG7" s="1" t="n">
        <v>1</v>
      </c>
      <c r="AH7" s="1" t="n">
        <v>0</v>
      </c>
      <c r="AI7" s="1" t="n">
        <v>0</v>
      </c>
      <c r="AJ7" s="1" t="n">
        <v>2</v>
      </c>
      <c r="AK7" s="1" t="n">
        <v>0</v>
      </c>
      <c r="AL7" s="1" t="n">
        <v>0</v>
      </c>
      <c r="AM7" s="1" t="n">
        <v>1</v>
      </c>
    </row>
    <row r="8">
      <c r="A8" s="1" t="inlineStr">
        <is>
          <t>Parkinson's disease</t>
        </is>
      </c>
      <c r="B8" s="1" t="inlineStr">
        <is>
          <t>MONDO_0005180</t>
        </is>
      </c>
      <c r="C8" s="1" t="inlineStr">
        <is>
          <t>synonym</t>
        </is>
      </c>
      <c r="D8" s="1" t="n">
        <v>0.05</v>
      </c>
      <c r="E8" s="15" t="n">
        <v>11</v>
      </c>
      <c r="F8" s="15" t="n">
        <v>249</v>
      </c>
      <c r="G8" s="15" t="n">
        <v>7</v>
      </c>
      <c r="H8" s="16">
        <f>G8/F8</f>
        <v/>
      </c>
      <c r="I8" s="16">
        <f>G8/E8</f>
        <v/>
      </c>
      <c r="J8" s="17" t="n">
        <v>42</v>
      </c>
      <c r="K8" s="17" t="n">
        <v>313</v>
      </c>
      <c r="L8" s="17" t="n">
        <v>15</v>
      </c>
      <c r="M8" s="16">
        <f>L8/K8</f>
        <v/>
      </c>
      <c r="N8" s="16">
        <f>L8/J8</f>
        <v/>
      </c>
      <c r="O8" s="18" t="n">
        <v>10</v>
      </c>
      <c r="P8" s="18" t="n">
        <v>1</v>
      </c>
      <c r="Q8" s="16">
        <f>P8/O8</f>
        <v/>
      </c>
      <c r="R8" s="1" t="n">
        <v>1445</v>
      </c>
      <c r="S8" s="1" t="n">
        <v>21</v>
      </c>
      <c r="T8" s="1" t="n">
        <v>1</v>
      </c>
      <c r="U8" s="1" t="n">
        <v>7</v>
      </c>
      <c r="V8" s="1" t="n">
        <v>20</v>
      </c>
      <c r="W8" s="1" t="n">
        <v>5</v>
      </c>
      <c r="X8" s="1" t="n">
        <v>11</v>
      </c>
      <c r="Y8" s="1" t="n">
        <v>1</v>
      </c>
      <c r="Z8" s="1" t="n">
        <v>17</v>
      </c>
      <c r="AA8" s="1" t="n">
        <v>0</v>
      </c>
      <c r="AB8" s="1" t="n">
        <v>1</v>
      </c>
      <c r="AC8" s="1" t="n">
        <v>11</v>
      </c>
      <c r="AD8" s="1" t="n">
        <v>1</v>
      </c>
      <c r="AE8" s="1" t="n">
        <v>4</v>
      </c>
      <c r="AF8" s="1" t="n">
        <v>4</v>
      </c>
      <c r="AG8" s="1" t="n">
        <v>3</v>
      </c>
      <c r="AH8" s="1" t="n">
        <v>2</v>
      </c>
      <c r="AI8" s="1" t="n">
        <v>0</v>
      </c>
      <c r="AJ8" s="1" t="n">
        <v>2</v>
      </c>
      <c r="AK8" s="1" t="n">
        <v>5</v>
      </c>
      <c r="AL8" s="1" t="n">
        <v>3</v>
      </c>
      <c r="AM8" s="1" t="n">
        <v>0</v>
      </c>
    </row>
    <row r="9">
      <c r="A9" s="1" t="inlineStr">
        <is>
          <t>stomach cancer</t>
        </is>
      </c>
      <c r="B9" s="1" t="inlineStr">
        <is>
          <t>EFO_0003897</t>
        </is>
      </c>
      <c r="C9" s="1" t="inlineStr">
        <is>
          <t>synonym</t>
        </is>
      </c>
      <c r="D9" s="1" t="n">
        <v>0.05</v>
      </c>
      <c r="E9" s="15" t="n">
        <v>12</v>
      </c>
      <c r="F9" s="15" t="n">
        <v>118</v>
      </c>
      <c r="G9" s="15" t="n">
        <v>3</v>
      </c>
      <c r="H9" s="16">
        <f>G9/F9</f>
        <v/>
      </c>
      <c r="I9" s="16">
        <f>G9/E9</f>
        <v/>
      </c>
      <c r="J9" s="17" t="n">
        <v>6</v>
      </c>
      <c r="K9" s="17" t="n">
        <v>172</v>
      </c>
      <c r="L9" s="17" t="n">
        <v>1</v>
      </c>
      <c r="M9" s="16">
        <f>L9/K9</f>
        <v/>
      </c>
      <c r="N9" s="16">
        <f>L9/J9</f>
        <v/>
      </c>
      <c r="O9" s="18" t="n">
        <v>5</v>
      </c>
      <c r="P9" s="18" t="n">
        <v>1</v>
      </c>
      <c r="Q9" s="16">
        <f>P9/O9</f>
        <v/>
      </c>
      <c r="R9" s="1" t="n">
        <v>486</v>
      </c>
      <c r="S9" s="1" t="n">
        <v>3</v>
      </c>
      <c r="T9" s="1" t="n">
        <v>0</v>
      </c>
      <c r="U9" s="1" t="n">
        <v>4</v>
      </c>
      <c r="V9" s="1" t="n">
        <v>12</v>
      </c>
      <c r="W9" s="1" t="n">
        <v>5</v>
      </c>
      <c r="X9" s="1" t="n">
        <v>1</v>
      </c>
      <c r="Y9" s="1" t="n">
        <v>2</v>
      </c>
      <c r="Z9" s="1" t="n">
        <v>7</v>
      </c>
      <c r="AA9" s="1" t="n">
        <v>0</v>
      </c>
      <c r="AB9" s="1" t="n">
        <v>2</v>
      </c>
      <c r="AC9" s="1" t="n">
        <v>3</v>
      </c>
      <c r="AD9" s="1" t="n">
        <v>0</v>
      </c>
      <c r="AE9" s="1" t="n">
        <v>1</v>
      </c>
      <c r="AF9" s="1" t="n">
        <v>1</v>
      </c>
      <c r="AG9" s="1" t="n">
        <v>6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1</v>
      </c>
    </row>
    <row r="10">
      <c r="A10" s="1" t="inlineStr">
        <is>
          <t>acute T cell leukemia</t>
        </is>
      </c>
      <c r="B10" s="1" t="inlineStr">
        <is>
          <t>EFO_0000209</t>
        </is>
      </c>
      <c r="C10" s="1" t="inlineStr">
        <is>
          <t>synonym</t>
        </is>
      </c>
      <c r="D10" s="1" t="n">
        <v>0.05</v>
      </c>
      <c r="E10" s="15" t="n">
        <v>9</v>
      </c>
      <c r="F10" s="15" t="n">
        <v>114</v>
      </c>
      <c r="G10" s="15" t="n">
        <v>3</v>
      </c>
      <c r="H10" s="16">
        <f>G10/F10</f>
        <v/>
      </c>
      <c r="I10" s="16">
        <f>G10/E10</f>
        <v/>
      </c>
      <c r="J10" s="17" t="n">
        <v>12</v>
      </c>
      <c r="K10" s="17" t="n">
        <v>0</v>
      </c>
      <c r="L10" s="17" t="n">
        <v>0</v>
      </c>
      <c r="M10" s="16">
        <f>L10/K10</f>
        <v/>
      </c>
      <c r="N10" s="16">
        <f>L10/J10</f>
        <v/>
      </c>
      <c r="O10" s="18" t="n">
        <v>0</v>
      </c>
      <c r="P10" s="18" t="n">
        <v>0</v>
      </c>
      <c r="Q10" s="16">
        <f>P10/O10</f>
        <v/>
      </c>
      <c r="R10" s="1" t="n">
        <v>576</v>
      </c>
      <c r="S10" s="1" t="n">
        <v>3</v>
      </c>
      <c r="T10" s="1" t="n">
        <v>0</v>
      </c>
      <c r="U10" s="1" t="n">
        <v>1</v>
      </c>
      <c r="V10" s="1" t="n">
        <v>5</v>
      </c>
      <c r="W10" s="1" t="n">
        <v>0</v>
      </c>
      <c r="X10" s="1" t="n">
        <v>0</v>
      </c>
      <c r="Y10" s="1" t="n">
        <v>1</v>
      </c>
      <c r="Z10" s="1" t="n">
        <v>3</v>
      </c>
      <c r="AA10" s="1" t="n">
        <v>0</v>
      </c>
      <c r="AB10" s="1" t="n">
        <v>0</v>
      </c>
      <c r="AC10" s="1" t="n">
        <v>1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1</v>
      </c>
      <c r="AI10" s="1" t="n">
        <v>0</v>
      </c>
      <c r="AJ10" s="1" t="n">
        <v>4</v>
      </c>
      <c r="AK10" s="1" t="n">
        <v>15</v>
      </c>
      <c r="AL10" s="1" t="n">
        <v>6</v>
      </c>
      <c r="AM10" s="1" t="n">
        <v>1</v>
      </c>
    </row>
    <row r="11">
      <c r="A11" s="1" t="inlineStr">
        <is>
          <t>adenosquamous cell lung carcinoma</t>
        </is>
      </c>
      <c r="B11" s="1" t="inlineStr">
        <is>
          <t>EFO_0000233</t>
        </is>
      </c>
      <c r="C11" s="1" t="inlineStr">
        <is>
          <t>synonym</t>
        </is>
      </c>
      <c r="D11" s="1" t="n">
        <v>0.05</v>
      </c>
      <c r="E11" s="15" t="n">
        <v>6</v>
      </c>
      <c r="F11" s="15" t="n">
        <v>370</v>
      </c>
      <c r="G11" s="15" t="n">
        <v>6</v>
      </c>
      <c r="H11" s="16">
        <f>G11/F11</f>
        <v/>
      </c>
      <c r="I11" s="16">
        <f>G11/E11</f>
        <v/>
      </c>
      <c r="J11" s="17" t="n">
        <v>4</v>
      </c>
      <c r="K11" s="17" t="n">
        <v>19</v>
      </c>
      <c r="L11" s="17" t="n">
        <v>1</v>
      </c>
      <c r="M11" s="16">
        <f>L11/K11</f>
        <v/>
      </c>
      <c r="N11" s="16">
        <f>L11/J11</f>
        <v/>
      </c>
      <c r="O11" s="18" t="n">
        <v>0</v>
      </c>
      <c r="P11" s="18" t="n">
        <v>0</v>
      </c>
      <c r="Q11" s="16">
        <f>P11/O11</f>
        <v/>
      </c>
      <c r="R11" s="1" t="n">
        <v>261</v>
      </c>
      <c r="S11" s="1" t="n">
        <v>7</v>
      </c>
      <c r="T11" s="1" t="n">
        <v>0</v>
      </c>
      <c r="U11" s="1" t="n">
        <v>2</v>
      </c>
      <c r="V11" s="1" t="n">
        <v>7</v>
      </c>
      <c r="W11" s="1" t="n">
        <v>2</v>
      </c>
      <c r="X11" s="1" t="n">
        <v>0</v>
      </c>
      <c r="Y11" s="1" t="n">
        <v>3</v>
      </c>
      <c r="Z11" s="1" t="n">
        <v>8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</row>
    <row r="12">
      <c r="A12" s="1" t="inlineStr">
        <is>
          <t>alcoholic hepatitis</t>
        </is>
      </c>
      <c r="B12" s="1" t="inlineStr">
        <is>
          <t>EFO_1001345</t>
        </is>
      </c>
      <c r="C12" s="1" t="inlineStr">
        <is>
          <t>synonym</t>
        </is>
      </c>
      <c r="D12" s="1" t="n">
        <v>0.05</v>
      </c>
      <c r="E12" s="15" t="n">
        <v>1</v>
      </c>
      <c r="F12" s="15" t="n">
        <v>251</v>
      </c>
      <c r="G12" s="15" t="n">
        <v>0</v>
      </c>
      <c r="H12" s="16">
        <f>G12/F12</f>
        <v/>
      </c>
      <c r="I12" s="16">
        <f>G12/E12</f>
        <v/>
      </c>
      <c r="J12" s="17" t="n">
        <v>4</v>
      </c>
      <c r="K12" s="17" t="n">
        <v>6</v>
      </c>
      <c r="L12" s="17" t="n">
        <v>0</v>
      </c>
      <c r="M12" s="16">
        <f>L12/K12</f>
        <v/>
      </c>
      <c r="N12" s="16">
        <f>L12/J12</f>
        <v/>
      </c>
      <c r="O12" s="18" t="n">
        <v>0</v>
      </c>
      <c r="P12" s="18" t="n">
        <v>0</v>
      </c>
      <c r="Q12" s="16">
        <f>P12/O12</f>
        <v/>
      </c>
      <c r="R12" s="1" t="n">
        <v>142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3</v>
      </c>
      <c r="AK12" s="1" t="n">
        <v>0</v>
      </c>
      <c r="AL12" s="1" t="n">
        <v>0</v>
      </c>
      <c r="AM12" s="1" t="n">
        <v>2</v>
      </c>
    </row>
    <row r="13">
      <c r="A13" s="1" t="inlineStr">
        <is>
          <t>Alzheimer's disease</t>
        </is>
      </c>
      <c r="B13" s="1" t="inlineStr">
        <is>
          <t>MONDO_0004975</t>
        </is>
      </c>
      <c r="C13" s="1" t="inlineStr">
        <is>
          <t>synonym</t>
        </is>
      </c>
      <c r="D13" s="1" t="n">
        <v>0.05</v>
      </c>
      <c r="E13" s="15" t="n">
        <v>13</v>
      </c>
      <c r="F13" s="15" t="n">
        <v>283</v>
      </c>
      <c r="G13" s="15" t="n">
        <v>7</v>
      </c>
      <c r="H13" s="16">
        <f>G13/F13</f>
        <v/>
      </c>
      <c r="I13" s="16">
        <f>G13/E13</f>
        <v/>
      </c>
      <c r="J13" s="17" t="n">
        <v>37</v>
      </c>
      <c r="K13" s="17" t="n">
        <v>40</v>
      </c>
      <c r="L13" s="17" t="n">
        <v>1</v>
      </c>
      <c r="M13" s="16">
        <f>L13/K13</f>
        <v/>
      </c>
      <c r="N13" s="16">
        <f>L13/J13</f>
        <v/>
      </c>
      <c r="O13" s="18" t="n">
        <v>1</v>
      </c>
      <c r="P13" s="18" t="n">
        <v>0</v>
      </c>
      <c r="Q13" s="16">
        <f>P13/O13</f>
        <v/>
      </c>
      <c r="R13" s="1" t="n">
        <v>1595</v>
      </c>
      <c r="S13" s="1" t="n">
        <v>8</v>
      </c>
      <c r="T13" s="1" t="n">
        <v>2</v>
      </c>
      <c r="U13" s="1" t="n">
        <v>3</v>
      </c>
      <c r="V13" s="1" t="n">
        <v>4</v>
      </c>
      <c r="W13" s="1" t="n">
        <v>6</v>
      </c>
      <c r="X13" s="1" t="n">
        <v>0</v>
      </c>
      <c r="Y13" s="1" t="n">
        <v>0</v>
      </c>
      <c r="Z13" s="1" t="n">
        <v>9</v>
      </c>
      <c r="AA13" s="1" t="n">
        <v>1</v>
      </c>
      <c r="AB13" s="1" t="n">
        <v>0</v>
      </c>
      <c r="AC13" s="1" t="n">
        <v>0</v>
      </c>
      <c r="AD13" s="1" t="n">
        <v>0</v>
      </c>
      <c r="AE13" s="1" t="n">
        <v>3</v>
      </c>
      <c r="AF13" s="1" t="n">
        <v>0</v>
      </c>
      <c r="AG13" s="1" t="n">
        <v>1</v>
      </c>
      <c r="AH13" s="1" t="n">
        <v>1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</row>
    <row r="14">
      <c r="A14" s="1" t="inlineStr">
        <is>
          <t>anaplastic thyroid carcinoma</t>
        </is>
      </c>
      <c r="B14" s="1" t="inlineStr">
        <is>
          <t>EFO_1000595</t>
        </is>
      </c>
      <c r="C14" s="1" t="inlineStr">
        <is>
          <t>synonym</t>
        </is>
      </c>
      <c r="D14" s="1" t="n">
        <v>0.05</v>
      </c>
      <c r="E14" s="15" t="n">
        <v>6</v>
      </c>
      <c r="F14" s="15" t="n">
        <v>272</v>
      </c>
      <c r="G14" s="15" t="n">
        <v>6</v>
      </c>
      <c r="H14" s="16">
        <f>G14/F14</f>
        <v/>
      </c>
      <c r="I14" s="16">
        <f>G14/E14</f>
        <v/>
      </c>
      <c r="J14" s="17" t="n">
        <v>2</v>
      </c>
      <c r="K14" s="17" t="n">
        <v>8</v>
      </c>
      <c r="L14" s="17" t="n">
        <v>0</v>
      </c>
      <c r="M14" s="16">
        <f>L14/K14</f>
        <v/>
      </c>
      <c r="N14" s="16">
        <f>L14/J14</f>
        <v/>
      </c>
      <c r="O14" s="18" t="n">
        <v>1</v>
      </c>
      <c r="P14" s="18" t="n">
        <v>0</v>
      </c>
      <c r="Q14" s="16">
        <f>P14/O14</f>
        <v/>
      </c>
      <c r="R14" s="1" t="n">
        <v>113</v>
      </c>
      <c r="S14" s="1" t="n">
        <v>6</v>
      </c>
      <c r="T14" s="1" t="n">
        <v>2</v>
      </c>
      <c r="U14" s="1" t="n">
        <v>0</v>
      </c>
      <c r="V14" s="1" t="n">
        <v>4</v>
      </c>
      <c r="W14" s="1" t="n">
        <v>0</v>
      </c>
      <c r="X14" s="1" t="n">
        <v>0</v>
      </c>
      <c r="Y14" s="1" t="n">
        <v>2</v>
      </c>
      <c r="Z14" s="1" t="n">
        <v>2</v>
      </c>
      <c r="AA14" s="1" t="n">
        <v>0</v>
      </c>
      <c r="AB14" s="1" t="n">
        <v>0</v>
      </c>
      <c r="AC14" s="1" t="n">
        <v>2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</row>
    <row r="15">
      <c r="A15" s="1" t="inlineStr">
        <is>
          <t>anterior horn cell disease</t>
        </is>
      </c>
      <c r="B15" s="1" t="inlineStr">
        <is>
          <t>EFO_0003782</t>
        </is>
      </c>
      <c r="C15" s="1" t="inlineStr">
        <is>
          <t>synonym</t>
        </is>
      </c>
      <c r="D15" s="1" t="n">
        <v>0.05</v>
      </c>
      <c r="E15" s="15" t="n">
        <v>0</v>
      </c>
      <c r="F15" s="15" t="n">
        <v>242</v>
      </c>
      <c r="G15" s="15" t="n">
        <v>0</v>
      </c>
      <c r="H15" s="16">
        <f>G15/F15</f>
        <v/>
      </c>
      <c r="I15" s="16">
        <f>G15/E15</f>
        <v/>
      </c>
      <c r="J15" s="17" t="n">
        <v>0</v>
      </c>
      <c r="K15" s="17" t="n">
        <v>47</v>
      </c>
      <c r="L15" s="17" t="n">
        <v>0</v>
      </c>
      <c r="M15" s="16">
        <f>L15/K15</f>
        <v/>
      </c>
      <c r="N15" s="16">
        <f>L15/J15</f>
        <v/>
      </c>
      <c r="O15" s="18" t="n">
        <v>0</v>
      </c>
      <c r="P15" s="18" t="n">
        <v>0</v>
      </c>
      <c r="Q15" s="16">
        <f>P15/O15</f>
        <v/>
      </c>
      <c r="R15" s="1" t="n">
        <v>38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1</v>
      </c>
      <c r="AJ15" s="1" t="n">
        <v>11</v>
      </c>
      <c r="AK15" s="1" t="n">
        <v>0</v>
      </c>
      <c r="AL15" s="1" t="n">
        <v>3</v>
      </c>
      <c r="AM15" s="1" t="n">
        <v>4</v>
      </c>
    </row>
    <row r="16">
      <c r="A16" s="1" t="inlineStr">
        <is>
          <t>atopic dermatitis</t>
        </is>
      </c>
      <c r="B16" s="1" t="inlineStr">
        <is>
          <t>EFO_0000274</t>
        </is>
      </c>
      <c r="C16" s="1" t="inlineStr">
        <is>
          <t>synonym</t>
        </is>
      </c>
      <c r="D16" s="1" t="n">
        <v>0.05</v>
      </c>
      <c r="E16" s="15" t="n">
        <v>10</v>
      </c>
      <c r="F16" s="15" t="n">
        <v>354</v>
      </c>
      <c r="G16" s="15" t="n">
        <v>9</v>
      </c>
      <c r="H16" s="16">
        <f>G16/F16</f>
        <v/>
      </c>
      <c r="I16" s="16">
        <f>G16/E16</f>
        <v/>
      </c>
      <c r="J16" s="17" t="n">
        <v>24</v>
      </c>
      <c r="K16" s="17" t="n">
        <v>1</v>
      </c>
      <c r="L16" s="17" t="n">
        <v>0</v>
      </c>
      <c r="M16" s="16">
        <f>L16/K16</f>
        <v/>
      </c>
      <c r="N16" s="16">
        <f>L16/J16</f>
        <v/>
      </c>
      <c r="O16" s="18" t="n">
        <v>0</v>
      </c>
      <c r="P16" s="18" t="n">
        <v>0</v>
      </c>
      <c r="Q16" s="16">
        <f>P16/O16</f>
        <v/>
      </c>
      <c r="R16" s="1" t="n">
        <v>1175</v>
      </c>
      <c r="S16" s="1" t="n">
        <v>9</v>
      </c>
      <c r="T16" s="1" t="n">
        <v>1</v>
      </c>
      <c r="U16" s="1" t="n">
        <v>5</v>
      </c>
      <c r="V16" s="1" t="n">
        <v>2</v>
      </c>
      <c r="W16" s="1" t="n">
        <v>3</v>
      </c>
      <c r="X16" s="1" t="n">
        <v>2</v>
      </c>
      <c r="Y16" s="1" t="n">
        <v>0</v>
      </c>
      <c r="Z16" s="1" t="n">
        <v>6</v>
      </c>
      <c r="AA16" s="1" t="n">
        <v>0</v>
      </c>
      <c r="AB16" s="1" t="n">
        <v>2</v>
      </c>
      <c r="AC16" s="1" t="n">
        <v>1</v>
      </c>
      <c r="AD16" s="1" t="n">
        <v>0</v>
      </c>
      <c r="AE16" s="1" t="n">
        <v>1</v>
      </c>
      <c r="AF16" s="1" t="n">
        <v>2</v>
      </c>
      <c r="AG16" s="1" t="n">
        <v>0</v>
      </c>
      <c r="AH16" s="1" t="n">
        <v>1</v>
      </c>
      <c r="AI16" s="1" t="n">
        <v>3</v>
      </c>
      <c r="AJ16" s="1" t="n">
        <v>9</v>
      </c>
      <c r="AK16" s="1" t="n">
        <v>2</v>
      </c>
      <c r="AL16" s="1" t="n">
        <v>8</v>
      </c>
      <c r="AM16" s="1" t="n">
        <v>5</v>
      </c>
    </row>
    <row r="17">
      <c r="A17" s="1" t="inlineStr">
        <is>
          <t>autistic disorder</t>
        </is>
      </c>
      <c r="B17" s="1" t="inlineStr">
        <is>
          <t>EFO_0003758</t>
        </is>
      </c>
      <c r="C17" s="1" t="inlineStr">
        <is>
          <t>synonym</t>
        </is>
      </c>
      <c r="D17" s="1" t="n">
        <v>0.05</v>
      </c>
      <c r="E17" s="15" t="n">
        <v>5</v>
      </c>
      <c r="F17" s="15" t="n">
        <v>379</v>
      </c>
      <c r="G17" s="15" t="n">
        <v>5</v>
      </c>
      <c r="H17" s="16">
        <f>G17/F17</f>
        <v/>
      </c>
      <c r="I17" s="16">
        <f>G17/E17</f>
        <v/>
      </c>
      <c r="J17" s="17" t="n">
        <v>17</v>
      </c>
      <c r="K17" s="17" t="n">
        <v>0</v>
      </c>
      <c r="L17" s="17" t="n">
        <v>0</v>
      </c>
      <c r="M17" s="16">
        <f>L17/K17</f>
        <v/>
      </c>
      <c r="N17" s="16">
        <f>L17/J17</f>
        <v/>
      </c>
      <c r="O17" s="18" t="n">
        <v>0</v>
      </c>
      <c r="P17" s="18" t="n">
        <v>0</v>
      </c>
      <c r="Q17" s="16">
        <f>P17/O17</f>
        <v/>
      </c>
      <c r="R17" s="1" t="n">
        <v>475</v>
      </c>
      <c r="S17" s="1" t="n">
        <v>5</v>
      </c>
      <c r="T17" s="1" t="n">
        <v>1</v>
      </c>
      <c r="U17" s="1" t="n">
        <v>0</v>
      </c>
      <c r="V17" s="1" t="n">
        <v>3</v>
      </c>
      <c r="W17" s="1" t="n">
        <v>1</v>
      </c>
      <c r="X17" s="1" t="n">
        <v>0</v>
      </c>
      <c r="Y17" s="1" t="n">
        <v>0</v>
      </c>
      <c r="Z17" s="1" t="n">
        <v>3</v>
      </c>
      <c r="AA17" s="1" t="n">
        <v>0</v>
      </c>
      <c r="AB17" s="1" t="n">
        <v>0</v>
      </c>
      <c r="AC17" s="1" t="n">
        <v>2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</row>
    <row r="18">
      <c r="A18" s="1" t="inlineStr">
        <is>
          <t>bacterial infectious disease</t>
        </is>
      </c>
      <c r="B18" s="1" t="inlineStr">
        <is>
          <t>EFO_0000771</t>
        </is>
      </c>
      <c r="C18" s="1" t="inlineStr">
        <is>
          <t>synonym</t>
        </is>
      </c>
      <c r="D18" s="1" t="n">
        <v>0.05</v>
      </c>
      <c r="E18" s="15" t="n">
        <v>1</v>
      </c>
      <c r="F18" s="15" t="n">
        <v>118</v>
      </c>
      <c r="G18" s="15" t="n">
        <v>0</v>
      </c>
      <c r="H18" s="16">
        <f>G18/F18</f>
        <v/>
      </c>
      <c r="I18" s="16">
        <f>G18/E18</f>
        <v/>
      </c>
      <c r="J18" s="17" t="n">
        <v>1</v>
      </c>
      <c r="K18" s="17" t="n">
        <v>4</v>
      </c>
      <c r="L18" s="17" t="n">
        <v>0</v>
      </c>
      <c r="M18" s="16">
        <f>L18/K18</f>
        <v/>
      </c>
      <c r="N18" s="16">
        <f>L18/J18</f>
        <v/>
      </c>
      <c r="O18" s="18" t="n">
        <v>0</v>
      </c>
      <c r="P18" s="18" t="n">
        <v>0</v>
      </c>
      <c r="Q18" s="16">
        <f>P18/O18</f>
        <v/>
      </c>
      <c r="R18" s="1" t="n">
        <v>41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</row>
    <row r="19">
      <c r="A19" s="1" t="inlineStr">
        <is>
          <t>cervix carcinoma</t>
        </is>
      </c>
      <c r="B19" s="1" t="inlineStr">
        <is>
          <t>EFO_0001061</t>
        </is>
      </c>
      <c r="C19" s="1" t="inlineStr">
        <is>
          <t>synonym</t>
        </is>
      </c>
      <c r="D19" s="1" t="n">
        <v>0.05</v>
      </c>
      <c r="E19" s="15" t="n">
        <v>5</v>
      </c>
      <c r="F19" s="15" t="n">
        <v>0</v>
      </c>
      <c r="G19" s="15" t="n">
        <v>0</v>
      </c>
      <c r="H19" s="16">
        <f>G19/F19</f>
        <v/>
      </c>
      <c r="I19" s="16">
        <f>G19/E19</f>
        <v/>
      </c>
      <c r="J19" s="17" t="n">
        <v>3</v>
      </c>
      <c r="K19" s="17" t="n">
        <v>0</v>
      </c>
      <c r="L19" s="17" t="n">
        <v>0</v>
      </c>
      <c r="M19" s="16">
        <f>L19/K19</f>
        <v/>
      </c>
      <c r="N19" s="16">
        <f>L19/J19</f>
        <v/>
      </c>
      <c r="O19" s="18" t="n">
        <v>0</v>
      </c>
      <c r="P19" s="18" t="n">
        <v>0</v>
      </c>
      <c r="Q19" s="16">
        <f>P19/O19</f>
        <v/>
      </c>
      <c r="R19" s="1" t="n">
        <v>293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</row>
    <row r="20">
      <c r="A20" s="1" t="inlineStr">
        <is>
          <t>childhood type dermatomyositis</t>
        </is>
      </c>
      <c r="B20" s="1" t="inlineStr">
        <is>
          <t>EFO_0000557</t>
        </is>
      </c>
      <c r="C20" s="1" t="inlineStr">
        <is>
          <t>synonym</t>
        </is>
      </c>
      <c r="D20" s="1" t="n">
        <v>0.05</v>
      </c>
      <c r="E20" s="15" t="n">
        <v>2</v>
      </c>
      <c r="F20" s="15" t="n">
        <v>370</v>
      </c>
      <c r="G20" s="15" t="n">
        <v>2</v>
      </c>
      <c r="H20" s="16">
        <f>G20/F20</f>
        <v/>
      </c>
      <c r="I20" s="16">
        <f>G20/E20</f>
        <v/>
      </c>
      <c r="J20" s="17" t="n">
        <v>4</v>
      </c>
      <c r="K20" s="17" t="n">
        <v>7</v>
      </c>
      <c r="L20" s="17" t="n">
        <v>0</v>
      </c>
      <c r="M20" s="16">
        <f>L20/K20</f>
        <v/>
      </c>
      <c r="N20" s="16">
        <f>L20/J20</f>
        <v/>
      </c>
      <c r="O20" s="18" t="n">
        <v>0</v>
      </c>
      <c r="P20" s="18" t="n">
        <v>0</v>
      </c>
      <c r="Q20" s="16">
        <f>P20/O20</f>
        <v/>
      </c>
      <c r="R20" s="1" t="n">
        <v>160</v>
      </c>
      <c r="S20" s="1" t="n">
        <v>2</v>
      </c>
      <c r="T20" s="1" t="n">
        <v>0</v>
      </c>
      <c r="U20" s="1" t="n">
        <v>0</v>
      </c>
      <c r="V20" s="1" t="n">
        <v>0</v>
      </c>
      <c r="W20" s="1" t="n">
        <v>2</v>
      </c>
      <c r="X20" s="1" t="n">
        <v>0</v>
      </c>
      <c r="Y20" s="1" t="n">
        <v>0</v>
      </c>
      <c r="Z20" s="1" t="n">
        <v>2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</row>
    <row r="21">
      <c r="A21" s="1" t="inlineStr">
        <is>
          <t>chronic myeloid leukemia</t>
        </is>
      </c>
      <c r="B21" s="1" t="inlineStr">
        <is>
          <t>EFO_0000339</t>
        </is>
      </c>
      <c r="C21" s="1" t="inlineStr">
        <is>
          <t>synonym</t>
        </is>
      </c>
      <c r="D21" s="1" t="n">
        <v>0.05</v>
      </c>
      <c r="E21" s="15" t="n">
        <v>23</v>
      </c>
      <c r="F21" s="15" t="n">
        <v>259</v>
      </c>
      <c r="G21" s="15" t="n">
        <v>17</v>
      </c>
      <c r="H21" s="16">
        <f>G21/F21</f>
        <v/>
      </c>
      <c r="I21" s="16">
        <f>G21/E21</f>
        <v/>
      </c>
      <c r="J21" s="17" t="n">
        <v>16</v>
      </c>
      <c r="K21" s="17" t="n">
        <v>61</v>
      </c>
      <c r="L21" s="17" t="n">
        <v>3</v>
      </c>
      <c r="M21" s="16">
        <f>L21/K21</f>
        <v/>
      </c>
      <c r="N21" s="16">
        <f>L21/J21</f>
        <v/>
      </c>
      <c r="O21" s="18" t="n">
        <v>2</v>
      </c>
      <c r="P21" s="18" t="n">
        <v>0</v>
      </c>
      <c r="Q21" s="16">
        <f>P21/O21</f>
        <v/>
      </c>
      <c r="R21" s="1" t="n">
        <v>794</v>
      </c>
      <c r="S21" s="1" t="n">
        <v>20</v>
      </c>
      <c r="T21" s="1" t="n">
        <v>0</v>
      </c>
      <c r="U21" s="1" t="n">
        <v>17</v>
      </c>
      <c r="V21" s="1" t="n">
        <v>18</v>
      </c>
      <c r="W21" s="1" t="n">
        <v>9</v>
      </c>
      <c r="X21" s="1" t="n">
        <v>1</v>
      </c>
      <c r="Y21" s="1" t="n">
        <v>6</v>
      </c>
      <c r="Z21" s="1" t="n">
        <v>16</v>
      </c>
      <c r="AA21" s="1" t="n">
        <v>0</v>
      </c>
      <c r="AB21" s="1" t="n">
        <v>2</v>
      </c>
      <c r="AC21" s="1" t="n">
        <v>5</v>
      </c>
      <c r="AD21" s="1" t="n">
        <v>0</v>
      </c>
      <c r="AE21" s="1" t="n">
        <v>10</v>
      </c>
      <c r="AF21" s="1" t="n">
        <v>1</v>
      </c>
      <c r="AG21" s="1" t="n">
        <v>3</v>
      </c>
      <c r="AH21" s="1" t="n">
        <v>2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</row>
    <row r="22">
      <c r="A22" s="1" t="inlineStr">
        <is>
          <t>colon cancer</t>
        </is>
      </c>
      <c r="B22" s="1" t="inlineStr">
        <is>
          <t>EFO_1001950</t>
        </is>
      </c>
      <c r="C22" s="1" t="inlineStr">
        <is>
          <t>synonym</t>
        </is>
      </c>
      <c r="D22" s="1" t="n">
        <v>0.05</v>
      </c>
      <c r="E22" s="15" t="n">
        <v>5</v>
      </c>
      <c r="F22" s="15" t="n">
        <v>224</v>
      </c>
      <c r="G22" s="15" t="n">
        <v>4</v>
      </c>
      <c r="H22" s="16">
        <f>G22/F22</f>
        <v/>
      </c>
      <c r="I22" s="16">
        <f>G22/E22</f>
        <v/>
      </c>
      <c r="J22" s="17" t="n">
        <v>2</v>
      </c>
      <c r="K22" s="17" t="n">
        <v>94</v>
      </c>
      <c r="L22" s="17" t="n">
        <v>0</v>
      </c>
      <c r="M22" s="16">
        <f>L22/K22</f>
        <v/>
      </c>
      <c r="N22" s="16">
        <f>L22/J22</f>
        <v/>
      </c>
      <c r="O22" s="18" t="n">
        <v>4</v>
      </c>
      <c r="P22" s="18" t="n">
        <v>0</v>
      </c>
      <c r="Q22" s="16">
        <f>P22/O22</f>
        <v/>
      </c>
      <c r="R22" s="1" t="n">
        <v>159</v>
      </c>
      <c r="S22" s="1" t="n">
        <v>4</v>
      </c>
      <c r="T22" s="1" t="n">
        <v>0</v>
      </c>
      <c r="U22" s="1" t="n">
        <v>0</v>
      </c>
      <c r="V22" s="1" t="n">
        <v>4</v>
      </c>
      <c r="W22" s="1" t="n">
        <v>0</v>
      </c>
      <c r="X22" s="1" t="n">
        <v>0</v>
      </c>
      <c r="Y22" s="1" t="n">
        <v>1</v>
      </c>
      <c r="Z22" s="1" t="n">
        <v>0</v>
      </c>
      <c r="AA22" s="1" t="n">
        <v>0</v>
      </c>
      <c r="AB22" s="1" t="n">
        <v>0</v>
      </c>
      <c r="AC22" s="1" t="n">
        <v>3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</row>
    <row r="23">
      <c r="A23" s="1" t="inlineStr">
        <is>
          <t>ductal carcinoma in situ</t>
        </is>
      </c>
      <c r="B23" s="1" t="inlineStr">
        <is>
          <t>EFO_0000432</t>
        </is>
      </c>
      <c r="C23" s="1" t="inlineStr">
        <is>
          <t>synonym</t>
        </is>
      </c>
      <c r="D23" s="1" t="n">
        <v>0.05</v>
      </c>
      <c r="E23" s="15" t="n">
        <v>8</v>
      </c>
      <c r="F23" s="15" t="n">
        <v>215</v>
      </c>
      <c r="G23" s="15" t="n">
        <v>4</v>
      </c>
      <c r="H23" s="16">
        <f>G23/F23</f>
        <v/>
      </c>
      <c r="I23" s="16">
        <f>G23/E23</f>
        <v/>
      </c>
      <c r="J23" s="17" t="n">
        <v>10</v>
      </c>
      <c r="K23" s="17" t="n">
        <v>90</v>
      </c>
      <c r="L23" s="17" t="n">
        <v>4</v>
      </c>
      <c r="M23" s="16">
        <f>L23/K23</f>
        <v/>
      </c>
      <c r="N23" s="16">
        <f>L23/J23</f>
        <v/>
      </c>
      <c r="O23" s="18" t="n">
        <v>0</v>
      </c>
      <c r="P23" s="18" t="n">
        <v>0</v>
      </c>
      <c r="Q23" s="16">
        <f>P23/O23</f>
        <v/>
      </c>
      <c r="R23" s="1" t="n">
        <v>425</v>
      </c>
      <c r="S23" s="1" t="n">
        <v>8</v>
      </c>
      <c r="T23" s="1" t="n">
        <v>1</v>
      </c>
      <c r="U23" s="1" t="n">
        <v>2</v>
      </c>
      <c r="V23" s="1" t="n">
        <v>5</v>
      </c>
      <c r="W23" s="1" t="n">
        <v>1</v>
      </c>
      <c r="X23" s="1" t="n">
        <v>0</v>
      </c>
      <c r="Y23" s="1" t="n">
        <v>2</v>
      </c>
      <c r="Z23" s="1" t="n">
        <v>0</v>
      </c>
      <c r="AA23" s="1" t="n">
        <v>0</v>
      </c>
      <c r="AB23" s="1" t="n">
        <v>0</v>
      </c>
      <c r="AC23" s="1" t="n">
        <v>3</v>
      </c>
      <c r="AD23" s="1" t="n">
        <v>0</v>
      </c>
      <c r="AE23" s="1" t="n">
        <v>3</v>
      </c>
      <c r="AF23" s="1" t="n">
        <v>0</v>
      </c>
      <c r="AG23" s="1" t="n">
        <v>0</v>
      </c>
      <c r="AH23" s="1" t="n">
        <v>1</v>
      </c>
      <c r="AI23" s="1" t="n">
        <v>0</v>
      </c>
      <c r="AJ23" s="1" t="n">
        <v>0</v>
      </c>
      <c r="AK23" s="1" t="n">
        <v>1</v>
      </c>
      <c r="AL23" s="1" t="n">
        <v>0</v>
      </c>
      <c r="AM23" s="1" t="n">
        <v>0</v>
      </c>
    </row>
    <row r="24">
      <c r="A24" s="1" t="inlineStr">
        <is>
          <t>Eczema</t>
        </is>
      </c>
      <c r="B24" s="1" t="inlineStr">
        <is>
          <t>EFO_0000274</t>
        </is>
      </c>
      <c r="C24" s="1" t="inlineStr">
        <is>
          <t>synonym</t>
        </is>
      </c>
      <c r="D24" s="1" t="n">
        <v>0.05</v>
      </c>
      <c r="E24" s="15" t="n">
        <v>10</v>
      </c>
      <c r="F24" s="15" t="n">
        <v>374</v>
      </c>
      <c r="G24" s="15" t="n">
        <v>10</v>
      </c>
      <c r="H24" s="16">
        <f>G24/F24</f>
        <v/>
      </c>
      <c r="I24" s="16">
        <f>G24/E24</f>
        <v/>
      </c>
      <c r="J24" s="17" t="n">
        <v>24</v>
      </c>
      <c r="K24" s="17" t="n">
        <v>35</v>
      </c>
      <c r="L24" s="17" t="n">
        <v>0</v>
      </c>
      <c r="M24" s="16">
        <f>L24/K24</f>
        <v/>
      </c>
      <c r="N24" s="16">
        <f>L24/J24</f>
        <v/>
      </c>
      <c r="O24" s="18" t="n">
        <v>2</v>
      </c>
      <c r="P24" s="18" t="n">
        <v>0</v>
      </c>
      <c r="Q24" s="16">
        <f>P24/O24</f>
        <v/>
      </c>
      <c r="R24" s="1" t="n">
        <v>1175</v>
      </c>
      <c r="S24" s="1" t="n">
        <v>10</v>
      </c>
      <c r="T24" s="1" t="n">
        <v>2</v>
      </c>
      <c r="U24" s="1" t="n">
        <v>6</v>
      </c>
      <c r="V24" s="1" t="n">
        <v>2</v>
      </c>
      <c r="W24" s="1" t="n">
        <v>3</v>
      </c>
      <c r="X24" s="1" t="n">
        <v>2</v>
      </c>
      <c r="Y24" s="1" t="n">
        <v>1</v>
      </c>
      <c r="Z24" s="1" t="n">
        <v>7</v>
      </c>
      <c r="AA24" s="1" t="n">
        <v>0</v>
      </c>
      <c r="AB24" s="1" t="n">
        <v>2</v>
      </c>
      <c r="AC24" s="1" t="n">
        <v>1</v>
      </c>
      <c r="AD24" s="1" t="n">
        <v>0</v>
      </c>
      <c r="AE24" s="1" t="n">
        <v>1</v>
      </c>
      <c r="AF24" s="1" t="n">
        <v>2</v>
      </c>
      <c r="AG24" s="1" t="n">
        <v>0</v>
      </c>
      <c r="AH24" s="1" t="n">
        <v>1</v>
      </c>
      <c r="AI24" s="1" t="n">
        <v>0</v>
      </c>
      <c r="AJ24" s="1" t="n">
        <v>3</v>
      </c>
      <c r="AK24" s="1" t="n">
        <v>0</v>
      </c>
      <c r="AL24" s="1" t="n">
        <v>1</v>
      </c>
      <c r="AM24" s="1" t="n">
        <v>1</v>
      </c>
    </row>
    <row r="25">
      <c r="A25" s="1" t="inlineStr">
        <is>
          <t>endometriosis of ovary</t>
        </is>
      </c>
      <c r="B25" s="1" t="inlineStr">
        <is>
          <t>EFO_1000418</t>
        </is>
      </c>
      <c r="C25" s="1" t="inlineStr">
        <is>
          <t>synonym</t>
        </is>
      </c>
      <c r="D25" s="1" t="n">
        <v>0.05</v>
      </c>
      <c r="E25" s="15" t="n">
        <v>0</v>
      </c>
      <c r="F25" s="15" t="n">
        <v>161</v>
      </c>
      <c r="G25" s="15" t="n">
        <v>0</v>
      </c>
      <c r="H25" s="16">
        <f>G25/F25</f>
        <v/>
      </c>
      <c r="I25" s="16">
        <f>G25/E25</f>
        <v/>
      </c>
      <c r="J25" s="17" t="n">
        <v>0</v>
      </c>
      <c r="K25" s="17" t="n">
        <v>5</v>
      </c>
      <c r="L25" s="17" t="n">
        <v>0</v>
      </c>
      <c r="M25" s="16">
        <f>L25/K25</f>
        <v/>
      </c>
      <c r="N25" s="16">
        <f>L25/J25</f>
        <v/>
      </c>
      <c r="O25" s="18" t="n">
        <v>0</v>
      </c>
      <c r="P25" s="18" t="n">
        <v>0</v>
      </c>
      <c r="Q25" s="16">
        <f>P25/O25</f>
        <v/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0</v>
      </c>
      <c r="AL25" s="1" t="n">
        <v>0</v>
      </c>
      <c r="AM25" s="1" t="n">
        <v>0</v>
      </c>
    </row>
    <row r="26">
      <c r="A26" s="1" t="inlineStr">
        <is>
          <t>esophagus adenocarcinoma</t>
        </is>
      </c>
      <c r="B26" s="1" t="inlineStr">
        <is>
          <t>EFO_0000478</t>
        </is>
      </c>
      <c r="C26" s="1" t="inlineStr">
        <is>
          <t>synonym</t>
        </is>
      </c>
      <c r="D26" s="1" t="n">
        <v>0.05</v>
      </c>
      <c r="E26" s="15" t="n">
        <v>6</v>
      </c>
      <c r="F26" s="15" t="n">
        <v>280</v>
      </c>
      <c r="G26" s="15" t="n">
        <v>5</v>
      </c>
      <c r="H26" s="16">
        <f>G26/F26</f>
        <v/>
      </c>
      <c r="I26" s="16">
        <f>G26/E26</f>
        <v/>
      </c>
      <c r="J26" s="17" t="n">
        <v>3</v>
      </c>
      <c r="K26" s="17" t="n">
        <v>114</v>
      </c>
      <c r="L26" s="17" t="n">
        <v>0</v>
      </c>
      <c r="M26" s="16">
        <f>L26/K26</f>
        <v/>
      </c>
      <c r="N26" s="16">
        <f>L26/J26</f>
        <v/>
      </c>
      <c r="O26" s="18" t="n">
        <v>4</v>
      </c>
      <c r="P26" s="18" t="n">
        <v>0</v>
      </c>
      <c r="Q26" s="16">
        <f>P26/O26</f>
        <v/>
      </c>
      <c r="R26" s="1" t="n">
        <v>382</v>
      </c>
      <c r="S26" s="1" t="n">
        <v>5</v>
      </c>
      <c r="T26" s="1" t="n">
        <v>0</v>
      </c>
      <c r="U26" s="1" t="n">
        <v>6</v>
      </c>
      <c r="V26" s="1" t="n">
        <v>5</v>
      </c>
      <c r="W26" s="1" t="n">
        <v>1</v>
      </c>
      <c r="X26" s="1" t="n">
        <v>0</v>
      </c>
      <c r="Y26" s="1" t="n">
        <v>1</v>
      </c>
      <c r="Z26" s="1" t="n">
        <v>1</v>
      </c>
      <c r="AA26" s="1" t="n">
        <v>0</v>
      </c>
      <c r="AB26" s="1" t="n">
        <v>3</v>
      </c>
      <c r="AC26" s="1" t="n">
        <v>2</v>
      </c>
      <c r="AD26" s="1" t="n">
        <v>0</v>
      </c>
      <c r="AE26" s="1" t="n">
        <v>4</v>
      </c>
      <c r="AF26" s="1" t="n">
        <v>0</v>
      </c>
      <c r="AG26" s="1" t="n">
        <v>0</v>
      </c>
      <c r="AH26" s="1" t="n">
        <v>1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</row>
    <row r="27">
      <c r="A27" s="1" t="inlineStr">
        <is>
          <t>esophagus squamous cell carcinoma</t>
        </is>
      </c>
      <c r="B27" s="1" t="inlineStr">
        <is>
          <t>EFO_0005922</t>
        </is>
      </c>
      <c r="C27" s="1" t="inlineStr">
        <is>
          <t>synonym</t>
        </is>
      </c>
      <c r="D27" s="1" t="n">
        <v>0.05</v>
      </c>
      <c r="E27" s="15" t="n">
        <v>12</v>
      </c>
      <c r="F27" s="15" t="n">
        <v>201</v>
      </c>
      <c r="G27" s="15" t="n">
        <v>3</v>
      </c>
      <c r="H27" s="16">
        <f>G27/F27</f>
        <v/>
      </c>
      <c r="I27" s="16">
        <f>G27/E27</f>
        <v/>
      </c>
      <c r="J27" s="17" t="n">
        <v>7</v>
      </c>
      <c r="K27" s="17" t="n">
        <v>134</v>
      </c>
      <c r="L27" s="17" t="n">
        <v>0</v>
      </c>
      <c r="M27" s="16">
        <f>L27/K27</f>
        <v/>
      </c>
      <c r="N27" s="16">
        <f>L27/J27</f>
        <v/>
      </c>
      <c r="O27" s="18" t="n">
        <v>3</v>
      </c>
      <c r="P27" s="18" t="n">
        <v>0</v>
      </c>
      <c r="Q27" s="16">
        <f>P27/O27</f>
        <v/>
      </c>
      <c r="R27" s="1" t="n">
        <v>512</v>
      </c>
      <c r="S27" s="1" t="n">
        <v>3</v>
      </c>
      <c r="T27" s="1" t="n">
        <v>1</v>
      </c>
      <c r="U27" s="1" t="n">
        <v>8</v>
      </c>
      <c r="V27" s="1" t="n">
        <v>12</v>
      </c>
      <c r="W27" s="1" t="n">
        <v>7</v>
      </c>
      <c r="X27" s="1" t="n">
        <v>0</v>
      </c>
      <c r="Y27" s="1" t="n">
        <v>4</v>
      </c>
      <c r="Z27" s="1" t="n">
        <v>6</v>
      </c>
      <c r="AA27" s="1" t="n">
        <v>1</v>
      </c>
      <c r="AB27" s="1" t="n">
        <v>3</v>
      </c>
      <c r="AC27" s="1" t="n">
        <v>7</v>
      </c>
      <c r="AD27" s="1" t="n">
        <v>1</v>
      </c>
      <c r="AE27" s="1" t="n">
        <v>2</v>
      </c>
      <c r="AF27" s="1" t="n">
        <v>0</v>
      </c>
      <c r="AG27" s="1" t="n">
        <v>2</v>
      </c>
      <c r="AH27" s="1" t="n">
        <v>2</v>
      </c>
      <c r="AI27" s="1" t="n">
        <v>0</v>
      </c>
      <c r="AJ27" s="1" t="n">
        <v>2</v>
      </c>
      <c r="AK27" s="1" t="n">
        <v>4</v>
      </c>
      <c r="AL27" s="1" t="n">
        <v>0</v>
      </c>
      <c r="AM27" s="1" t="n">
        <v>1</v>
      </c>
    </row>
    <row r="28">
      <c r="A28" s="1" t="inlineStr">
        <is>
          <t>hemorrhagic thrombocythemia</t>
        </is>
      </c>
      <c r="B28" s="1" t="inlineStr">
        <is>
          <t>EFO_0000479</t>
        </is>
      </c>
      <c r="C28" s="1" t="inlineStr">
        <is>
          <t>synonym</t>
        </is>
      </c>
      <c r="D28" s="1" t="n">
        <v>0.05</v>
      </c>
      <c r="E28" s="15" t="n">
        <v>3</v>
      </c>
      <c r="F28" s="15" t="n">
        <v>41</v>
      </c>
      <c r="G28" s="15" t="n">
        <v>0</v>
      </c>
      <c r="H28" s="16">
        <f>G28/F28</f>
        <v/>
      </c>
      <c r="I28" s="16">
        <f>G28/E28</f>
        <v/>
      </c>
      <c r="J28" s="17" t="n">
        <v>4</v>
      </c>
      <c r="K28" s="17" t="n">
        <v>11</v>
      </c>
      <c r="L28" s="17" t="n">
        <v>0</v>
      </c>
      <c r="M28" s="16">
        <f>L28/K28</f>
        <v/>
      </c>
      <c r="N28" s="16">
        <f>L28/J28</f>
        <v/>
      </c>
      <c r="O28" s="18" t="n">
        <v>0</v>
      </c>
      <c r="P28" s="18" t="n">
        <v>0</v>
      </c>
      <c r="Q28" s="16">
        <f>P28/O28</f>
        <v/>
      </c>
      <c r="R28" s="1" t="n">
        <v>207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</row>
    <row r="29">
      <c r="A29" s="1" t="inlineStr">
        <is>
          <t>hepatitis C</t>
        </is>
      </c>
      <c r="B29" s="1" t="inlineStr">
        <is>
          <t>EFO_0003047</t>
        </is>
      </c>
      <c r="C29" s="1" t="inlineStr">
        <is>
          <t>synonym</t>
        </is>
      </c>
      <c r="D29" s="1" t="n">
        <v>0.05</v>
      </c>
      <c r="E29" s="15" t="n">
        <v>7</v>
      </c>
      <c r="F29" s="15" t="n">
        <v>36</v>
      </c>
      <c r="G29" s="15" t="n">
        <v>0</v>
      </c>
      <c r="H29" s="16">
        <f>G29/F29</f>
        <v/>
      </c>
      <c r="I29" s="16">
        <f>G29/E29</f>
        <v/>
      </c>
      <c r="J29" s="17" t="n">
        <v>15</v>
      </c>
      <c r="K29" s="17" t="n">
        <v>62</v>
      </c>
      <c r="L29" s="17" t="n">
        <v>2</v>
      </c>
      <c r="M29" s="16">
        <f>L29/K29</f>
        <v/>
      </c>
      <c r="N29" s="16">
        <f>L29/J29</f>
        <v/>
      </c>
      <c r="O29" s="18" t="n">
        <v>0</v>
      </c>
      <c r="P29" s="18" t="n">
        <v>0</v>
      </c>
      <c r="Q29" s="16">
        <f>P29/O29</f>
        <v/>
      </c>
      <c r="R29" s="1" t="n">
        <v>648</v>
      </c>
      <c r="S29" s="1" t="n">
        <v>2</v>
      </c>
      <c r="T29" s="1" t="n">
        <v>0</v>
      </c>
      <c r="U29" s="1" t="n">
        <v>1</v>
      </c>
      <c r="V29" s="1" t="n">
        <v>1</v>
      </c>
      <c r="W29" s="1" t="n">
        <v>0</v>
      </c>
      <c r="X29" s="1" t="n">
        <v>0</v>
      </c>
      <c r="Y29" s="1" t="n">
        <v>0</v>
      </c>
      <c r="Z29" s="1" t="n">
        <v>1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1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</row>
    <row r="30">
      <c r="A30" s="1" t="inlineStr">
        <is>
          <t>hepatitis C virus related hepatocellular carcinoma</t>
        </is>
      </c>
      <c r="B30" s="1" t="inlineStr">
        <is>
          <t>EFO_0008504</t>
        </is>
      </c>
      <c r="C30" s="1" t="inlineStr">
        <is>
          <t>synonym</t>
        </is>
      </c>
      <c r="D30" s="1" t="n">
        <v>0.05</v>
      </c>
      <c r="E30" s="15" t="n">
        <v>0</v>
      </c>
      <c r="F30" s="15" t="n">
        <v>321</v>
      </c>
      <c r="G30" s="15" t="n">
        <v>0</v>
      </c>
      <c r="H30" s="16">
        <f>G30/F30</f>
        <v/>
      </c>
      <c r="I30" s="16">
        <f>G30/E30</f>
        <v/>
      </c>
      <c r="J30" s="17" t="n">
        <v>0</v>
      </c>
      <c r="K30" s="17" t="n">
        <v>114</v>
      </c>
      <c r="L30" s="17" t="n">
        <v>0</v>
      </c>
      <c r="M30" s="16">
        <f>L30/K30</f>
        <v/>
      </c>
      <c r="N30" s="16">
        <f>L30/J30</f>
        <v/>
      </c>
      <c r="O30" s="18" t="n">
        <v>5</v>
      </c>
      <c r="P30" s="18" t="n">
        <v>0</v>
      </c>
      <c r="Q30" s="16">
        <f>P30/O30</f>
        <v/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</row>
    <row r="31">
      <c r="A31" s="1" t="inlineStr">
        <is>
          <t>HIV encephalitis</t>
        </is>
      </c>
      <c r="B31" s="1" t="inlineStr">
        <is>
          <t>EFO_0002608</t>
        </is>
      </c>
      <c r="C31" s="1" t="inlineStr">
        <is>
          <t>synonym</t>
        </is>
      </c>
      <c r="D31" s="1" t="n">
        <v>0.05</v>
      </c>
      <c r="E31" s="15" t="n">
        <v>0</v>
      </c>
      <c r="F31" s="15" t="n">
        <v>274</v>
      </c>
      <c r="G31" s="15" t="n">
        <v>0</v>
      </c>
      <c r="H31" s="16">
        <f>G31/F31</f>
        <v/>
      </c>
      <c r="I31" s="16">
        <f>G31/E31</f>
        <v/>
      </c>
      <c r="J31" s="17" t="n">
        <v>0</v>
      </c>
      <c r="K31" s="17" t="n">
        <v>1</v>
      </c>
      <c r="L31" s="17" t="n">
        <v>0</v>
      </c>
      <c r="M31" s="16">
        <f>L31/K31</f>
        <v/>
      </c>
      <c r="N31" s="16">
        <f>L31/J31</f>
        <v/>
      </c>
      <c r="O31" s="18" t="n">
        <v>0</v>
      </c>
      <c r="P31" s="18" t="n">
        <v>0</v>
      </c>
      <c r="Q31" s="16">
        <f>P31/O31</f>
        <v/>
      </c>
      <c r="R31" s="1" t="n">
        <v>5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</row>
    <row r="32">
      <c r="A32" s="1" t="inlineStr">
        <is>
          <t>Human immunodeficiency virus infectious disease</t>
        </is>
      </c>
      <c r="B32" s="1" t="inlineStr">
        <is>
          <t>EFO_0000764</t>
        </is>
      </c>
      <c r="C32" s="1" t="inlineStr">
        <is>
          <t>synonym</t>
        </is>
      </c>
      <c r="D32" s="1" t="n">
        <v>0.05</v>
      </c>
      <c r="E32" s="15" t="n">
        <v>19</v>
      </c>
      <c r="F32" s="15" t="n">
        <v>104</v>
      </c>
      <c r="G32" s="15" t="n">
        <v>3</v>
      </c>
      <c r="H32" s="16">
        <f>G32/F32</f>
        <v/>
      </c>
      <c r="I32" s="16">
        <f>G32/E32</f>
        <v/>
      </c>
      <c r="J32" s="17" t="n">
        <v>46</v>
      </c>
      <c r="K32" s="17" t="n">
        <v>128</v>
      </c>
      <c r="L32" s="17" t="n">
        <v>8</v>
      </c>
      <c r="M32" s="16">
        <f>L32/K32</f>
        <v/>
      </c>
      <c r="N32" s="16">
        <f>L32/J32</f>
        <v/>
      </c>
      <c r="O32" s="18" t="n">
        <v>2</v>
      </c>
      <c r="P32" s="18" t="n">
        <v>0</v>
      </c>
      <c r="Q32" s="16">
        <f>P32/O32</f>
        <v/>
      </c>
      <c r="R32" s="1" t="n">
        <v>2224</v>
      </c>
      <c r="S32" s="1" t="n">
        <v>11</v>
      </c>
      <c r="T32" s="1" t="n">
        <v>0</v>
      </c>
      <c r="U32" s="1" t="n">
        <v>12</v>
      </c>
      <c r="V32" s="1" t="n">
        <v>10</v>
      </c>
      <c r="W32" s="1" t="n">
        <v>2</v>
      </c>
      <c r="X32" s="1" t="n">
        <v>0</v>
      </c>
      <c r="Y32" s="1" t="n">
        <v>0</v>
      </c>
      <c r="Z32" s="1" t="n">
        <v>15</v>
      </c>
      <c r="AA32" s="1" t="n">
        <v>0</v>
      </c>
      <c r="AB32" s="1" t="n">
        <v>0</v>
      </c>
      <c r="AC32" s="1" t="n">
        <v>1</v>
      </c>
      <c r="AD32" s="1" t="n">
        <v>0</v>
      </c>
      <c r="AE32" s="1" t="n">
        <v>6</v>
      </c>
      <c r="AF32" s="1" t="n">
        <v>0</v>
      </c>
      <c r="AG32" s="1" t="n">
        <v>1</v>
      </c>
      <c r="AH32" s="1" t="n">
        <v>1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</row>
    <row r="33">
      <c r="A33" s="1" t="inlineStr">
        <is>
          <t>Huntington's disease</t>
        </is>
      </c>
      <c r="B33" s="1" t="inlineStr">
        <is>
          <t>MONDO_0007739</t>
        </is>
      </c>
      <c r="C33" s="1" t="inlineStr">
        <is>
          <t>synonym</t>
        </is>
      </c>
      <c r="D33" s="1" t="n">
        <v>0.05</v>
      </c>
      <c r="E33" s="15" t="n">
        <v>2</v>
      </c>
      <c r="F33" s="15" t="n">
        <v>0</v>
      </c>
      <c r="G33" s="15" t="n">
        <v>0</v>
      </c>
      <c r="H33" s="16">
        <f>G33/F33</f>
        <v/>
      </c>
      <c r="I33" s="16">
        <f>G33/E33</f>
        <v/>
      </c>
      <c r="J33" s="17" t="n">
        <v>11</v>
      </c>
      <c r="K33" s="17" t="n">
        <v>0</v>
      </c>
      <c r="L33" s="17" t="n">
        <v>0</v>
      </c>
      <c r="M33" s="16">
        <f>L33/K33</f>
        <v/>
      </c>
      <c r="N33" s="16">
        <f>L33/J33</f>
        <v/>
      </c>
      <c r="O33" s="18" t="n">
        <v>0</v>
      </c>
      <c r="P33" s="18" t="n">
        <v>0</v>
      </c>
      <c r="Q33" s="16">
        <f>P33/O33</f>
        <v/>
      </c>
      <c r="R33" s="1" t="n">
        <v>240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20</v>
      </c>
      <c r="AK33" s="1" t="n">
        <v>1</v>
      </c>
      <c r="AL33" s="1" t="n">
        <v>12</v>
      </c>
      <c r="AM33" s="1" t="n">
        <v>9</v>
      </c>
    </row>
    <row r="34">
      <c r="A34" s="1" t="inlineStr">
        <is>
          <t>intracranial aneurysm</t>
        </is>
      </c>
      <c r="B34" s="1" t="inlineStr">
        <is>
          <t>EFO_0003870</t>
        </is>
      </c>
      <c r="C34" s="1" t="inlineStr">
        <is>
          <t>synonym</t>
        </is>
      </c>
      <c r="D34" s="1" t="n">
        <v>0.05</v>
      </c>
      <c r="E34" s="15" t="n">
        <v>3</v>
      </c>
      <c r="F34" s="15" t="n">
        <v>329</v>
      </c>
      <c r="G34" s="15" t="n">
        <v>3</v>
      </c>
      <c r="H34" s="16">
        <f>G34/F34</f>
        <v/>
      </c>
      <c r="I34" s="16">
        <f>G34/E34</f>
        <v/>
      </c>
      <c r="J34" s="17" t="n">
        <v>4</v>
      </c>
      <c r="K34" s="17" t="n">
        <v>1</v>
      </c>
      <c r="L34" s="17" t="n">
        <v>0</v>
      </c>
      <c r="M34" s="16">
        <f>L34/K34</f>
        <v/>
      </c>
      <c r="N34" s="16">
        <f>L34/J34</f>
        <v/>
      </c>
      <c r="O34" s="18" t="n">
        <v>0</v>
      </c>
      <c r="P34" s="18" t="n">
        <v>0</v>
      </c>
      <c r="Q34" s="16">
        <f>P34/O34</f>
        <v/>
      </c>
      <c r="R34" s="1" t="n">
        <v>122</v>
      </c>
      <c r="S34" s="1" t="n">
        <v>3</v>
      </c>
      <c r="T34" s="1" t="n">
        <v>0</v>
      </c>
      <c r="U34" s="1" t="n">
        <v>0</v>
      </c>
      <c r="V34" s="1" t="n">
        <v>1</v>
      </c>
      <c r="W34" s="1" t="n">
        <v>4</v>
      </c>
      <c r="X34" s="1" t="n">
        <v>0</v>
      </c>
      <c r="Y34" s="1" t="n">
        <v>0</v>
      </c>
      <c r="Z34" s="1" t="n">
        <v>2</v>
      </c>
      <c r="AA34" s="1" t="n">
        <v>0</v>
      </c>
      <c r="AB34" s="1" t="n">
        <v>1</v>
      </c>
      <c r="AC34" s="1" t="n">
        <v>1</v>
      </c>
      <c r="AD34" s="1" t="n">
        <v>0</v>
      </c>
      <c r="AE34" s="1" t="n">
        <v>0</v>
      </c>
      <c r="AF34" s="1" t="n">
        <v>0</v>
      </c>
      <c r="AG34" s="1" t="n">
        <v>1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</row>
    <row r="35">
      <c r="A35" s="1" t="inlineStr">
        <is>
          <t>invasive ductal carcinoma</t>
        </is>
      </c>
      <c r="B35" s="1" t="inlineStr">
        <is>
          <t>EFO_0000186</t>
        </is>
      </c>
      <c r="C35" s="1" t="inlineStr">
        <is>
          <t>synonym</t>
        </is>
      </c>
      <c r="D35" s="1" t="n">
        <v>0.05</v>
      </c>
      <c r="E35" s="15" t="n">
        <v>4</v>
      </c>
      <c r="F35" s="15" t="n">
        <v>239</v>
      </c>
      <c r="G35" s="15" t="n">
        <v>2</v>
      </c>
      <c r="H35" s="16">
        <f>G35/F35</f>
        <v/>
      </c>
      <c r="I35" s="16">
        <f>G35/E35</f>
        <v/>
      </c>
      <c r="J35" s="17" t="n">
        <v>4</v>
      </c>
      <c r="K35" s="17" t="n">
        <v>177</v>
      </c>
      <c r="L35" s="17" t="n">
        <v>2</v>
      </c>
      <c r="M35" s="16">
        <f>L35/K35</f>
        <v/>
      </c>
      <c r="N35" s="16">
        <f>L35/J35</f>
        <v/>
      </c>
      <c r="O35" s="18" t="n">
        <v>6</v>
      </c>
      <c r="P35" s="18" t="n">
        <v>0</v>
      </c>
      <c r="Q35" s="16">
        <f>P35/O35</f>
        <v/>
      </c>
      <c r="R35" s="1" t="n">
        <v>106</v>
      </c>
      <c r="S35" s="1" t="n">
        <v>4</v>
      </c>
      <c r="T35" s="1" t="n">
        <v>0</v>
      </c>
      <c r="U35" s="1" t="n">
        <v>2</v>
      </c>
      <c r="V35" s="1" t="n">
        <v>0</v>
      </c>
      <c r="W35" s="1" t="n">
        <v>3</v>
      </c>
      <c r="X35" s="1" t="n">
        <v>0</v>
      </c>
      <c r="Y35" s="1" t="n">
        <v>4</v>
      </c>
      <c r="Z35" s="1" t="n">
        <v>1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2</v>
      </c>
      <c r="AK35" s="1" t="n">
        <v>3</v>
      </c>
      <c r="AL35" s="1" t="n">
        <v>2</v>
      </c>
      <c r="AM35" s="1" t="n">
        <v>1</v>
      </c>
    </row>
    <row r="36">
      <c r="A36" s="1" t="inlineStr">
        <is>
          <t>juvenile rheumatoid arthritis</t>
        </is>
      </c>
      <c r="B36" s="1" t="inlineStr">
        <is>
          <t>EFO_0002609</t>
        </is>
      </c>
      <c r="C36" s="1" t="inlineStr">
        <is>
          <t>synonym</t>
        </is>
      </c>
      <c r="D36" s="1" t="n">
        <v>0.05</v>
      </c>
      <c r="E36" s="15" t="n">
        <v>8</v>
      </c>
      <c r="F36" s="15" t="n">
        <v>0</v>
      </c>
      <c r="G36" s="15" t="n">
        <v>0</v>
      </c>
      <c r="H36" s="16">
        <f>G36/F36</f>
        <v/>
      </c>
      <c r="I36" s="16">
        <f>G36/E36</f>
        <v/>
      </c>
      <c r="J36" s="17" t="n">
        <v>13</v>
      </c>
      <c r="K36" s="17" t="n">
        <v>0</v>
      </c>
      <c r="L36" s="17" t="n">
        <v>0</v>
      </c>
      <c r="M36" s="16">
        <f>L36/K36</f>
        <v/>
      </c>
      <c r="N36" s="16">
        <f>L36/J36</f>
        <v/>
      </c>
      <c r="O36" s="18" t="n">
        <v>0</v>
      </c>
      <c r="P36" s="18" t="n">
        <v>0</v>
      </c>
      <c r="Q36" s="16">
        <f>P36/O36</f>
        <v/>
      </c>
      <c r="R36" s="1" t="n">
        <v>893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</row>
    <row r="37">
      <c r="A37" s="1" t="inlineStr">
        <is>
          <t>liver cirrhosis</t>
        </is>
      </c>
      <c r="B37" s="1" t="inlineStr">
        <is>
          <t>EFO_0001422</t>
        </is>
      </c>
      <c r="C37" s="1" t="inlineStr">
        <is>
          <t>synonym</t>
        </is>
      </c>
      <c r="D37" s="1" t="n">
        <v>0.05</v>
      </c>
      <c r="E37" s="15" t="n">
        <v>10</v>
      </c>
      <c r="F37" s="15" t="n">
        <v>21</v>
      </c>
      <c r="G37" s="15" t="n">
        <v>1</v>
      </c>
      <c r="H37" s="16">
        <f>G37/F37</f>
        <v/>
      </c>
      <c r="I37" s="16">
        <f>G37/E37</f>
        <v/>
      </c>
      <c r="J37" s="17" t="n">
        <v>20</v>
      </c>
      <c r="K37" s="17" t="n">
        <v>49</v>
      </c>
      <c r="L37" s="17" t="n">
        <v>1</v>
      </c>
      <c r="M37" s="16">
        <f>L37/K37</f>
        <v/>
      </c>
      <c r="N37" s="16">
        <f>L37/J37</f>
        <v/>
      </c>
      <c r="O37" s="18" t="n">
        <v>1</v>
      </c>
      <c r="P37" s="18" t="n">
        <v>0</v>
      </c>
      <c r="Q37" s="16">
        <f>P37/O37</f>
        <v/>
      </c>
      <c r="R37" s="1" t="n">
        <v>727</v>
      </c>
      <c r="S37" s="1" t="n">
        <v>2</v>
      </c>
      <c r="T37" s="1" t="n">
        <v>0</v>
      </c>
      <c r="U37" s="1" t="n">
        <v>0</v>
      </c>
      <c r="V37" s="1" t="n">
        <v>1</v>
      </c>
      <c r="W37" s="1" t="n">
        <v>0</v>
      </c>
      <c r="X37" s="1" t="n">
        <v>1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1</v>
      </c>
      <c r="AD37" s="1" t="n">
        <v>0</v>
      </c>
      <c r="AE37" s="1" t="n">
        <v>0</v>
      </c>
      <c r="AF37" s="1" t="n">
        <v>1</v>
      </c>
      <c r="AG37" s="1" t="n">
        <v>0</v>
      </c>
      <c r="AH37" s="1" t="n">
        <v>0</v>
      </c>
      <c r="AI37" s="1" t="n">
        <v>0</v>
      </c>
      <c r="AJ37" s="1" t="n">
        <v>4</v>
      </c>
      <c r="AK37" s="1" t="n">
        <v>0</v>
      </c>
      <c r="AL37" s="1" t="n">
        <v>5</v>
      </c>
      <c r="AM37" s="1" t="n">
        <v>5</v>
      </c>
    </row>
    <row r="38">
      <c r="A38" s="1" t="inlineStr">
        <is>
          <t>lung large cell carcinoma</t>
        </is>
      </c>
      <c r="B38" s="1" t="inlineStr">
        <is>
          <t>EFO_0003050</t>
        </is>
      </c>
      <c r="C38" s="1" t="inlineStr">
        <is>
          <t>synonym</t>
        </is>
      </c>
      <c r="D38" s="1" t="n">
        <v>0.05</v>
      </c>
      <c r="E38" s="15" t="n">
        <v>6</v>
      </c>
      <c r="F38" s="15" t="n">
        <v>344</v>
      </c>
      <c r="G38" s="15" t="n">
        <v>5</v>
      </c>
      <c r="H38" s="16">
        <f>G38/F38</f>
        <v/>
      </c>
      <c r="I38" s="16">
        <f>G38/E38</f>
        <v/>
      </c>
      <c r="J38" s="17" t="n">
        <v>3</v>
      </c>
      <c r="K38" s="17" t="n">
        <v>14</v>
      </c>
      <c r="L38" s="17" t="n">
        <v>0</v>
      </c>
      <c r="M38" s="16">
        <f>L38/K38</f>
        <v/>
      </c>
      <c r="N38" s="16">
        <f>L38/J38</f>
        <v/>
      </c>
      <c r="O38" s="18" t="n">
        <v>0</v>
      </c>
      <c r="P38" s="18" t="n">
        <v>0</v>
      </c>
      <c r="Q38" s="16">
        <f>P38/O38</f>
        <v/>
      </c>
      <c r="R38" s="1" t="n">
        <v>250</v>
      </c>
      <c r="S38" s="1" t="n">
        <v>5</v>
      </c>
      <c r="T38" s="1" t="n">
        <v>0</v>
      </c>
      <c r="U38" s="1" t="n">
        <v>1</v>
      </c>
      <c r="V38" s="1" t="n">
        <v>6</v>
      </c>
      <c r="W38" s="1" t="n">
        <v>2</v>
      </c>
      <c r="X38" s="1" t="n">
        <v>0</v>
      </c>
      <c r="Y38" s="1" t="n">
        <v>3</v>
      </c>
      <c r="Z38" s="1" t="n">
        <v>3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3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</row>
    <row r="39">
      <c r="A39" s="1" t="inlineStr">
        <is>
          <t>lung small cell carcinoma</t>
        </is>
      </c>
      <c r="B39" s="1" t="inlineStr">
        <is>
          <t>EFO_0000702</t>
        </is>
      </c>
      <c r="C39" s="1" t="inlineStr">
        <is>
          <t>synonym</t>
        </is>
      </c>
      <c r="D39" s="1" t="n">
        <v>0.05</v>
      </c>
      <c r="E39" s="15" t="n">
        <v>31</v>
      </c>
      <c r="F39" s="15" t="n">
        <v>109</v>
      </c>
      <c r="G39" s="15" t="n">
        <v>7</v>
      </c>
      <c r="H39" s="16">
        <f>G39/F39</f>
        <v/>
      </c>
      <c r="I39" s="16">
        <f>G39/E39</f>
        <v/>
      </c>
      <c r="J39" s="17" t="n">
        <v>18</v>
      </c>
      <c r="K39" s="17" t="n">
        <v>18</v>
      </c>
      <c r="L39" s="17" t="n">
        <v>0</v>
      </c>
      <c r="M39" s="16">
        <f>L39/K39</f>
        <v/>
      </c>
      <c r="N39" s="16">
        <f>L39/J39</f>
        <v/>
      </c>
      <c r="O39" s="18" t="n">
        <v>0</v>
      </c>
      <c r="P39" s="18" t="n">
        <v>0</v>
      </c>
      <c r="Q39" s="16">
        <f>P39/O39</f>
        <v/>
      </c>
      <c r="R39" s="1" t="n">
        <v>1215</v>
      </c>
      <c r="S39" s="1" t="n">
        <v>7</v>
      </c>
      <c r="T39" s="1" t="n">
        <v>0</v>
      </c>
      <c r="U39" s="1" t="n">
        <v>10</v>
      </c>
      <c r="V39" s="1" t="n">
        <v>13</v>
      </c>
      <c r="W39" s="1" t="n">
        <v>5</v>
      </c>
      <c r="X39" s="1" t="n">
        <v>0</v>
      </c>
      <c r="Y39" s="1" t="n">
        <v>1</v>
      </c>
      <c r="Z39" s="1" t="n">
        <v>7</v>
      </c>
      <c r="AA39" s="1" t="n">
        <v>0</v>
      </c>
      <c r="AB39" s="1" t="n">
        <v>4</v>
      </c>
      <c r="AC39" s="1" t="n">
        <v>7</v>
      </c>
      <c r="AD39" s="1" t="n">
        <v>0</v>
      </c>
      <c r="AE39" s="1" t="n">
        <v>4</v>
      </c>
      <c r="AF39" s="1" t="n">
        <v>0</v>
      </c>
      <c r="AG39" s="1" t="n">
        <v>3</v>
      </c>
      <c r="AH39" s="1" t="n">
        <v>2</v>
      </c>
      <c r="AI39" s="1" t="n">
        <v>4</v>
      </c>
      <c r="AJ39" s="1" t="n">
        <v>18</v>
      </c>
      <c r="AK39" s="1" t="n">
        <v>6</v>
      </c>
      <c r="AL39" s="1" t="n">
        <v>12</v>
      </c>
      <c r="AM39" s="1" t="n">
        <v>9</v>
      </c>
    </row>
    <row r="40">
      <c r="A40" s="1" t="inlineStr">
        <is>
          <t>lung squamous cell carcinoma</t>
        </is>
      </c>
      <c r="B40" s="1" t="inlineStr">
        <is>
          <t>EFO_0000708</t>
        </is>
      </c>
      <c r="C40" s="1" t="inlineStr">
        <is>
          <t>synonym</t>
        </is>
      </c>
      <c r="D40" s="1" t="n">
        <v>0.05</v>
      </c>
      <c r="E40" s="15" t="n">
        <v>14</v>
      </c>
      <c r="F40" s="15" t="n">
        <v>361</v>
      </c>
      <c r="G40" s="15" t="n">
        <v>13</v>
      </c>
      <c r="H40" s="16">
        <f>G40/F40</f>
        <v/>
      </c>
      <c r="I40" s="16">
        <f>G40/E40</f>
        <v/>
      </c>
      <c r="J40" s="17" t="n">
        <v>6</v>
      </c>
      <c r="K40" s="17" t="n">
        <v>25</v>
      </c>
      <c r="L40" s="17" t="n">
        <v>0</v>
      </c>
      <c r="M40" s="16">
        <f>L40/K40</f>
        <v/>
      </c>
      <c r="N40" s="16">
        <f>L40/J40</f>
        <v/>
      </c>
      <c r="O40" s="18" t="n">
        <v>0</v>
      </c>
      <c r="P40" s="18" t="n">
        <v>0</v>
      </c>
      <c r="Q40" s="16">
        <f>P40/O40</f>
        <v/>
      </c>
      <c r="R40" s="1" t="n">
        <v>391</v>
      </c>
      <c r="S40" s="1" t="n">
        <v>13</v>
      </c>
      <c r="T40" s="1" t="n">
        <v>0</v>
      </c>
      <c r="U40" s="1" t="n">
        <v>9</v>
      </c>
      <c r="V40" s="1" t="n">
        <v>17</v>
      </c>
      <c r="W40" s="1" t="n">
        <v>4</v>
      </c>
      <c r="X40" s="1" t="n">
        <v>0</v>
      </c>
      <c r="Y40" s="1" t="n">
        <v>3</v>
      </c>
      <c r="Z40" s="1" t="n">
        <v>10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6</v>
      </c>
      <c r="AF40" s="1" t="n">
        <v>0</v>
      </c>
      <c r="AG40" s="1" t="n">
        <v>5</v>
      </c>
      <c r="AH40" s="1" t="n">
        <v>6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</row>
    <row r="41">
      <c r="A41" s="1" t="inlineStr">
        <is>
          <t>mental depression</t>
        </is>
      </c>
      <c r="B41" s="1" t="inlineStr">
        <is>
          <t>MONDO_0002050</t>
        </is>
      </c>
      <c r="C41" s="1" t="inlineStr">
        <is>
          <t>synonym</t>
        </is>
      </c>
      <c r="D41" s="1" t="n">
        <v>0.05</v>
      </c>
      <c r="E41" s="15" t="n">
        <v>13</v>
      </c>
      <c r="F41" s="15" t="n">
        <v>184</v>
      </c>
      <c r="G41" s="15" t="n">
        <v>1</v>
      </c>
      <c r="H41" s="16">
        <f>G41/F41</f>
        <v/>
      </c>
      <c r="I41" s="16">
        <f>G41/E41</f>
        <v/>
      </c>
      <c r="J41" s="17" t="n">
        <v>69</v>
      </c>
      <c r="K41" s="17" t="n">
        <v>15</v>
      </c>
      <c r="L41" s="17" t="n">
        <v>1</v>
      </c>
      <c r="M41" s="16">
        <f>L41/K41</f>
        <v/>
      </c>
      <c r="N41" s="16">
        <f>L41/J41</f>
        <v/>
      </c>
      <c r="O41" s="18" t="n">
        <v>1</v>
      </c>
      <c r="P41" s="18" t="n">
        <v>0</v>
      </c>
      <c r="Q41" s="16">
        <f>P41/O41</f>
        <v/>
      </c>
      <c r="R41" s="1" t="n">
        <v>2252</v>
      </c>
      <c r="S41" s="1" t="n">
        <v>2</v>
      </c>
      <c r="T41" s="1" t="n">
        <v>0</v>
      </c>
      <c r="U41" s="1" t="n">
        <v>1</v>
      </c>
      <c r="V41" s="1" t="n">
        <v>0</v>
      </c>
      <c r="W41" s="1" t="n">
        <v>2</v>
      </c>
      <c r="X41" s="1" t="n">
        <v>2</v>
      </c>
      <c r="Y41" s="1" t="n">
        <v>0</v>
      </c>
      <c r="Z41" s="1" t="n">
        <v>3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1</v>
      </c>
      <c r="AF41" s="1" t="n">
        <v>0</v>
      </c>
      <c r="AG41" s="1" t="n">
        <v>1</v>
      </c>
      <c r="AH41" s="1" t="n">
        <v>0</v>
      </c>
      <c r="AI41" s="1" t="n">
        <v>0</v>
      </c>
      <c r="AJ41" s="1" t="n">
        <v>1</v>
      </c>
      <c r="AK41" s="1" t="n">
        <v>1</v>
      </c>
      <c r="AL41" s="1" t="n">
        <v>1</v>
      </c>
      <c r="AM41" s="1" t="n">
        <v>0</v>
      </c>
    </row>
    <row r="42">
      <c r="A42" s="1" t="inlineStr">
        <is>
          <t>parasitic protozoa infectious disease</t>
        </is>
      </c>
      <c r="B42" s="1" t="inlineStr">
        <is>
          <t>MONDO_0002428</t>
        </is>
      </c>
      <c r="C42" s="1" t="inlineStr">
        <is>
          <t>synonym</t>
        </is>
      </c>
      <c r="D42" s="1" t="n">
        <v>0.05</v>
      </c>
      <c r="E42" s="15" t="n">
        <v>0</v>
      </c>
      <c r="F42" s="15" t="n">
        <v>72</v>
      </c>
      <c r="G42" s="15" t="n">
        <v>0</v>
      </c>
      <c r="H42" s="16">
        <f>G42/F42</f>
        <v/>
      </c>
      <c r="I42" s="16">
        <f>G42/E42</f>
        <v/>
      </c>
      <c r="J42" s="17" t="n">
        <v>0</v>
      </c>
      <c r="K42" s="17" t="n">
        <v>658</v>
      </c>
      <c r="L42" s="17" t="n">
        <v>0</v>
      </c>
      <c r="M42" s="16">
        <f>L42/K42</f>
        <v/>
      </c>
      <c r="N42" s="16">
        <f>L42/J42</f>
        <v/>
      </c>
      <c r="O42" s="18" t="n">
        <v>4</v>
      </c>
      <c r="P42" s="18" t="n">
        <v>0</v>
      </c>
      <c r="Q42" s="16">
        <f>P42/O42</f>
        <v/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1</v>
      </c>
      <c r="AK42" s="1" t="n">
        <v>0</v>
      </c>
      <c r="AL42" s="1" t="n">
        <v>0</v>
      </c>
      <c r="AM42" s="1" t="n">
        <v>0</v>
      </c>
    </row>
    <row r="43">
      <c r="A43" s="1" t="inlineStr">
        <is>
          <t>Premature aging</t>
        </is>
      </c>
      <c r="B43" s="1" t="inlineStr">
        <is>
          <t>MONDO_0019303</t>
        </is>
      </c>
      <c r="C43" s="1" t="inlineStr">
        <is>
          <t>synonym</t>
        </is>
      </c>
      <c r="D43" s="1" t="n">
        <v>0.05</v>
      </c>
      <c r="E43" s="15" t="n">
        <v>0</v>
      </c>
      <c r="F43" s="15" t="n">
        <v>205</v>
      </c>
      <c r="G43" s="15" t="n">
        <v>0</v>
      </c>
      <c r="H43" s="16">
        <f>G43/F43</f>
        <v/>
      </c>
      <c r="I43" s="16">
        <f>G43/E43</f>
        <v/>
      </c>
      <c r="J43" s="17" t="n">
        <v>0</v>
      </c>
      <c r="K43" s="17" t="n">
        <v>272</v>
      </c>
      <c r="L43" s="17" t="n">
        <v>0</v>
      </c>
      <c r="M43" s="16">
        <f>L43/K43</f>
        <v/>
      </c>
      <c r="N43" s="16">
        <f>L43/J43</f>
        <v/>
      </c>
      <c r="O43" s="18" t="n">
        <v>2</v>
      </c>
      <c r="P43" s="18" t="n">
        <v>0</v>
      </c>
      <c r="Q43" s="16">
        <f>P43/O43</f>
        <v/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2</v>
      </c>
      <c r="AK43" s="1" t="n">
        <v>0</v>
      </c>
      <c r="AL43" s="1" t="n">
        <v>0</v>
      </c>
      <c r="AM43" s="1" t="n">
        <v>0</v>
      </c>
    </row>
    <row r="44">
      <c r="A44" s="1" t="inlineStr">
        <is>
          <t>primary open angle glaucoma</t>
        </is>
      </c>
      <c r="B44" s="1" t="inlineStr">
        <is>
          <t>EFO_0004190</t>
        </is>
      </c>
      <c r="C44" s="1" t="inlineStr">
        <is>
          <t>synonym</t>
        </is>
      </c>
      <c r="D44" s="1" t="n">
        <v>0.05</v>
      </c>
      <c r="E44" s="15" t="n">
        <v>3</v>
      </c>
      <c r="F44" s="15" t="n">
        <v>98</v>
      </c>
      <c r="G44" s="15" t="n">
        <v>0</v>
      </c>
      <c r="H44" s="16">
        <f>G44/F44</f>
        <v/>
      </c>
      <c r="I44" s="16">
        <f>G44/E44</f>
        <v/>
      </c>
      <c r="J44" s="17" t="n">
        <v>8</v>
      </c>
      <c r="K44" s="17" t="n">
        <v>292</v>
      </c>
      <c r="L44" s="17" t="n">
        <v>1</v>
      </c>
      <c r="M44" s="16">
        <f>L44/K44</f>
        <v/>
      </c>
      <c r="N44" s="16">
        <f>L44/J44</f>
        <v/>
      </c>
      <c r="O44" s="18" t="n">
        <v>2</v>
      </c>
      <c r="P44" s="18" t="n">
        <v>0</v>
      </c>
      <c r="Q44" s="16">
        <f>P44/O44</f>
        <v/>
      </c>
      <c r="R44" s="1" t="n">
        <v>215</v>
      </c>
      <c r="S44" s="1" t="n">
        <v>1</v>
      </c>
      <c r="T44" s="1" t="n">
        <v>0</v>
      </c>
      <c r="U44" s="1" t="n">
        <v>0</v>
      </c>
      <c r="V44" s="1" t="n">
        <v>0</v>
      </c>
      <c r="W44" s="1" t="n">
        <v>1</v>
      </c>
      <c r="X44" s="1" t="n">
        <v>2</v>
      </c>
      <c r="Y44" s="1" t="n">
        <v>0</v>
      </c>
      <c r="Z44" s="1" t="n">
        <v>1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1</v>
      </c>
      <c r="AG44" s="1" t="n">
        <v>0</v>
      </c>
      <c r="AH44" s="1" t="n">
        <v>1</v>
      </c>
      <c r="AI44" s="1" t="n">
        <v>0</v>
      </c>
      <c r="AJ44" s="1" t="n">
        <v>4</v>
      </c>
      <c r="AK44" s="1" t="n">
        <v>3</v>
      </c>
      <c r="AL44" s="1" t="n">
        <v>0</v>
      </c>
      <c r="AM44" s="1" t="n">
        <v>1</v>
      </c>
    </row>
    <row r="45">
      <c r="A45" s="1" t="inlineStr">
        <is>
          <t>prolactinoma</t>
        </is>
      </c>
      <c r="B45" s="1" t="inlineStr">
        <is>
          <t>EFO_1000496</t>
        </is>
      </c>
      <c r="C45" s="1" t="inlineStr">
        <is>
          <t>synonym</t>
        </is>
      </c>
      <c r="D45" s="1" t="n">
        <v>0.05</v>
      </c>
      <c r="E45" s="15" t="n">
        <v>0</v>
      </c>
      <c r="F45" s="15" t="n">
        <v>0</v>
      </c>
      <c r="G45" s="15" t="n">
        <v>0</v>
      </c>
      <c r="H45" s="16">
        <f>G45/F45</f>
        <v/>
      </c>
      <c r="I45" s="16">
        <f>G45/E45</f>
        <v/>
      </c>
      <c r="J45" s="17" t="n">
        <v>0</v>
      </c>
      <c r="K45" s="17" t="n">
        <v>1</v>
      </c>
      <c r="L45" s="17" t="n">
        <v>0</v>
      </c>
      <c r="M45" s="16">
        <f>L45/K45</f>
        <v/>
      </c>
      <c r="N45" s="16">
        <f>L45/J45</f>
        <v/>
      </c>
      <c r="O45" s="18" t="n">
        <v>0</v>
      </c>
      <c r="P45" s="18" t="n">
        <v>0</v>
      </c>
      <c r="Q45" s="16">
        <f>P45/O45</f>
        <v/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1</v>
      </c>
      <c r="AL45" s="1" t="n">
        <v>0</v>
      </c>
      <c r="AM45" s="1" t="n">
        <v>0</v>
      </c>
    </row>
    <row r="46">
      <c r="A46" s="1" t="inlineStr">
        <is>
          <t>Setleis syndrome</t>
        </is>
      </c>
      <c r="B46" s="1" t="inlineStr">
        <is>
          <t>MONDO_0013996</t>
        </is>
      </c>
      <c r="C46" s="1" t="inlineStr">
        <is>
          <t>synonym</t>
        </is>
      </c>
      <c r="D46" s="1" t="n">
        <v>0.05</v>
      </c>
      <c r="E46" s="15" t="n">
        <v>0</v>
      </c>
      <c r="F46" s="15" t="n">
        <v>149</v>
      </c>
      <c r="G46" s="15" t="n">
        <v>0</v>
      </c>
      <c r="H46" s="16">
        <f>G46/F46</f>
        <v/>
      </c>
      <c r="I46" s="16">
        <f>G46/E46</f>
        <v/>
      </c>
      <c r="J46" s="17" t="n">
        <v>0</v>
      </c>
      <c r="K46" s="17" t="n">
        <v>304</v>
      </c>
      <c r="L46" s="17" t="n">
        <v>0</v>
      </c>
      <c r="M46" s="16">
        <f>L46/K46</f>
        <v/>
      </c>
      <c r="N46" s="16">
        <f>L46/J46</f>
        <v/>
      </c>
      <c r="O46" s="18" t="n">
        <v>5</v>
      </c>
      <c r="P46" s="18" t="n">
        <v>0</v>
      </c>
      <c r="Q46" s="16">
        <f>P46/O46</f>
        <v/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</row>
    <row r="47">
      <c r="A47" s="1" t="inlineStr">
        <is>
          <t>Sjogren's syndrome</t>
        </is>
      </c>
      <c r="B47" s="1" t="inlineStr">
        <is>
          <t>EFO_0000699</t>
        </is>
      </c>
      <c r="C47" s="1" t="inlineStr">
        <is>
          <t>synonym</t>
        </is>
      </c>
      <c r="D47" s="1" t="n">
        <v>0.05</v>
      </c>
      <c r="E47" s="15" t="n">
        <v>4</v>
      </c>
      <c r="F47" s="15" t="n">
        <v>315</v>
      </c>
      <c r="G47" s="15" t="n">
        <v>4</v>
      </c>
      <c r="H47" s="16">
        <f>G47/F47</f>
        <v/>
      </c>
      <c r="I47" s="16">
        <f>G47/E47</f>
        <v/>
      </c>
      <c r="J47" s="17" t="n">
        <v>6</v>
      </c>
      <c r="K47" s="17" t="n">
        <v>701</v>
      </c>
      <c r="L47" s="17" t="n">
        <v>4</v>
      </c>
      <c r="M47" s="16">
        <f>L47/K47</f>
        <v/>
      </c>
      <c r="N47" s="16">
        <f>L47/J47</f>
        <v/>
      </c>
      <c r="O47" s="18" t="n">
        <v>29</v>
      </c>
      <c r="P47" s="18" t="n">
        <v>0</v>
      </c>
      <c r="Q47" s="16">
        <f>P47/O47</f>
        <v/>
      </c>
      <c r="R47" s="1" t="n">
        <v>304</v>
      </c>
      <c r="S47" s="1" t="n">
        <v>8</v>
      </c>
      <c r="T47" s="1" t="n">
        <v>0</v>
      </c>
      <c r="U47" s="1" t="n">
        <v>2</v>
      </c>
      <c r="V47" s="1" t="n">
        <v>5</v>
      </c>
      <c r="W47" s="1" t="n">
        <v>0</v>
      </c>
      <c r="X47" s="1" t="n">
        <v>1</v>
      </c>
      <c r="Y47" s="1" t="n">
        <v>0</v>
      </c>
      <c r="Z47" s="1" t="n">
        <v>2</v>
      </c>
      <c r="AA47" s="1" t="n">
        <v>0</v>
      </c>
      <c r="AB47" s="1" t="n">
        <v>1</v>
      </c>
      <c r="AC47" s="1" t="n">
        <v>4</v>
      </c>
      <c r="AD47" s="1" t="n">
        <v>0</v>
      </c>
      <c r="AE47" s="1" t="n">
        <v>0</v>
      </c>
      <c r="AF47" s="1" t="n">
        <v>1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</row>
    <row r="48">
      <c r="A48" s="1" t="inlineStr">
        <is>
          <t>smoldering myeloma</t>
        </is>
      </c>
      <c r="B48" s="1" t="inlineStr">
        <is>
          <t>EFO_0003073</t>
        </is>
      </c>
      <c r="C48" s="1" t="inlineStr">
        <is>
          <t>synonym</t>
        </is>
      </c>
      <c r="D48" s="1" t="n">
        <v>0.05</v>
      </c>
      <c r="E48" s="15" t="n">
        <v>2</v>
      </c>
      <c r="F48" s="15" t="n">
        <v>244</v>
      </c>
      <c r="G48" s="15" t="n">
        <v>2</v>
      </c>
      <c r="H48" s="16">
        <f>G48/F48</f>
        <v/>
      </c>
      <c r="I48" s="16">
        <f>G48/E48</f>
        <v/>
      </c>
      <c r="J48" s="17" t="n">
        <v>2</v>
      </c>
      <c r="K48" s="17" t="n">
        <v>214</v>
      </c>
      <c r="L48" s="17" t="n">
        <v>1</v>
      </c>
      <c r="M48" s="16">
        <f>L48/K48</f>
        <v/>
      </c>
      <c r="N48" s="16">
        <f>L48/J48</f>
        <v/>
      </c>
      <c r="O48" s="18" t="n">
        <v>5</v>
      </c>
      <c r="P48" s="18" t="n">
        <v>0</v>
      </c>
      <c r="Q48" s="16">
        <f>P48/O48</f>
        <v/>
      </c>
      <c r="R48" s="1" t="n">
        <v>125</v>
      </c>
      <c r="S48" s="1" t="n">
        <v>3</v>
      </c>
      <c r="T48" s="1" t="n">
        <v>1</v>
      </c>
      <c r="U48" s="1" t="n">
        <v>3</v>
      </c>
      <c r="V48" s="1" t="n">
        <v>5</v>
      </c>
      <c r="W48" s="1" t="n">
        <v>1</v>
      </c>
      <c r="X48" s="1" t="n">
        <v>0</v>
      </c>
      <c r="Y48" s="1" t="n">
        <v>2</v>
      </c>
      <c r="Z48" s="1" t="n">
        <v>2</v>
      </c>
      <c r="AA48" s="1" t="n">
        <v>0</v>
      </c>
      <c r="AB48" s="1" t="n">
        <v>0</v>
      </c>
      <c r="AC48" s="1" t="n">
        <v>3</v>
      </c>
      <c r="AD48" s="1" t="n">
        <v>0</v>
      </c>
      <c r="AE48" s="1" t="n">
        <v>2</v>
      </c>
      <c r="AF48" s="1" t="n">
        <v>0</v>
      </c>
      <c r="AG48" s="1" t="n">
        <v>0</v>
      </c>
      <c r="AH48" s="1" t="n">
        <v>1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1</v>
      </c>
    </row>
    <row r="49">
      <c r="A49" s="1" t="inlineStr">
        <is>
          <t>Teratospermia</t>
        </is>
      </c>
      <c r="B49" s="1" t="inlineStr">
        <is>
          <t>HP_0012864</t>
        </is>
      </c>
      <c r="C49" s="1" t="inlineStr">
        <is>
          <t>synonym</t>
        </is>
      </c>
      <c r="D49" s="1" t="n">
        <v>0.05</v>
      </c>
      <c r="E49" s="15" t="n">
        <v>0</v>
      </c>
      <c r="F49" s="15" t="n">
        <v>41</v>
      </c>
      <c r="G49" s="15" t="n">
        <v>0</v>
      </c>
      <c r="H49" s="16">
        <f>G49/F49</f>
        <v/>
      </c>
      <c r="I49" s="16">
        <f>G49/E49</f>
        <v/>
      </c>
      <c r="J49" s="17" t="n">
        <v>0</v>
      </c>
      <c r="K49" s="17" t="n">
        <v>48</v>
      </c>
      <c r="L49" s="17" t="n">
        <v>0</v>
      </c>
      <c r="M49" s="16">
        <f>L49/K49</f>
        <v/>
      </c>
      <c r="N49" s="16">
        <f>L49/J49</f>
        <v/>
      </c>
      <c r="O49" s="18" t="n">
        <v>0</v>
      </c>
      <c r="P49" s="18" t="n">
        <v>0</v>
      </c>
      <c r="Q49" s="16">
        <f>P49/O49</f>
        <v/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1</v>
      </c>
      <c r="AK49" s="1" t="n">
        <v>0</v>
      </c>
      <c r="AL49" s="1" t="n">
        <v>1</v>
      </c>
      <c r="AM49" s="1" t="n">
        <v>0</v>
      </c>
    </row>
    <row r="50">
      <c r="A50" s="1" t="inlineStr">
        <is>
          <t>testicular cancer</t>
        </is>
      </c>
      <c r="B50" s="1" t="inlineStr">
        <is>
          <t>EFO_0005088</t>
        </is>
      </c>
      <c r="C50" s="1" t="inlineStr">
        <is>
          <t>synonym</t>
        </is>
      </c>
      <c r="D50" s="1" t="n">
        <v>0.05</v>
      </c>
      <c r="E50" s="15" t="n">
        <v>5</v>
      </c>
      <c r="F50" s="15" t="n">
        <v>379</v>
      </c>
      <c r="G50" s="15" t="n">
        <v>5</v>
      </c>
      <c r="H50" s="16">
        <f>G50/F50</f>
        <v/>
      </c>
      <c r="I50" s="16">
        <f>G50/E50</f>
        <v/>
      </c>
      <c r="J50" s="17" t="n">
        <v>3</v>
      </c>
      <c r="K50" s="17" t="n">
        <v>16</v>
      </c>
      <c r="L50" s="17" t="n">
        <v>0</v>
      </c>
      <c r="M50" s="16">
        <f>L50/K50</f>
        <v/>
      </c>
      <c r="N50" s="16">
        <f>L50/J50</f>
        <v/>
      </c>
      <c r="O50" s="18" t="n">
        <v>1</v>
      </c>
      <c r="P50" s="18" t="n">
        <v>0</v>
      </c>
      <c r="Q50" s="16">
        <f>P50/O50</f>
        <v/>
      </c>
      <c r="R50" s="1" t="n">
        <v>145</v>
      </c>
      <c r="S50" s="1" t="n">
        <v>5</v>
      </c>
      <c r="T50" s="1" t="n">
        <v>0</v>
      </c>
      <c r="U50" s="1" t="n">
        <v>0</v>
      </c>
      <c r="V50" s="1" t="n">
        <v>4</v>
      </c>
      <c r="W50" s="1" t="n">
        <v>1</v>
      </c>
      <c r="X50" s="1" t="n">
        <v>0</v>
      </c>
      <c r="Y50" s="1" t="n">
        <v>0</v>
      </c>
      <c r="Z50" s="1" t="n">
        <v>2</v>
      </c>
      <c r="AA50" s="1" t="n">
        <v>0</v>
      </c>
      <c r="AB50" s="1" t="n">
        <v>0</v>
      </c>
      <c r="AC50" s="1" t="n">
        <v>1</v>
      </c>
      <c r="AD50" s="1" t="n">
        <v>0</v>
      </c>
      <c r="AE50" s="1" t="n">
        <v>2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2</v>
      </c>
      <c r="AK50" s="1" t="n">
        <v>0</v>
      </c>
      <c r="AL50" s="1" t="n">
        <v>0</v>
      </c>
      <c r="AM50" s="1" t="n">
        <v>0</v>
      </c>
    </row>
    <row r="51">
      <c r="A51" s="1" t="inlineStr">
        <is>
          <t>testis seminoma</t>
        </is>
      </c>
      <c r="B51" s="1" t="inlineStr">
        <is>
          <t>EFO_0003101</t>
        </is>
      </c>
      <c r="C51" s="1" t="inlineStr">
        <is>
          <t>synonym</t>
        </is>
      </c>
      <c r="D51" s="1" t="n">
        <v>0.05</v>
      </c>
      <c r="E51" s="15" t="n">
        <v>0</v>
      </c>
      <c r="F51" s="15" t="n">
        <v>163</v>
      </c>
      <c r="G51" s="15" t="n">
        <v>0</v>
      </c>
      <c r="H51" s="16">
        <f>G51/F51</f>
        <v/>
      </c>
      <c r="I51" s="16">
        <f>G51/E51</f>
        <v/>
      </c>
      <c r="J51" s="17" t="n">
        <v>0</v>
      </c>
      <c r="K51" s="17" t="n">
        <v>447</v>
      </c>
      <c r="L51" s="17" t="n">
        <v>0</v>
      </c>
      <c r="M51" s="16">
        <f>L51/K51</f>
        <v/>
      </c>
      <c r="N51" s="16">
        <f>L51/J51</f>
        <v/>
      </c>
      <c r="O51" s="18" t="n">
        <v>5</v>
      </c>
      <c r="P51" s="18" t="n">
        <v>0</v>
      </c>
      <c r="Q51" s="16">
        <f>P51/O51</f>
        <v/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</row>
    <row r="52">
      <c r="A52" s="1" t="inlineStr">
        <is>
          <t>Vulvar intraepithelial tumor</t>
        </is>
      </c>
      <c r="B52" s="1" t="inlineStr">
        <is>
          <t>EFO_0002627</t>
        </is>
      </c>
      <c r="C52" s="1" t="inlineStr">
        <is>
          <t>synonym</t>
        </is>
      </c>
      <c r="D52" s="1" t="n">
        <v>0.05</v>
      </c>
      <c r="E52" s="15" t="n">
        <v>0</v>
      </c>
      <c r="F52" s="15" t="n">
        <v>244</v>
      </c>
      <c r="G52" s="15" t="n">
        <v>0</v>
      </c>
      <c r="H52" s="16">
        <f>G52/F52</f>
        <v/>
      </c>
      <c r="I52" s="16">
        <f>G52/E52</f>
        <v/>
      </c>
      <c r="J52" s="17" t="n">
        <v>0</v>
      </c>
      <c r="K52" s="17" t="n">
        <v>294</v>
      </c>
      <c r="L52" s="17" t="n">
        <v>0</v>
      </c>
      <c r="M52" s="16">
        <f>L52/K52</f>
        <v/>
      </c>
      <c r="N52" s="16">
        <f>L52/J52</f>
        <v/>
      </c>
      <c r="O52" s="18" t="n">
        <v>8</v>
      </c>
      <c r="P52" s="18" t="n">
        <v>0</v>
      </c>
      <c r="Q52" s="16">
        <f>P52/O52</f>
        <v/>
      </c>
      <c r="R52" s="1" t="n">
        <v>8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</row>
    <row r="53">
      <c r="A53" s="1" t="inlineStr">
        <is>
          <t>Williams-Beuren syndrome</t>
        </is>
      </c>
      <c r="B53" s="1" t="inlineStr">
        <is>
          <t>MONDO_0008678</t>
        </is>
      </c>
      <c r="C53" s="1" t="inlineStr">
        <is>
          <t>synonym</t>
        </is>
      </c>
      <c r="D53" s="1" t="n">
        <v>0.05</v>
      </c>
      <c r="E53" s="15" t="n">
        <v>0</v>
      </c>
      <c r="F53" s="15" t="n">
        <v>214</v>
      </c>
      <c r="G53" s="15" t="n">
        <v>0</v>
      </c>
      <c r="H53" s="16">
        <f>G53/F53</f>
        <v/>
      </c>
      <c r="I53" s="16">
        <f>G53/E53</f>
        <v/>
      </c>
      <c r="J53" s="17" t="n">
        <v>1</v>
      </c>
      <c r="K53" s="17" t="n">
        <v>366</v>
      </c>
      <c r="L53" s="17" t="n">
        <v>0</v>
      </c>
      <c r="M53" s="16">
        <f>L53/K53</f>
        <v/>
      </c>
      <c r="N53" s="16">
        <f>L53/J53</f>
        <v/>
      </c>
      <c r="O53" s="18" t="n">
        <v>4</v>
      </c>
      <c r="P53" s="18" t="n">
        <v>0</v>
      </c>
      <c r="Q53" s="16">
        <f>P53/O53</f>
        <v/>
      </c>
      <c r="R53" s="1" t="n">
        <v>5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</row>
    <row r="54">
      <c r="A54" s="1" t="inlineStr">
        <is>
          <t>multiple myeloma</t>
        </is>
      </c>
      <c r="B54" s="1" t="inlineStr">
        <is>
          <t>EFO_0001378</t>
        </is>
      </c>
      <c r="C54" s="1" t="inlineStr">
        <is>
          <t>name</t>
        </is>
      </c>
      <c r="D54" s="1" t="n">
        <v>0.05</v>
      </c>
      <c r="E54" s="15" t="n">
        <v>62</v>
      </c>
      <c r="F54" s="15" t="n">
        <v>152</v>
      </c>
      <c r="G54" s="15" t="n">
        <v>26</v>
      </c>
      <c r="H54" s="16">
        <f>G54/F54</f>
        <v/>
      </c>
      <c r="I54" s="16">
        <f>G54/E54</f>
        <v/>
      </c>
      <c r="J54" s="17" t="n">
        <v>40</v>
      </c>
      <c r="K54" s="17" t="n">
        <v>433</v>
      </c>
      <c r="L54" s="17" t="n">
        <v>10</v>
      </c>
      <c r="M54" s="16">
        <f>L54/K54</f>
        <v/>
      </c>
      <c r="N54" s="16">
        <f>L54/J54</f>
        <v/>
      </c>
      <c r="O54" s="18" t="n">
        <v>9</v>
      </c>
      <c r="P54" s="18" t="n">
        <v>3</v>
      </c>
      <c r="Q54" s="16">
        <f>P54/O54</f>
        <v/>
      </c>
      <c r="R54" s="1" t="n">
        <v>2564</v>
      </c>
      <c r="S54" s="1" t="n">
        <v>33</v>
      </c>
      <c r="T54" s="1" t="n">
        <v>6</v>
      </c>
      <c r="U54" s="1" t="n">
        <v>39</v>
      </c>
      <c r="V54" s="1" t="n">
        <v>54</v>
      </c>
      <c r="W54" s="1" t="n">
        <v>21</v>
      </c>
      <c r="X54" s="1" t="n">
        <v>2</v>
      </c>
      <c r="Y54" s="1" t="n">
        <v>15</v>
      </c>
      <c r="Z54" s="1" t="n">
        <v>39</v>
      </c>
      <c r="AA54" s="1" t="n">
        <v>2</v>
      </c>
      <c r="AB54" s="1" t="n">
        <v>5</v>
      </c>
      <c r="AC54" s="1" t="n">
        <v>16</v>
      </c>
      <c r="AD54" s="1" t="n">
        <v>1</v>
      </c>
      <c r="AE54" s="1" t="n">
        <v>21</v>
      </c>
      <c r="AF54" s="1" t="n">
        <v>1</v>
      </c>
      <c r="AG54" s="1" t="n">
        <v>13</v>
      </c>
      <c r="AH54" s="1" t="n">
        <v>9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</row>
    <row r="55">
      <c r="A55" s="1" t="inlineStr">
        <is>
          <t>type 2 diabetes mellitus</t>
        </is>
      </c>
      <c r="B55" s="1" t="inlineStr">
        <is>
          <t>MONDO_0005148</t>
        </is>
      </c>
      <c r="C55" s="1" t="inlineStr">
        <is>
          <t>name</t>
        </is>
      </c>
      <c r="D55" s="1" t="n">
        <v>0.05</v>
      </c>
      <c r="E55" s="15" t="n">
        <v>21</v>
      </c>
      <c r="F55" s="15" t="n">
        <v>311</v>
      </c>
      <c r="G55" s="15" t="n">
        <v>14</v>
      </c>
      <c r="H55" s="16">
        <f>G55/F55</f>
        <v/>
      </c>
      <c r="I55" s="16">
        <f>G55/E55</f>
        <v/>
      </c>
      <c r="J55" s="17" t="n">
        <v>56</v>
      </c>
      <c r="K55" s="17" t="n">
        <v>721</v>
      </c>
      <c r="L55" s="17" t="n">
        <v>31</v>
      </c>
      <c r="M55" s="16">
        <f>L55/K55</f>
        <v/>
      </c>
      <c r="N55" s="16">
        <f>L55/J55</f>
        <v/>
      </c>
      <c r="O55" s="18" t="n">
        <v>27</v>
      </c>
      <c r="P55" s="18" t="n">
        <v>3</v>
      </c>
      <c r="Q55" s="16">
        <f>P55/O55</f>
        <v/>
      </c>
      <c r="R55" s="1" t="n">
        <v>2321</v>
      </c>
      <c r="S55" s="1" t="n">
        <v>42</v>
      </c>
      <c r="T55" s="1" t="n">
        <v>4</v>
      </c>
      <c r="U55" s="1" t="n">
        <v>36</v>
      </c>
      <c r="V55" s="1" t="n">
        <v>29</v>
      </c>
      <c r="W55" s="1" t="n">
        <v>50</v>
      </c>
      <c r="X55" s="1" t="n">
        <v>20</v>
      </c>
      <c r="Y55" s="1" t="n">
        <v>9</v>
      </c>
      <c r="Z55" s="1" t="n">
        <v>58</v>
      </c>
      <c r="AA55" s="1" t="n">
        <v>3</v>
      </c>
      <c r="AB55" s="1" t="n">
        <v>10</v>
      </c>
      <c r="AC55" s="1" t="n">
        <v>10</v>
      </c>
      <c r="AD55" s="1" t="n">
        <v>4</v>
      </c>
      <c r="AE55" s="1" t="n">
        <v>18</v>
      </c>
      <c r="AF55" s="1" t="n">
        <v>6</v>
      </c>
      <c r="AG55" s="1" t="n">
        <v>12</v>
      </c>
      <c r="AH55" s="1" t="n">
        <v>9</v>
      </c>
      <c r="AI55" s="1" t="n">
        <v>2</v>
      </c>
      <c r="AJ55" s="1" t="n">
        <v>46</v>
      </c>
      <c r="AK55" s="1" t="n">
        <v>5</v>
      </c>
      <c r="AL55" s="1" t="n">
        <v>19</v>
      </c>
      <c r="AM55" s="1" t="n">
        <v>17</v>
      </c>
    </row>
    <row r="56">
      <c r="A56" s="1" t="inlineStr">
        <is>
          <t>prostate cancer</t>
        </is>
      </c>
      <c r="B56" s="1" t="inlineStr">
        <is>
          <t>MONDO_0008315</t>
        </is>
      </c>
      <c r="C56" s="1" t="inlineStr">
        <is>
          <t>name</t>
        </is>
      </c>
      <c r="D56" s="1" t="n">
        <v>0.05</v>
      </c>
      <c r="E56" s="15" t="n">
        <v>61</v>
      </c>
      <c r="F56" s="15" t="n">
        <v>180</v>
      </c>
      <c r="G56" s="15" t="n">
        <v>35</v>
      </c>
      <c r="H56" s="16">
        <f>G56/F56</f>
        <v/>
      </c>
      <c r="I56" s="16">
        <f>G56/E56</f>
        <v/>
      </c>
      <c r="J56" s="17" t="n">
        <v>71</v>
      </c>
      <c r="K56" s="17" t="n">
        <v>390</v>
      </c>
      <c r="L56" s="17" t="n">
        <v>26</v>
      </c>
      <c r="M56" s="16">
        <f>L56/K56</f>
        <v/>
      </c>
      <c r="N56" s="16">
        <f>L56/J56</f>
        <v/>
      </c>
      <c r="O56" s="18" t="n">
        <v>4</v>
      </c>
      <c r="P56" s="18" t="n">
        <v>2</v>
      </c>
      <c r="Q56" s="16">
        <f>P56/O56</f>
        <v/>
      </c>
      <c r="R56" s="1" t="n">
        <v>3429</v>
      </c>
      <c r="S56" s="1" t="n">
        <v>59</v>
      </c>
      <c r="T56" s="1" t="n">
        <v>7</v>
      </c>
      <c r="U56" s="1" t="n">
        <v>71</v>
      </c>
      <c r="V56" s="1" t="n">
        <v>108</v>
      </c>
      <c r="W56" s="1" t="n">
        <v>48</v>
      </c>
      <c r="X56" s="1" t="n">
        <v>10</v>
      </c>
      <c r="Y56" s="1" t="n">
        <v>34</v>
      </c>
      <c r="Z56" s="1" t="n">
        <v>80</v>
      </c>
      <c r="AA56" s="1" t="n">
        <v>1</v>
      </c>
      <c r="AB56" s="1" t="n">
        <v>12</v>
      </c>
      <c r="AC56" s="1" t="n">
        <v>28</v>
      </c>
      <c r="AD56" s="1" t="n">
        <v>2</v>
      </c>
      <c r="AE56" s="1" t="n">
        <v>46</v>
      </c>
      <c r="AF56" s="1" t="n">
        <v>5</v>
      </c>
      <c r="AG56" s="1" t="n">
        <v>19</v>
      </c>
      <c r="AH56" s="1" t="n">
        <v>17</v>
      </c>
      <c r="AI56" s="1" t="n">
        <v>0</v>
      </c>
      <c r="AJ56" s="1" t="n">
        <v>11</v>
      </c>
      <c r="AK56" s="1" t="n">
        <v>9</v>
      </c>
      <c r="AL56" s="1" t="n">
        <v>3</v>
      </c>
      <c r="AM56" s="1" t="n">
        <v>3</v>
      </c>
    </row>
    <row r="57">
      <c r="A57" s="1" t="inlineStr">
        <is>
          <t>rheumatoid arthritis</t>
        </is>
      </c>
      <c r="B57" s="1" t="inlineStr">
        <is>
          <t>EFO_0000685</t>
        </is>
      </c>
      <c r="C57" s="1" t="inlineStr">
        <is>
          <t>name</t>
        </is>
      </c>
      <c r="D57" s="1" t="n">
        <v>0.05</v>
      </c>
      <c r="E57" s="15" t="n">
        <v>25</v>
      </c>
      <c r="F57" s="15" t="n">
        <v>272</v>
      </c>
      <c r="G57" s="15" t="n">
        <v>16</v>
      </c>
      <c r="H57" s="16">
        <f>G57/F57</f>
        <v/>
      </c>
      <c r="I57" s="16">
        <f>G57/E57</f>
        <v/>
      </c>
      <c r="J57" s="17" t="n">
        <v>45</v>
      </c>
      <c r="K57" s="17" t="n">
        <v>164</v>
      </c>
      <c r="L57" s="17" t="n">
        <v>8</v>
      </c>
      <c r="M57" s="16">
        <f>L57/K57</f>
        <v/>
      </c>
      <c r="N57" s="16">
        <f>L57/J57</f>
        <v/>
      </c>
      <c r="O57" s="18" t="n">
        <v>4</v>
      </c>
      <c r="P57" s="18" t="n">
        <v>2</v>
      </c>
      <c r="Q57" s="16">
        <f>P57/O57</f>
        <v/>
      </c>
      <c r="R57" s="1" t="n">
        <v>2397</v>
      </c>
      <c r="S57" s="1" t="n">
        <v>22</v>
      </c>
      <c r="T57" s="1" t="n">
        <v>1</v>
      </c>
      <c r="U57" s="1" t="n">
        <v>12</v>
      </c>
      <c r="V57" s="1" t="n">
        <v>21</v>
      </c>
      <c r="W57" s="1" t="n">
        <v>17</v>
      </c>
      <c r="X57" s="1" t="n">
        <v>21</v>
      </c>
      <c r="Y57" s="1" t="n">
        <v>4</v>
      </c>
      <c r="Z57" s="1" t="n">
        <v>28</v>
      </c>
      <c r="AA57" s="1" t="n">
        <v>0</v>
      </c>
      <c r="AB57" s="1" t="n">
        <v>2</v>
      </c>
      <c r="AC57" s="1" t="n">
        <v>12</v>
      </c>
      <c r="AD57" s="1" t="n">
        <v>0</v>
      </c>
      <c r="AE57" s="1" t="n">
        <v>11</v>
      </c>
      <c r="AF57" s="1" t="n">
        <v>9</v>
      </c>
      <c r="AG57" s="1" t="n">
        <v>3</v>
      </c>
      <c r="AH57" s="1" t="n">
        <v>3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1</v>
      </c>
    </row>
    <row r="58">
      <c r="A58" s="1" t="inlineStr">
        <is>
          <t>breast cancer</t>
        </is>
      </c>
      <c r="B58" s="1" t="inlineStr">
        <is>
          <t>MONDO_0007254</t>
        </is>
      </c>
      <c r="C58" s="1" t="inlineStr">
        <is>
          <t>name</t>
        </is>
      </c>
      <c r="D58" s="1" t="n">
        <v>0.05</v>
      </c>
      <c r="E58" s="15" t="n">
        <v>78</v>
      </c>
      <c r="F58" s="15" t="n">
        <v>378</v>
      </c>
      <c r="G58" s="15" t="n">
        <v>78</v>
      </c>
      <c r="H58" s="16">
        <f>G58/F58</f>
        <v/>
      </c>
      <c r="I58" s="16">
        <f>G58/E58</f>
        <v/>
      </c>
      <c r="J58" s="17" t="n">
        <v>83</v>
      </c>
      <c r="K58" s="17" t="n">
        <v>20</v>
      </c>
      <c r="L58" s="17" t="n">
        <v>5</v>
      </c>
      <c r="M58" s="16">
        <f>L58/K58</f>
        <v/>
      </c>
      <c r="N58" s="16">
        <f>L58/J58</f>
        <v/>
      </c>
      <c r="O58" s="18" t="n">
        <v>1</v>
      </c>
      <c r="P58" s="18" t="n">
        <v>1</v>
      </c>
      <c r="Q58" s="16">
        <f>P58/O58</f>
        <v/>
      </c>
      <c r="R58" s="1" t="n">
        <v>4617</v>
      </c>
      <c r="S58" s="1" t="n">
        <v>82</v>
      </c>
      <c r="T58" s="1" t="n">
        <v>15</v>
      </c>
      <c r="U58" s="1" t="n">
        <v>139</v>
      </c>
      <c r="V58" s="1" t="n">
        <v>202</v>
      </c>
      <c r="W58" s="1" t="n">
        <v>116</v>
      </c>
      <c r="X58" s="1" t="n">
        <v>37</v>
      </c>
      <c r="Y58" s="1" t="n">
        <v>65</v>
      </c>
      <c r="Z58" s="1" t="n">
        <v>132</v>
      </c>
      <c r="AA58" s="1" t="n">
        <v>6</v>
      </c>
      <c r="AB58" s="1" t="n">
        <v>33</v>
      </c>
      <c r="AC58" s="1" t="n">
        <v>72</v>
      </c>
      <c r="AD58" s="1" t="n">
        <v>10</v>
      </c>
      <c r="AE58" s="1" t="n">
        <v>84</v>
      </c>
      <c r="AF58" s="1" t="n">
        <v>13</v>
      </c>
      <c r="AG58" s="1" t="n">
        <v>53</v>
      </c>
      <c r="AH58" s="1" t="n">
        <v>41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</row>
    <row r="59">
      <c r="A59" s="1" t="inlineStr">
        <is>
          <t>chronic obstructive pulmonary disease</t>
        </is>
      </c>
      <c r="B59" s="1" t="inlineStr">
        <is>
          <t>EFO_0000341</t>
        </is>
      </c>
      <c r="C59" s="1" t="inlineStr">
        <is>
          <t>name</t>
        </is>
      </c>
      <c r="D59" s="1" t="n">
        <v>0.05</v>
      </c>
      <c r="E59" s="15" t="n">
        <v>15</v>
      </c>
      <c r="F59" s="15" t="n">
        <v>202</v>
      </c>
      <c r="G59" s="15" t="n">
        <v>11</v>
      </c>
      <c r="H59" s="16">
        <f>G59/F59</f>
        <v/>
      </c>
      <c r="I59" s="16">
        <f>G59/E59</f>
        <v/>
      </c>
      <c r="J59" s="17" t="n">
        <v>29</v>
      </c>
      <c r="K59" s="17" t="n">
        <v>165</v>
      </c>
      <c r="L59" s="17" t="n">
        <v>6</v>
      </c>
      <c r="M59" s="16">
        <f>L59/K59</f>
        <v/>
      </c>
      <c r="N59" s="16">
        <f>L59/J59</f>
        <v/>
      </c>
      <c r="O59" s="18" t="n">
        <v>7</v>
      </c>
      <c r="P59" s="18" t="n">
        <v>1</v>
      </c>
      <c r="Q59" s="16">
        <f>P59/O59</f>
        <v/>
      </c>
      <c r="R59" s="1" t="n">
        <v>1577</v>
      </c>
      <c r="S59" s="1" t="n">
        <v>16</v>
      </c>
      <c r="T59" s="1" t="n">
        <v>2</v>
      </c>
      <c r="U59" s="1" t="n">
        <v>6</v>
      </c>
      <c r="V59" s="1" t="n">
        <v>17</v>
      </c>
      <c r="W59" s="1" t="n">
        <v>19</v>
      </c>
      <c r="X59" s="1" t="n">
        <v>12</v>
      </c>
      <c r="Y59" s="1" t="n">
        <v>0</v>
      </c>
      <c r="Z59" s="1" t="n">
        <v>24</v>
      </c>
      <c r="AA59" s="1" t="n">
        <v>0</v>
      </c>
      <c r="AB59" s="1" t="n">
        <v>2</v>
      </c>
      <c r="AC59" s="1" t="n">
        <v>10</v>
      </c>
      <c r="AD59" s="1" t="n">
        <v>0</v>
      </c>
      <c r="AE59" s="1" t="n">
        <v>7</v>
      </c>
      <c r="AF59" s="1" t="n">
        <v>3</v>
      </c>
      <c r="AG59" s="1" t="n">
        <v>7</v>
      </c>
      <c r="AH59" s="1" t="n">
        <v>3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</row>
    <row r="60">
      <c r="A60" s="1" t="inlineStr">
        <is>
          <t>glaucoma</t>
        </is>
      </c>
      <c r="B60" s="1" t="inlineStr">
        <is>
          <t>MONDO_0005041</t>
        </is>
      </c>
      <c r="C60" s="1" t="inlineStr">
        <is>
          <t>name</t>
        </is>
      </c>
      <c r="D60" s="1" t="n">
        <v>0.05</v>
      </c>
      <c r="E60" s="15" t="n">
        <v>10</v>
      </c>
      <c r="F60" s="15" t="n">
        <v>147</v>
      </c>
      <c r="G60" s="15" t="n">
        <v>4</v>
      </c>
      <c r="H60" s="16">
        <f>G60/F60</f>
        <v/>
      </c>
      <c r="I60" s="16">
        <f>G60/E60</f>
        <v/>
      </c>
      <c r="J60" s="17" t="n">
        <v>23</v>
      </c>
      <c r="K60" s="17" t="n">
        <v>170</v>
      </c>
      <c r="L60" s="17" t="n">
        <v>3</v>
      </c>
      <c r="M60" s="16">
        <f>L60/K60</f>
        <v/>
      </c>
      <c r="N60" s="16">
        <f>L60/J60</f>
        <v/>
      </c>
      <c r="O60" s="18" t="n">
        <v>5</v>
      </c>
      <c r="P60" s="18" t="n">
        <v>1</v>
      </c>
      <c r="Q60" s="16">
        <f>P60/O60</f>
        <v/>
      </c>
      <c r="R60" s="1" t="n">
        <v>824</v>
      </c>
      <c r="S60" s="1" t="n">
        <v>6</v>
      </c>
      <c r="T60" s="1" t="n">
        <v>0</v>
      </c>
      <c r="U60" s="1" t="n">
        <v>2</v>
      </c>
      <c r="V60" s="1" t="n">
        <v>0</v>
      </c>
      <c r="W60" s="1" t="n">
        <v>5</v>
      </c>
      <c r="X60" s="1" t="n">
        <v>6</v>
      </c>
      <c r="Y60" s="1" t="n">
        <v>2</v>
      </c>
      <c r="Z60" s="1" t="n">
        <v>4</v>
      </c>
      <c r="AA60" s="1" t="n">
        <v>0</v>
      </c>
      <c r="AB60" s="1" t="n">
        <v>0</v>
      </c>
      <c r="AC60" s="1" t="n">
        <v>0</v>
      </c>
      <c r="AD60" s="1" t="n">
        <v>1</v>
      </c>
      <c r="AE60" s="1" t="n">
        <v>1</v>
      </c>
      <c r="AF60" s="1" t="n">
        <v>3</v>
      </c>
      <c r="AG60" s="1" t="n">
        <v>2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</row>
    <row r="61">
      <c r="A61" s="1" t="inlineStr">
        <is>
          <t>hypertension</t>
        </is>
      </c>
      <c r="B61" s="1" t="inlineStr">
        <is>
          <t>EFO_0000537</t>
        </is>
      </c>
      <c r="C61" s="1" t="inlineStr">
        <is>
          <t>name</t>
        </is>
      </c>
      <c r="D61" s="1" t="n">
        <v>0.05</v>
      </c>
      <c r="E61" s="15" t="n">
        <v>27</v>
      </c>
      <c r="F61" s="15" t="n">
        <v>207</v>
      </c>
      <c r="G61" s="15" t="n">
        <v>15</v>
      </c>
      <c r="H61" s="16">
        <f>G61/F61</f>
        <v/>
      </c>
      <c r="I61" s="16">
        <f>G61/E61</f>
        <v/>
      </c>
      <c r="J61" s="17" t="n">
        <v>67</v>
      </c>
      <c r="K61" s="17" t="n">
        <v>114</v>
      </c>
      <c r="L61" s="17" t="n">
        <v>9</v>
      </c>
      <c r="M61" s="16">
        <f>L61/K61</f>
        <v/>
      </c>
      <c r="N61" s="16">
        <f>L61/J61</f>
        <v/>
      </c>
      <c r="O61" s="18" t="n">
        <v>5</v>
      </c>
      <c r="P61" s="18" t="n">
        <v>1</v>
      </c>
      <c r="Q61" s="16">
        <f>P61/O61</f>
        <v/>
      </c>
      <c r="R61" s="1" t="n">
        <v>2820</v>
      </c>
      <c r="S61" s="1" t="n">
        <v>23</v>
      </c>
      <c r="T61" s="1" t="n">
        <v>1</v>
      </c>
      <c r="U61" s="1" t="n">
        <v>7</v>
      </c>
      <c r="V61" s="1" t="n">
        <v>7</v>
      </c>
      <c r="W61" s="1" t="n">
        <v>11</v>
      </c>
      <c r="X61" s="1" t="n">
        <v>13</v>
      </c>
      <c r="Y61" s="1" t="n">
        <v>0</v>
      </c>
      <c r="Z61" s="1" t="n">
        <v>22</v>
      </c>
      <c r="AA61" s="1" t="n">
        <v>0</v>
      </c>
      <c r="AB61" s="1" t="n">
        <v>0</v>
      </c>
      <c r="AC61" s="1" t="n">
        <v>2</v>
      </c>
      <c r="AD61" s="1" t="n">
        <v>0</v>
      </c>
      <c r="AE61" s="1" t="n">
        <v>3</v>
      </c>
      <c r="AF61" s="1" t="n">
        <v>8</v>
      </c>
      <c r="AG61" s="1" t="n">
        <v>1</v>
      </c>
      <c r="AH61" s="1" t="n">
        <v>3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</row>
    <row r="62">
      <c r="A62" s="1" t="inlineStr">
        <is>
          <t>inflammatory bowel disease</t>
        </is>
      </c>
      <c r="B62" s="1" t="inlineStr">
        <is>
          <t>EFO_0003767</t>
        </is>
      </c>
      <c r="C62" s="1" t="inlineStr">
        <is>
          <t>name</t>
        </is>
      </c>
      <c r="D62" s="1" t="n">
        <v>0.05</v>
      </c>
      <c r="E62" s="15" t="n">
        <v>7</v>
      </c>
      <c r="F62" s="15" t="n">
        <v>345</v>
      </c>
      <c r="G62" s="15" t="n">
        <v>6</v>
      </c>
      <c r="H62" s="16">
        <f>G62/F62</f>
        <v/>
      </c>
      <c r="I62" s="16">
        <f>G62/E62</f>
        <v/>
      </c>
      <c r="J62" s="17" t="n">
        <v>11</v>
      </c>
      <c r="K62" s="17" t="n">
        <v>109</v>
      </c>
      <c r="L62" s="17" t="n">
        <v>1</v>
      </c>
      <c r="M62" s="16">
        <f>L62/K62</f>
        <v/>
      </c>
      <c r="N62" s="16">
        <f>L62/J62</f>
        <v/>
      </c>
      <c r="O62" s="18" t="n">
        <v>8</v>
      </c>
      <c r="P62" s="18" t="n">
        <v>1</v>
      </c>
      <c r="Q62" s="16">
        <f>P62/O62</f>
        <v/>
      </c>
      <c r="R62" s="1" t="n">
        <v>538</v>
      </c>
      <c r="S62" s="1" t="n">
        <v>6</v>
      </c>
      <c r="T62" s="1" t="n">
        <v>0</v>
      </c>
      <c r="U62" s="1" t="n">
        <v>1</v>
      </c>
      <c r="V62" s="1" t="n">
        <v>5</v>
      </c>
      <c r="W62" s="1" t="n">
        <v>0</v>
      </c>
      <c r="X62" s="1" t="n">
        <v>0</v>
      </c>
      <c r="Y62" s="1" t="n">
        <v>0</v>
      </c>
      <c r="Z62" s="1" t="n">
        <v>2</v>
      </c>
      <c r="AA62" s="1" t="n">
        <v>0</v>
      </c>
      <c r="AB62" s="1" t="n">
        <v>0</v>
      </c>
      <c r="AC62" s="1" t="n">
        <v>2</v>
      </c>
      <c r="AD62" s="1" t="n">
        <v>0</v>
      </c>
      <c r="AE62" s="1" t="n">
        <v>2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</row>
    <row r="63">
      <c r="A63" s="1" t="inlineStr">
        <is>
          <t>multiple sclerosis</t>
        </is>
      </c>
      <c r="B63" s="1" t="inlineStr">
        <is>
          <t>MONDO_0005301</t>
        </is>
      </c>
      <c r="C63" s="1" t="inlineStr">
        <is>
          <t>name</t>
        </is>
      </c>
      <c r="D63" s="1" t="n">
        <v>0.05</v>
      </c>
      <c r="E63" s="15" t="n">
        <v>16</v>
      </c>
      <c r="F63" s="15" t="n">
        <v>141</v>
      </c>
      <c r="G63" s="15" t="n">
        <v>7</v>
      </c>
      <c r="H63" s="16">
        <f>G63/F63</f>
        <v/>
      </c>
      <c r="I63" s="16">
        <f>G63/E63</f>
        <v/>
      </c>
      <c r="J63" s="17" t="n">
        <v>43</v>
      </c>
      <c r="K63" s="17" t="n">
        <v>247</v>
      </c>
      <c r="L63" s="17" t="n">
        <v>12</v>
      </c>
      <c r="M63" s="16">
        <f>L63/K63</f>
        <v/>
      </c>
      <c r="N63" s="16">
        <f>L63/J63</f>
        <v/>
      </c>
      <c r="O63" s="18" t="n">
        <v>6</v>
      </c>
      <c r="P63" s="18" t="n">
        <v>1</v>
      </c>
      <c r="Q63" s="16">
        <f>P63/O63</f>
        <v/>
      </c>
      <c r="R63" s="1" t="n">
        <v>1885</v>
      </c>
      <c r="S63" s="1" t="n">
        <v>18</v>
      </c>
      <c r="T63" s="1" t="n">
        <v>1</v>
      </c>
      <c r="U63" s="1" t="n">
        <v>2</v>
      </c>
      <c r="V63" s="1" t="n">
        <v>12</v>
      </c>
      <c r="W63" s="1" t="n">
        <v>11</v>
      </c>
      <c r="X63" s="1" t="n">
        <v>5</v>
      </c>
      <c r="Y63" s="1" t="n">
        <v>2</v>
      </c>
      <c r="Z63" s="1" t="n">
        <v>14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5</v>
      </c>
      <c r="AF63" s="1" t="n">
        <v>4</v>
      </c>
      <c r="AG63" s="1" t="n">
        <v>4</v>
      </c>
      <c r="AH63" s="1" t="n">
        <v>2</v>
      </c>
      <c r="AI63" s="1" t="n">
        <v>2</v>
      </c>
      <c r="AJ63" s="1" t="n">
        <v>13</v>
      </c>
      <c r="AK63" s="1" t="n">
        <v>1</v>
      </c>
      <c r="AL63" s="1" t="n">
        <v>7</v>
      </c>
      <c r="AM63" s="1" t="n">
        <v>3</v>
      </c>
    </row>
    <row r="64">
      <c r="A64" s="1" t="inlineStr">
        <is>
          <t>obesity</t>
        </is>
      </c>
      <c r="B64" s="1" t="inlineStr">
        <is>
          <t>EFO_0001073</t>
        </is>
      </c>
      <c r="C64" s="1" t="inlineStr">
        <is>
          <t>name</t>
        </is>
      </c>
      <c r="D64" s="1" t="n">
        <v>0.05</v>
      </c>
      <c r="E64" s="15" t="n">
        <v>12</v>
      </c>
      <c r="F64" s="15" t="n">
        <v>184</v>
      </c>
      <c r="G64" s="15" t="n">
        <v>6</v>
      </c>
      <c r="H64" s="16">
        <f>G64/F64</f>
        <v/>
      </c>
      <c r="I64" s="16">
        <f>G64/E64</f>
        <v/>
      </c>
      <c r="J64" s="17" t="n">
        <v>34</v>
      </c>
      <c r="K64" s="17" t="n">
        <v>918</v>
      </c>
      <c r="L64" s="17" t="n">
        <v>25</v>
      </c>
      <c r="M64" s="16">
        <f>L64/K64</f>
        <v/>
      </c>
      <c r="N64" s="16">
        <f>L64/J64</f>
        <v/>
      </c>
      <c r="O64" s="18" t="n">
        <v>16</v>
      </c>
      <c r="P64" s="18" t="n">
        <v>1</v>
      </c>
      <c r="Q64" s="16">
        <f>P64/O64</f>
        <v/>
      </c>
      <c r="R64" s="1" t="n">
        <v>1702</v>
      </c>
      <c r="S64" s="1" t="n">
        <v>30</v>
      </c>
      <c r="T64" s="1" t="n">
        <v>4</v>
      </c>
      <c r="U64" s="1" t="n">
        <v>19</v>
      </c>
      <c r="V64" s="1" t="n">
        <v>27</v>
      </c>
      <c r="W64" s="1" t="n">
        <v>14</v>
      </c>
      <c r="X64" s="1" t="n">
        <v>4</v>
      </c>
      <c r="Y64" s="1" t="n">
        <v>6</v>
      </c>
      <c r="Z64" s="1" t="n">
        <v>36</v>
      </c>
      <c r="AA64" s="1" t="n">
        <v>0</v>
      </c>
      <c r="AB64" s="1" t="n">
        <v>3</v>
      </c>
      <c r="AC64" s="1" t="n">
        <v>8</v>
      </c>
      <c r="AD64" s="1" t="n">
        <v>2</v>
      </c>
      <c r="AE64" s="1" t="n">
        <v>3</v>
      </c>
      <c r="AF64" s="1" t="n">
        <v>1</v>
      </c>
      <c r="AG64" s="1" t="n">
        <v>6</v>
      </c>
      <c r="AH64" s="1" t="n">
        <v>3</v>
      </c>
      <c r="AI64" s="1" t="n">
        <v>0</v>
      </c>
      <c r="AJ64" s="1" t="n">
        <v>5</v>
      </c>
      <c r="AK64" s="1" t="n">
        <v>7</v>
      </c>
      <c r="AL64" s="1" t="n">
        <v>3</v>
      </c>
      <c r="AM64" s="1" t="n">
        <v>1</v>
      </c>
    </row>
    <row r="65">
      <c r="A65" s="1" t="inlineStr">
        <is>
          <t>osteoarthritis</t>
        </is>
      </c>
      <c r="B65" s="1" t="inlineStr">
        <is>
          <t>MONDO_0005178</t>
        </is>
      </c>
      <c r="C65" s="1" t="inlineStr">
        <is>
          <t>name</t>
        </is>
      </c>
      <c r="D65" s="1" t="n">
        <v>0.05</v>
      </c>
      <c r="E65" s="15" t="n">
        <v>16</v>
      </c>
      <c r="F65" s="15" t="n">
        <v>78</v>
      </c>
      <c r="G65" s="15" t="n">
        <v>2</v>
      </c>
      <c r="H65" s="16">
        <f>G65/F65</f>
        <v/>
      </c>
      <c r="I65" s="16">
        <f>G65/E65</f>
        <v/>
      </c>
      <c r="J65" s="17" t="n">
        <v>35</v>
      </c>
      <c r="K65" s="17" t="n">
        <v>541</v>
      </c>
      <c r="L65" s="17" t="n">
        <v>19</v>
      </c>
      <c r="M65" s="16">
        <f>L65/K65</f>
        <v/>
      </c>
      <c r="N65" s="16">
        <f>L65/J65</f>
        <v/>
      </c>
      <c r="O65" s="18" t="n">
        <v>3</v>
      </c>
      <c r="P65" s="18" t="n">
        <v>1</v>
      </c>
      <c r="Q65" s="16">
        <f>P65/O65</f>
        <v/>
      </c>
      <c r="R65" s="1" t="n">
        <v>1689</v>
      </c>
      <c r="S65" s="1" t="n">
        <v>20</v>
      </c>
      <c r="T65" s="1" t="n">
        <v>1</v>
      </c>
      <c r="U65" s="1" t="n">
        <v>3</v>
      </c>
      <c r="V65" s="1" t="n">
        <v>7</v>
      </c>
      <c r="W65" s="1" t="n">
        <v>16</v>
      </c>
      <c r="X65" s="1" t="n">
        <v>27</v>
      </c>
      <c r="Y65" s="1" t="n">
        <v>0</v>
      </c>
      <c r="Z65" s="1" t="n">
        <v>23</v>
      </c>
      <c r="AA65" s="1" t="n">
        <v>1</v>
      </c>
      <c r="AB65" s="1" t="n">
        <v>0</v>
      </c>
      <c r="AC65" s="1" t="n">
        <v>4</v>
      </c>
      <c r="AD65" s="1" t="n">
        <v>0</v>
      </c>
      <c r="AE65" s="1" t="n">
        <v>4</v>
      </c>
      <c r="AF65" s="1" t="n">
        <v>15</v>
      </c>
      <c r="AG65" s="1" t="n">
        <v>6</v>
      </c>
      <c r="AH65" s="1" t="n">
        <v>1</v>
      </c>
      <c r="AI65" s="1" t="n">
        <v>10</v>
      </c>
      <c r="AJ65" s="1" t="n">
        <v>84</v>
      </c>
      <c r="AK65" s="1" t="n">
        <v>13</v>
      </c>
      <c r="AL65" s="1" t="n">
        <v>53</v>
      </c>
      <c r="AM65" s="1" t="n">
        <v>41</v>
      </c>
    </row>
    <row r="66">
      <c r="A66" s="1" t="inlineStr">
        <is>
          <t>Psoriasis vulgaris</t>
        </is>
      </c>
      <c r="B66" s="1" t="inlineStr">
        <is>
          <t>EFO_1001494</t>
        </is>
      </c>
      <c r="C66" s="1" t="inlineStr">
        <is>
          <t>name</t>
        </is>
      </c>
      <c r="D66" s="1" t="n">
        <v>0.05</v>
      </c>
      <c r="E66" s="15" t="n">
        <v>7</v>
      </c>
      <c r="F66" s="15" t="n">
        <v>312</v>
      </c>
      <c r="G66" s="15" t="n">
        <v>7</v>
      </c>
      <c r="H66" s="16">
        <f>G66/F66</f>
        <v/>
      </c>
      <c r="I66" s="16">
        <f>G66/E66</f>
        <v/>
      </c>
      <c r="J66" s="17" t="n">
        <v>6</v>
      </c>
      <c r="K66" s="17" t="n">
        <v>237</v>
      </c>
      <c r="L66" s="17" t="n">
        <v>1</v>
      </c>
      <c r="M66" s="16">
        <f>L66/K66</f>
        <v/>
      </c>
      <c r="N66" s="16">
        <f>L66/J66</f>
        <v/>
      </c>
      <c r="O66" s="18" t="n">
        <v>11</v>
      </c>
      <c r="P66" s="18" t="n">
        <v>1</v>
      </c>
      <c r="Q66" s="16">
        <f>P66/O66</f>
        <v/>
      </c>
      <c r="R66" s="1" t="n">
        <v>658</v>
      </c>
      <c r="S66" s="1" t="n">
        <v>7</v>
      </c>
      <c r="T66" s="1" t="n">
        <v>1</v>
      </c>
      <c r="U66" s="1" t="n">
        <v>3</v>
      </c>
      <c r="V66" s="1" t="n">
        <v>4</v>
      </c>
      <c r="W66" s="1" t="n">
        <v>2</v>
      </c>
      <c r="X66" s="1" t="n">
        <v>7</v>
      </c>
      <c r="Y66" s="1" t="n">
        <v>0</v>
      </c>
      <c r="Z66" s="1" t="n">
        <v>11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3</v>
      </c>
      <c r="AG66" s="1" t="n">
        <v>2</v>
      </c>
      <c r="AH66" s="1" t="n">
        <v>1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</row>
    <row r="67">
      <c r="A67" s="1" t="inlineStr">
        <is>
          <t>renal cell carcinoma</t>
        </is>
      </c>
      <c r="B67" s="1" t="inlineStr">
        <is>
          <t>EFO_0000681</t>
        </is>
      </c>
      <c r="C67" s="1" t="inlineStr">
        <is>
          <t>name</t>
        </is>
      </c>
      <c r="D67" s="1" t="n">
        <v>0.05</v>
      </c>
      <c r="E67" s="15" t="n">
        <v>32</v>
      </c>
      <c r="F67" s="15" t="n">
        <v>181</v>
      </c>
      <c r="G67" s="15" t="n">
        <v>16</v>
      </c>
      <c r="H67" s="16">
        <f>G67/F67</f>
        <v/>
      </c>
      <c r="I67" s="16">
        <f>G67/E67</f>
        <v/>
      </c>
      <c r="J67" s="17" t="n">
        <v>19</v>
      </c>
      <c r="K67" s="17" t="n">
        <v>418</v>
      </c>
      <c r="L67" s="17" t="n">
        <v>7</v>
      </c>
      <c r="M67" s="16">
        <f>L67/K67</f>
        <v/>
      </c>
      <c r="N67" s="16">
        <f>L67/J67</f>
        <v/>
      </c>
      <c r="O67" s="18" t="n">
        <v>7</v>
      </c>
      <c r="P67" s="18" t="n">
        <v>1</v>
      </c>
      <c r="Q67" s="16">
        <f>P67/O67</f>
        <v/>
      </c>
      <c r="R67" s="1" t="n">
        <v>1279</v>
      </c>
      <c r="S67" s="1" t="n">
        <v>22</v>
      </c>
      <c r="T67" s="1" t="n">
        <v>1</v>
      </c>
      <c r="U67" s="1" t="n">
        <v>22</v>
      </c>
      <c r="V67" s="1" t="n">
        <v>18</v>
      </c>
      <c r="W67" s="1" t="n">
        <v>6</v>
      </c>
      <c r="X67" s="1" t="n">
        <v>5</v>
      </c>
      <c r="Y67" s="1" t="n">
        <v>9</v>
      </c>
      <c r="Z67" s="1" t="n">
        <v>19</v>
      </c>
      <c r="AA67" s="1" t="n">
        <v>0</v>
      </c>
      <c r="AB67" s="1" t="n">
        <v>1</v>
      </c>
      <c r="AC67" s="1" t="n">
        <v>5</v>
      </c>
      <c r="AD67" s="1" t="n">
        <v>0</v>
      </c>
      <c r="AE67" s="1" t="n">
        <v>10</v>
      </c>
      <c r="AF67" s="1" t="n">
        <v>3</v>
      </c>
      <c r="AG67" s="1" t="n">
        <v>3</v>
      </c>
      <c r="AH67" s="1" t="n">
        <v>2</v>
      </c>
      <c r="AI67" s="1" t="n">
        <v>0</v>
      </c>
      <c r="AJ67" s="1" t="n">
        <v>3</v>
      </c>
      <c r="AK67" s="1" t="n">
        <v>1</v>
      </c>
      <c r="AL67" s="1" t="n">
        <v>2</v>
      </c>
      <c r="AM67" s="1" t="n">
        <v>0</v>
      </c>
    </row>
    <row r="68">
      <c r="A68" s="1" t="inlineStr">
        <is>
          <t>severe acute respiratory syndrome</t>
        </is>
      </c>
      <c r="B68" s="1" t="inlineStr">
        <is>
          <t>EFO_0000694</t>
        </is>
      </c>
      <c r="C68" s="1" t="inlineStr">
        <is>
          <t>name</t>
        </is>
      </c>
      <c r="D68" s="1" t="n">
        <v>0.05</v>
      </c>
      <c r="E68" s="15" t="n">
        <v>9</v>
      </c>
      <c r="F68" s="15" t="n">
        <v>304</v>
      </c>
      <c r="G68" s="15" t="n">
        <v>7</v>
      </c>
      <c r="H68" s="16">
        <f>G68/F68</f>
        <v/>
      </c>
      <c r="I68" s="16">
        <f>G68/E68</f>
        <v/>
      </c>
      <c r="J68" s="17" t="n">
        <v>14</v>
      </c>
      <c r="K68" s="17" t="n">
        <v>247</v>
      </c>
      <c r="L68" s="17" t="n">
        <v>5</v>
      </c>
      <c r="M68" s="16">
        <f>L68/K68</f>
        <v/>
      </c>
      <c r="N68" s="16">
        <f>L68/J68</f>
        <v/>
      </c>
      <c r="O68" s="18" t="n">
        <v>10</v>
      </c>
      <c r="P68" s="18" t="n">
        <v>1</v>
      </c>
      <c r="Q68" s="16">
        <f>P68/O68</f>
        <v/>
      </c>
      <c r="R68" s="1" t="n">
        <v>694</v>
      </c>
      <c r="S68" s="1" t="n">
        <v>11</v>
      </c>
      <c r="T68" s="1" t="n">
        <v>0</v>
      </c>
      <c r="U68" s="1" t="n">
        <v>4</v>
      </c>
      <c r="V68" s="1" t="n">
        <v>4</v>
      </c>
      <c r="W68" s="1" t="n">
        <v>6</v>
      </c>
      <c r="X68" s="1" t="n">
        <v>0</v>
      </c>
      <c r="Y68" s="1" t="n">
        <v>1</v>
      </c>
      <c r="Z68" s="1" t="n">
        <v>3</v>
      </c>
      <c r="AA68" s="1" t="n">
        <v>0</v>
      </c>
      <c r="AB68" s="1" t="n">
        <v>1</v>
      </c>
      <c r="AC68" s="1" t="n">
        <v>4</v>
      </c>
      <c r="AD68" s="1" t="n">
        <v>0</v>
      </c>
      <c r="AE68" s="1" t="n">
        <v>3</v>
      </c>
      <c r="AF68" s="1" t="n">
        <v>0</v>
      </c>
      <c r="AG68" s="1" t="n">
        <v>0</v>
      </c>
      <c r="AH68" s="1" t="n">
        <v>2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</row>
    <row r="69">
      <c r="A69" s="1" t="inlineStr">
        <is>
          <t>systemic lupus erythematosus</t>
        </is>
      </c>
      <c r="B69" s="1" t="inlineStr">
        <is>
          <t>MONDO_0007915</t>
        </is>
      </c>
      <c r="C69" s="1" t="inlineStr">
        <is>
          <t>name</t>
        </is>
      </c>
      <c r="D69" s="1" t="n">
        <v>0.05</v>
      </c>
      <c r="E69" s="15" t="n">
        <v>15</v>
      </c>
      <c r="F69" s="15" t="n">
        <v>267</v>
      </c>
      <c r="G69" s="15" t="n">
        <v>9</v>
      </c>
      <c r="H69" s="16">
        <f>G69/F69</f>
        <v/>
      </c>
      <c r="I69" s="16">
        <f>G69/E69</f>
        <v/>
      </c>
      <c r="J69" s="17" t="n">
        <v>20</v>
      </c>
      <c r="K69" s="17" t="n">
        <v>268</v>
      </c>
      <c r="L69" s="17" t="n">
        <v>8</v>
      </c>
      <c r="M69" s="16">
        <f>L69/K69</f>
        <v/>
      </c>
      <c r="N69" s="16">
        <f>L69/J69</f>
        <v/>
      </c>
      <c r="O69" s="18" t="n">
        <v>11</v>
      </c>
      <c r="P69" s="18" t="n">
        <v>1</v>
      </c>
      <c r="Q69" s="16">
        <f>P69/O69</f>
        <v/>
      </c>
      <c r="R69" s="1" t="n">
        <v>1071</v>
      </c>
      <c r="S69" s="1" t="n">
        <v>16</v>
      </c>
      <c r="T69" s="1" t="n">
        <v>2</v>
      </c>
      <c r="U69" s="1" t="n">
        <v>6</v>
      </c>
      <c r="V69" s="1" t="n">
        <v>10</v>
      </c>
      <c r="W69" s="1" t="n">
        <v>3</v>
      </c>
      <c r="X69" s="1" t="n">
        <v>3</v>
      </c>
      <c r="Y69" s="1" t="n">
        <v>0</v>
      </c>
      <c r="Z69" s="1" t="n">
        <v>13</v>
      </c>
      <c r="AA69" s="1" t="n">
        <v>0</v>
      </c>
      <c r="AB69" s="1" t="n">
        <v>1</v>
      </c>
      <c r="AC69" s="1" t="n">
        <v>2</v>
      </c>
      <c r="AD69" s="1" t="n">
        <v>0</v>
      </c>
      <c r="AE69" s="1" t="n">
        <v>4</v>
      </c>
      <c r="AF69" s="1" t="n">
        <v>3</v>
      </c>
      <c r="AG69" s="1" t="n">
        <v>0</v>
      </c>
      <c r="AH69" s="1" t="n">
        <v>1</v>
      </c>
      <c r="AI69" s="1" t="n">
        <v>0</v>
      </c>
      <c r="AJ69" s="1" t="n">
        <v>0</v>
      </c>
      <c r="AK69" s="1" t="n">
        <v>3</v>
      </c>
      <c r="AL69" s="1" t="n">
        <v>1</v>
      </c>
      <c r="AM69" s="1" t="n">
        <v>1</v>
      </c>
    </row>
    <row r="70">
      <c r="A70" s="1" t="inlineStr">
        <is>
          <t>tuberculosis</t>
        </is>
      </c>
      <c r="B70" s="1" t="inlineStr">
        <is>
          <t>MONDO_0018076</t>
        </is>
      </c>
      <c r="C70" s="1" t="inlineStr">
        <is>
          <t>name</t>
        </is>
      </c>
      <c r="D70" s="1" t="n">
        <v>0.05</v>
      </c>
      <c r="E70" s="15" t="n">
        <v>9</v>
      </c>
      <c r="F70" s="15" t="n">
        <v>326</v>
      </c>
      <c r="G70" s="15" t="n">
        <v>8</v>
      </c>
      <c r="H70" s="16">
        <f>G70/F70</f>
        <v/>
      </c>
      <c r="I70" s="16">
        <f>G70/E70</f>
        <v/>
      </c>
      <c r="J70" s="17" t="n">
        <v>12</v>
      </c>
      <c r="K70" s="17" t="n">
        <v>424</v>
      </c>
      <c r="L70" s="17" t="n">
        <v>3</v>
      </c>
      <c r="M70" s="16">
        <f>L70/K70</f>
        <v/>
      </c>
      <c r="N70" s="16">
        <f>L70/J70</f>
        <v/>
      </c>
      <c r="O70" s="18" t="n">
        <v>26</v>
      </c>
      <c r="P70" s="18" t="n">
        <v>1</v>
      </c>
      <c r="Q70" s="16">
        <f>P70/O70</f>
        <v/>
      </c>
      <c r="R70" s="1" t="n">
        <v>589</v>
      </c>
      <c r="S70" s="1" t="n">
        <v>10</v>
      </c>
      <c r="T70" s="1" t="n">
        <v>0</v>
      </c>
      <c r="U70" s="1" t="n">
        <v>3</v>
      </c>
      <c r="V70" s="1" t="n">
        <v>6</v>
      </c>
      <c r="W70" s="1" t="n">
        <v>2</v>
      </c>
      <c r="X70" s="1" t="n">
        <v>0</v>
      </c>
      <c r="Y70" s="1" t="n">
        <v>0</v>
      </c>
      <c r="Z70" s="1" t="n">
        <v>4</v>
      </c>
      <c r="AA70" s="1" t="n">
        <v>0</v>
      </c>
      <c r="AB70" s="1" t="n">
        <v>3</v>
      </c>
      <c r="AC70" s="1" t="n">
        <v>2</v>
      </c>
      <c r="AD70" s="1" t="n">
        <v>0</v>
      </c>
      <c r="AE70" s="1" t="n">
        <v>0</v>
      </c>
      <c r="AF70" s="1" t="n">
        <v>0</v>
      </c>
      <c r="AG70" s="1" t="n">
        <v>2</v>
      </c>
      <c r="AH70" s="1" t="n">
        <v>0</v>
      </c>
      <c r="AI70" s="1" t="n">
        <v>0</v>
      </c>
      <c r="AJ70" s="1" t="n">
        <v>7</v>
      </c>
      <c r="AK70" s="1" t="n">
        <v>3</v>
      </c>
      <c r="AL70" s="1" t="n">
        <v>7</v>
      </c>
      <c r="AM70" s="1" t="n">
        <v>3</v>
      </c>
    </row>
    <row r="71">
      <c r="A71" s="1" t="inlineStr">
        <is>
          <t>abdominal aortic aneurysm</t>
        </is>
      </c>
      <c r="B71" s="1" t="inlineStr">
        <is>
          <t>EFO_0004214</t>
        </is>
      </c>
      <c r="C71" s="1" t="inlineStr">
        <is>
          <t>name</t>
        </is>
      </c>
      <c r="D71" s="1" t="n">
        <v>0.05</v>
      </c>
      <c r="E71" s="15" t="n">
        <v>2</v>
      </c>
      <c r="F71" s="15" t="n">
        <v>0</v>
      </c>
      <c r="G71" s="15" t="n">
        <v>0</v>
      </c>
      <c r="H71" s="16">
        <f>G71/F71</f>
        <v/>
      </c>
      <c r="I71" s="16">
        <f>G71/E71</f>
        <v/>
      </c>
      <c r="J71" s="17" t="n">
        <v>4</v>
      </c>
      <c r="K71" s="17" t="n">
        <v>0</v>
      </c>
      <c r="L71" s="17" t="n">
        <v>0</v>
      </c>
      <c r="M71" s="16">
        <f>L71/K71</f>
        <v/>
      </c>
      <c r="N71" s="16">
        <f>L71/J71</f>
        <v/>
      </c>
      <c r="O71" s="18" t="n">
        <v>0</v>
      </c>
      <c r="P71" s="18" t="n">
        <v>0</v>
      </c>
      <c r="Q71" s="16">
        <f>P71/O71</f>
        <v/>
      </c>
      <c r="R71" s="1" t="n">
        <v>140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</row>
    <row r="72">
      <c r="A72" s="1" t="inlineStr">
        <is>
          <t>acne</t>
        </is>
      </c>
      <c r="B72" s="1" t="inlineStr">
        <is>
          <t>EFO_0003894</t>
        </is>
      </c>
      <c r="C72" s="1" t="inlineStr">
        <is>
          <t>name</t>
        </is>
      </c>
      <c r="D72" s="1" t="n">
        <v>0.05</v>
      </c>
      <c r="E72" s="15" t="n">
        <v>7</v>
      </c>
      <c r="F72" s="15" t="n">
        <v>289</v>
      </c>
      <c r="G72" s="15" t="n">
        <v>6</v>
      </c>
      <c r="H72" s="16">
        <f>G72/F72</f>
        <v/>
      </c>
      <c r="I72" s="16">
        <f>G72/E72</f>
        <v/>
      </c>
      <c r="J72" s="17" t="n">
        <v>11</v>
      </c>
      <c r="K72" s="17" t="n">
        <v>137</v>
      </c>
      <c r="L72" s="17" t="n">
        <v>2</v>
      </c>
      <c r="M72" s="16">
        <f>L72/K72</f>
        <v/>
      </c>
      <c r="N72" s="16">
        <f>L72/J72</f>
        <v/>
      </c>
      <c r="O72" s="18" t="n">
        <v>7</v>
      </c>
      <c r="P72" s="18" t="n">
        <v>0</v>
      </c>
      <c r="Q72" s="16">
        <f>P72/O72</f>
        <v/>
      </c>
      <c r="R72" s="1" t="n">
        <v>394</v>
      </c>
      <c r="S72" s="1" t="n">
        <v>8</v>
      </c>
      <c r="T72" s="1" t="n">
        <v>1</v>
      </c>
      <c r="U72" s="1" t="n">
        <v>5</v>
      </c>
      <c r="V72" s="1" t="n">
        <v>8</v>
      </c>
      <c r="W72" s="1" t="n">
        <v>5</v>
      </c>
      <c r="X72" s="1" t="n">
        <v>11</v>
      </c>
      <c r="Y72" s="1" t="n">
        <v>1</v>
      </c>
      <c r="Z72" s="1" t="n">
        <v>15</v>
      </c>
      <c r="AA72" s="1" t="n">
        <v>0</v>
      </c>
      <c r="AB72" s="1" t="n">
        <v>0</v>
      </c>
      <c r="AC72" s="1" t="n">
        <v>2</v>
      </c>
      <c r="AD72" s="1" t="n">
        <v>0</v>
      </c>
      <c r="AE72" s="1" t="n">
        <v>2</v>
      </c>
      <c r="AF72" s="1" t="n">
        <v>5</v>
      </c>
      <c r="AG72" s="1" t="n">
        <v>5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</row>
    <row r="73">
      <c r="A73" s="1" t="inlineStr">
        <is>
          <t>actinic keratosis</t>
        </is>
      </c>
      <c r="B73" s="1" t="inlineStr">
        <is>
          <t>EFO_0002496</t>
        </is>
      </c>
      <c r="C73" s="1" t="inlineStr">
        <is>
          <t>name</t>
        </is>
      </c>
      <c r="D73" s="1" t="n">
        <v>0.05</v>
      </c>
      <c r="E73" s="15" t="n">
        <v>5</v>
      </c>
      <c r="F73" s="15" t="n">
        <v>379</v>
      </c>
      <c r="G73" s="15" t="n">
        <v>5</v>
      </c>
      <c r="H73" s="16">
        <f>G73/F73</f>
        <v/>
      </c>
      <c r="I73" s="16">
        <f>G73/E73</f>
        <v/>
      </c>
      <c r="J73" s="17" t="n">
        <v>11</v>
      </c>
      <c r="K73" s="17" t="n">
        <v>33</v>
      </c>
      <c r="L73" s="17" t="n">
        <v>1</v>
      </c>
      <c r="M73" s="16">
        <f>L73/K73</f>
        <v/>
      </c>
      <c r="N73" s="16">
        <f>L73/J73</f>
        <v/>
      </c>
      <c r="O73" s="18" t="n">
        <v>2</v>
      </c>
      <c r="P73" s="18" t="n">
        <v>0</v>
      </c>
      <c r="Q73" s="16">
        <f>P73/O73</f>
        <v/>
      </c>
      <c r="R73" s="1" t="n">
        <v>478</v>
      </c>
      <c r="S73" s="1" t="n">
        <v>6</v>
      </c>
      <c r="T73" s="1" t="n">
        <v>1</v>
      </c>
      <c r="U73" s="1" t="n">
        <v>1</v>
      </c>
      <c r="V73" s="1" t="n">
        <v>5</v>
      </c>
      <c r="W73" s="1" t="n">
        <v>2</v>
      </c>
      <c r="X73" s="1" t="n">
        <v>4</v>
      </c>
      <c r="Y73" s="1" t="n">
        <v>0</v>
      </c>
      <c r="Z73" s="1" t="n">
        <v>7</v>
      </c>
      <c r="AA73" s="1" t="n">
        <v>1</v>
      </c>
      <c r="AB73" s="1" t="n">
        <v>0</v>
      </c>
      <c r="AC73" s="1" t="n">
        <v>2</v>
      </c>
      <c r="AD73" s="1" t="n">
        <v>0</v>
      </c>
      <c r="AE73" s="1" t="n">
        <v>1</v>
      </c>
      <c r="AF73" s="1" t="n">
        <v>1</v>
      </c>
      <c r="AG73" s="1" t="n">
        <v>1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</row>
    <row r="74">
      <c r="A74" s="1" t="inlineStr">
        <is>
          <t>Acute Lung Injury</t>
        </is>
      </c>
      <c r="B74" s="1" t="inlineStr">
        <is>
          <t>EFO_0004610</t>
        </is>
      </c>
      <c r="C74" s="1" t="inlineStr">
        <is>
          <t>name</t>
        </is>
      </c>
      <c r="D74" s="1" t="n">
        <v>0.05</v>
      </c>
      <c r="E74" s="15" t="n">
        <v>4</v>
      </c>
      <c r="F74" s="15" t="n">
        <v>217</v>
      </c>
      <c r="G74" s="15" t="n">
        <v>2</v>
      </c>
      <c r="H74" s="16">
        <f>G74/F74</f>
        <v/>
      </c>
      <c r="I74" s="16">
        <f>G74/E74</f>
        <v/>
      </c>
      <c r="J74" s="17" t="n">
        <v>5</v>
      </c>
      <c r="K74" s="17" t="n">
        <v>29</v>
      </c>
      <c r="L74" s="17" t="n">
        <v>1</v>
      </c>
      <c r="M74" s="16">
        <f>L74/K74</f>
        <v/>
      </c>
      <c r="N74" s="16">
        <f>L74/J74</f>
        <v/>
      </c>
      <c r="O74" s="18" t="n">
        <v>0</v>
      </c>
      <c r="P74" s="18" t="n">
        <v>0</v>
      </c>
      <c r="Q74" s="16">
        <f>P74/O74</f>
        <v/>
      </c>
      <c r="R74" s="1" t="n">
        <v>231</v>
      </c>
      <c r="S74" s="1" t="n">
        <v>3</v>
      </c>
      <c r="T74" s="1" t="n">
        <v>0</v>
      </c>
      <c r="U74" s="1" t="n">
        <v>1</v>
      </c>
      <c r="V74" s="1" t="n">
        <v>1</v>
      </c>
      <c r="W74" s="1" t="n">
        <v>0</v>
      </c>
      <c r="X74" s="1" t="n">
        <v>0</v>
      </c>
      <c r="Y74" s="1" t="n">
        <v>0</v>
      </c>
      <c r="Z74" s="1" t="n">
        <v>1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1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</row>
    <row r="75">
      <c r="A75" s="1" t="inlineStr">
        <is>
          <t>acute myeloid leukemia</t>
        </is>
      </c>
      <c r="B75" s="1" t="inlineStr">
        <is>
          <t>EFO_0000222</t>
        </is>
      </c>
      <c r="C75" s="1" t="inlineStr">
        <is>
          <t>name</t>
        </is>
      </c>
      <c r="D75" s="1" t="n">
        <v>0.05</v>
      </c>
      <c r="E75" s="15" t="n">
        <v>52</v>
      </c>
      <c r="F75" s="15" t="n">
        <v>87</v>
      </c>
      <c r="G75" s="15" t="n">
        <v>12</v>
      </c>
      <c r="H75" s="16">
        <f>G75/F75</f>
        <v/>
      </c>
      <c r="I75" s="16">
        <f>G75/E75</f>
        <v/>
      </c>
      <c r="J75" s="17" t="n">
        <v>41</v>
      </c>
      <c r="K75" s="17" t="n">
        <v>10</v>
      </c>
      <c r="L75" s="17" t="n">
        <v>2</v>
      </c>
      <c r="M75" s="16">
        <f>L75/K75</f>
        <v/>
      </c>
      <c r="N75" s="16">
        <f>L75/J75</f>
        <v/>
      </c>
      <c r="O75" s="18" t="n">
        <v>0</v>
      </c>
      <c r="P75" s="18" t="n">
        <v>0</v>
      </c>
      <c r="Q75" s="16">
        <f>P75/O75</f>
        <v/>
      </c>
      <c r="R75" s="1" t="n">
        <v>2215</v>
      </c>
      <c r="S75" s="1" t="n">
        <v>14</v>
      </c>
      <c r="T75" s="1" t="n">
        <v>1</v>
      </c>
      <c r="U75" s="1" t="n">
        <v>32</v>
      </c>
      <c r="V75" s="1" t="n">
        <v>21</v>
      </c>
      <c r="W75" s="1" t="n">
        <v>16</v>
      </c>
      <c r="X75" s="1" t="n">
        <v>7</v>
      </c>
      <c r="Y75" s="1" t="n">
        <v>10</v>
      </c>
      <c r="Z75" s="1" t="n">
        <v>23</v>
      </c>
      <c r="AA75" s="1" t="n">
        <v>1</v>
      </c>
      <c r="AB75" s="1" t="n">
        <v>5</v>
      </c>
      <c r="AC75" s="1" t="n">
        <v>11</v>
      </c>
      <c r="AD75" s="1" t="n">
        <v>3</v>
      </c>
      <c r="AE75" s="1" t="n">
        <v>9</v>
      </c>
      <c r="AF75" s="1" t="n">
        <v>2</v>
      </c>
      <c r="AG75" s="1" t="n">
        <v>8</v>
      </c>
      <c r="AH75" s="1" t="n">
        <v>5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</row>
    <row r="76">
      <c r="A76" s="1" t="inlineStr">
        <is>
          <t>acute myocardial infarction</t>
        </is>
      </c>
      <c r="B76" s="1" t="inlineStr">
        <is>
          <t>EFO_0008583</t>
        </is>
      </c>
      <c r="C76" s="1" t="inlineStr">
        <is>
          <t>name</t>
        </is>
      </c>
      <c r="D76" s="1" t="n">
        <v>0.05</v>
      </c>
      <c r="E76" s="15" t="n">
        <v>5</v>
      </c>
      <c r="F76" s="15" t="n">
        <v>319</v>
      </c>
      <c r="G76" s="15" t="n">
        <v>4</v>
      </c>
      <c r="H76" s="16">
        <f>G76/F76</f>
        <v/>
      </c>
      <c r="I76" s="16">
        <f>G76/E76</f>
        <v/>
      </c>
      <c r="J76" s="17" t="n">
        <v>7</v>
      </c>
      <c r="K76" s="17" t="n">
        <v>13</v>
      </c>
      <c r="L76" s="17" t="n">
        <v>0</v>
      </c>
      <c r="M76" s="16">
        <f>L76/K76</f>
        <v/>
      </c>
      <c r="N76" s="16">
        <f>L76/J76</f>
        <v/>
      </c>
      <c r="O76" s="18" t="n">
        <v>0</v>
      </c>
      <c r="P76" s="18" t="n">
        <v>0</v>
      </c>
      <c r="Q76" s="16">
        <f>P76/O76</f>
        <v/>
      </c>
      <c r="R76" s="1" t="n">
        <v>552</v>
      </c>
      <c r="S76" s="1" t="n">
        <v>4</v>
      </c>
      <c r="T76" s="1" t="n">
        <v>0</v>
      </c>
      <c r="U76" s="1" t="n">
        <v>0</v>
      </c>
      <c r="V76" s="1" t="n">
        <v>3</v>
      </c>
      <c r="W76" s="1" t="n">
        <v>4</v>
      </c>
      <c r="X76" s="1" t="n">
        <v>1</v>
      </c>
      <c r="Y76" s="1" t="n">
        <v>0</v>
      </c>
      <c r="Z76" s="1" t="n">
        <v>3</v>
      </c>
      <c r="AA76" s="1" t="n">
        <v>0</v>
      </c>
      <c r="AB76" s="1" t="n">
        <v>0</v>
      </c>
      <c r="AC76" s="1" t="n">
        <v>2</v>
      </c>
      <c r="AD76" s="1" t="n">
        <v>0</v>
      </c>
      <c r="AE76" s="1" t="n">
        <v>0</v>
      </c>
      <c r="AF76" s="1" t="n">
        <v>0</v>
      </c>
      <c r="AG76" s="1" t="n">
        <v>2</v>
      </c>
      <c r="AH76" s="1" t="n">
        <v>1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</row>
    <row r="77">
      <c r="A77" s="1" t="inlineStr">
        <is>
          <t>adenoma</t>
        </is>
      </c>
      <c r="B77" s="1" t="inlineStr">
        <is>
          <t>EFO_0000232</t>
        </is>
      </c>
      <c r="C77" s="1" t="inlineStr">
        <is>
          <t>name</t>
        </is>
      </c>
      <c r="D77" s="1" t="n">
        <v>0.05</v>
      </c>
      <c r="E77" s="15" t="n">
        <v>1</v>
      </c>
      <c r="F77" s="15" t="n">
        <v>317</v>
      </c>
      <c r="G77" s="15" t="n">
        <v>1</v>
      </c>
      <c r="H77" s="16">
        <f>G77/F77</f>
        <v/>
      </c>
      <c r="I77" s="16">
        <f>G77/E77</f>
        <v/>
      </c>
      <c r="J77" s="17" t="n">
        <v>2</v>
      </c>
      <c r="K77" s="17" t="n">
        <v>4</v>
      </c>
      <c r="L77" s="17" t="n">
        <v>0</v>
      </c>
      <c r="M77" s="16">
        <f>L77/K77</f>
        <v/>
      </c>
      <c r="N77" s="16">
        <f>L77/J77</f>
        <v/>
      </c>
      <c r="O77" s="18" t="n">
        <v>0</v>
      </c>
      <c r="P77" s="18" t="n">
        <v>0</v>
      </c>
      <c r="Q77" s="16">
        <f>P77/O77</f>
        <v/>
      </c>
      <c r="R77" s="1" t="n">
        <v>198</v>
      </c>
      <c r="S77" s="1" t="n">
        <v>1</v>
      </c>
      <c r="T77" s="1" t="n">
        <v>0</v>
      </c>
      <c r="U77" s="1" t="n">
        <v>0</v>
      </c>
      <c r="V77" s="1" t="n">
        <v>1</v>
      </c>
      <c r="W77" s="1" t="n">
        <v>0</v>
      </c>
      <c r="X77" s="1" t="n">
        <v>0</v>
      </c>
      <c r="Y77" s="1" t="n">
        <v>0</v>
      </c>
      <c r="Z77" s="1" t="n">
        <v>1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</row>
    <row r="78">
      <c r="A78" s="1" t="inlineStr">
        <is>
          <t>adrenoleukodystrophy</t>
        </is>
      </c>
      <c r="B78" s="1" t="inlineStr">
        <is>
          <t>MONDO_0018544</t>
        </is>
      </c>
      <c r="C78" s="1" t="inlineStr">
        <is>
          <t>name</t>
        </is>
      </c>
      <c r="D78" s="1" t="n">
        <v>0.05</v>
      </c>
      <c r="E78" s="15" t="n">
        <v>0</v>
      </c>
      <c r="F78" s="15" t="n">
        <v>174</v>
      </c>
      <c r="G78" s="15" t="n">
        <v>0</v>
      </c>
      <c r="H78" s="16">
        <f>G78/F78</f>
        <v/>
      </c>
      <c r="I78" s="16">
        <f>G78/E78</f>
        <v/>
      </c>
      <c r="J78" s="17" t="n">
        <v>0</v>
      </c>
      <c r="K78" s="17" t="n">
        <v>75</v>
      </c>
      <c r="L78" s="17" t="n">
        <v>0</v>
      </c>
      <c r="M78" s="16">
        <f>L78/K78</f>
        <v/>
      </c>
      <c r="N78" s="16">
        <f>L78/J78</f>
        <v/>
      </c>
      <c r="O78" s="18" t="n">
        <v>3</v>
      </c>
      <c r="P78" s="18" t="n">
        <v>0</v>
      </c>
      <c r="Q78" s="16">
        <f>P78/O78</f>
        <v/>
      </c>
      <c r="R78" s="1" t="n">
        <v>4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2</v>
      </c>
      <c r="AL78" s="1" t="n">
        <v>0</v>
      </c>
      <c r="AM78" s="1" t="n">
        <v>0</v>
      </c>
    </row>
    <row r="79">
      <c r="A79" s="1" t="inlineStr">
        <is>
          <t>alcohol abuse</t>
        </is>
      </c>
      <c r="B79" s="1" t="inlineStr">
        <is>
          <t>MONDO_0002046</t>
        </is>
      </c>
      <c r="C79" s="1" t="inlineStr">
        <is>
          <t>name</t>
        </is>
      </c>
      <c r="D79" s="1" t="n">
        <v>0.05</v>
      </c>
      <c r="E79" s="15" t="n">
        <v>2</v>
      </c>
      <c r="F79" s="15" t="n">
        <v>0</v>
      </c>
      <c r="G79" s="15" t="n">
        <v>0</v>
      </c>
      <c r="H79" s="16">
        <f>G79/F79</f>
        <v/>
      </c>
      <c r="I79" s="16">
        <f>G79/E79</f>
        <v/>
      </c>
      <c r="J79" s="17" t="n">
        <v>7</v>
      </c>
      <c r="K79" s="17" t="n">
        <v>7</v>
      </c>
      <c r="L79" s="17" t="n">
        <v>0</v>
      </c>
      <c r="M79" s="16">
        <f>L79/K79</f>
        <v/>
      </c>
      <c r="N79" s="16">
        <f>L79/J79</f>
        <v/>
      </c>
      <c r="O79" s="18" t="n">
        <v>0</v>
      </c>
      <c r="P79" s="18" t="n">
        <v>0</v>
      </c>
      <c r="Q79" s="16">
        <f>P79/O79</f>
        <v/>
      </c>
      <c r="R79" s="1" t="n">
        <v>131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</row>
    <row r="80">
      <c r="A80" s="1" t="inlineStr">
        <is>
          <t>allergic asthma</t>
        </is>
      </c>
      <c r="B80" s="1" t="inlineStr">
        <is>
          <t>MONDO_0004784</t>
        </is>
      </c>
      <c r="C80" s="1" t="inlineStr">
        <is>
          <t>name</t>
        </is>
      </c>
      <c r="D80" s="1" t="n">
        <v>0.05</v>
      </c>
      <c r="E80" s="15" t="n">
        <v>0</v>
      </c>
      <c r="F80" s="15" t="n">
        <v>84</v>
      </c>
      <c r="G80" s="15" t="n">
        <v>0</v>
      </c>
      <c r="H80" s="16">
        <f>G80/F80</f>
        <v/>
      </c>
      <c r="I80" s="16">
        <f>G80/E80</f>
        <v/>
      </c>
      <c r="J80" s="17" t="n">
        <v>2</v>
      </c>
      <c r="K80" s="17" t="n">
        <v>128</v>
      </c>
      <c r="L80" s="17" t="n">
        <v>2</v>
      </c>
      <c r="M80" s="16">
        <f>L80/K80</f>
        <v/>
      </c>
      <c r="N80" s="16">
        <f>L80/J80</f>
        <v/>
      </c>
      <c r="O80" s="18" t="n">
        <v>1</v>
      </c>
      <c r="P80" s="18" t="n">
        <v>0</v>
      </c>
      <c r="Q80" s="16">
        <f>P80/O80</f>
        <v/>
      </c>
      <c r="R80" s="1" t="n">
        <v>162</v>
      </c>
      <c r="S80" s="1" t="n">
        <v>2</v>
      </c>
      <c r="T80" s="1" t="n">
        <v>0</v>
      </c>
      <c r="U80" s="1" t="n">
        <v>1</v>
      </c>
      <c r="V80" s="1" t="n">
        <v>0</v>
      </c>
      <c r="W80" s="1" t="n">
        <v>1</v>
      </c>
      <c r="X80" s="1" t="n">
        <v>0</v>
      </c>
      <c r="Y80" s="1" t="n">
        <v>0</v>
      </c>
      <c r="Z80" s="1" t="n">
        <v>1</v>
      </c>
      <c r="AA80" s="1" t="n">
        <v>0</v>
      </c>
      <c r="AB80" s="1" t="n">
        <v>0</v>
      </c>
      <c r="AC80" s="1" t="n">
        <v>1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</row>
    <row r="81">
      <c r="A81" s="1" t="inlineStr">
        <is>
          <t>allergic contact dermatitis</t>
        </is>
      </c>
      <c r="B81" s="1" t="inlineStr">
        <is>
          <t>EFO_1000668</t>
        </is>
      </c>
      <c r="C81" s="1" t="inlineStr">
        <is>
          <t>name</t>
        </is>
      </c>
      <c r="D81" s="1" t="n">
        <v>0.05</v>
      </c>
      <c r="E81" s="15" t="n">
        <v>0</v>
      </c>
      <c r="F81" s="15" t="n">
        <v>311</v>
      </c>
      <c r="G81" s="15" t="n">
        <v>0</v>
      </c>
      <c r="H81" s="16">
        <f>G81/F81</f>
        <v/>
      </c>
      <c r="I81" s="16">
        <f>G81/E81</f>
        <v/>
      </c>
      <c r="J81" s="17" t="n">
        <v>0</v>
      </c>
      <c r="K81" s="17" t="n">
        <v>114</v>
      </c>
      <c r="L81" s="17" t="n">
        <v>0</v>
      </c>
      <c r="M81" s="16">
        <f>L81/K81</f>
        <v/>
      </c>
      <c r="N81" s="16">
        <f>L81/J81</f>
        <v/>
      </c>
      <c r="O81" s="18" t="n">
        <v>4</v>
      </c>
      <c r="P81" s="18" t="n">
        <v>0</v>
      </c>
      <c r="Q81" s="16">
        <f>P81/O81</f>
        <v/>
      </c>
      <c r="R81" s="1" t="n">
        <v>17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</row>
    <row r="82">
      <c r="A82" s="1" t="inlineStr">
        <is>
          <t>alpha 1-antitrypsin deficiency</t>
        </is>
      </c>
      <c r="B82" s="1" t="inlineStr">
        <is>
          <t>MONDO_0013282</t>
        </is>
      </c>
      <c r="C82" s="1" t="inlineStr">
        <is>
          <t>name</t>
        </is>
      </c>
      <c r="D82" s="1" t="n">
        <v>0.05</v>
      </c>
      <c r="E82" s="15" t="n">
        <v>1</v>
      </c>
      <c r="F82" s="15" t="n">
        <v>291</v>
      </c>
      <c r="G82" s="15" t="n">
        <v>1</v>
      </c>
      <c r="H82" s="16">
        <f>G82/F82</f>
        <v/>
      </c>
      <c r="I82" s="16">
        <f>G82/E82</f>
        <v/>
      </c>
      <c r="J82" s="17" t="n">
        <v>1</v>
      </c>
      <c r="K82" s="17" t="n">
        <v>60</v>
      </c>
      <c r="L82" s="17" t="n">
        <v>0</v>
      </c>
      <c r="M82" s="16">
        <f>L82/K82</f>
        <v/>
      </c>
      <c r="N82" s="16">
        <f>L82/J82</f>
        <v/>
      </c>
      <c r="O82" s="18" t="n">
        <v>4</v>
      </c>
      <c r="P82" s="18" t="n">
        <v>0</v>
      </c>
      <c r="Q82" s="16">
        <f>P82/O82</f>
        <v/>
      </c>
      <c r="R82" s="1" t="n">
        <v>4</v>
      </c>
      <c r="S82" s="1" t="n">
        <v>1</v>
      </c>
      <c r="T82" s="1" t="n">
        <v>0</v>
      </c>
      <c r="U82" s="1" t="n">
        <v>1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1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</row>
    <row r="83">
      <c r="A83" s="1" t="inlineStr">
        <is>
          <t>amyotrophic lateral sclerosis</t>
        </is>
      </c>
      <c r="B83" s="1" t="inlineStr">
        <is>
          <t>MONDO_0004976</t>
        </is>
      </c>
      <c r="C83" s="1" t="inlineStr">
        <is>
          <t>name</t>
        </is>
      </c>
      <c r="D83" s="1" t="n">
        <v>0.05</v>
      </c>
      <c r="E83" s="15" t="n">
        <v>12</v>
      </c>
      <c r="F83" s="15" t="n">
        <v>331</v>
      </c>
      <c r="G83" s="15" t="n">
        <v>8</v>
      </c>
      <c r="H83" s="16">
        <f>G83/F83</f>
        <v/>
      </c>
      <c r="I83" s="16">
        <f>G83/E83</f>
        <v/>
      </c>
      <c r="J83" s="17" t="n">
        <v>25</v>
      </c>
      <c r="K83" s="17" t="n">
        <v>0</v>
      </c>
      <c r="L83" s="17" t="n">
        <v>0</v>
      </c>
      <c r="M83" s="16">
        <f>L83/K83</f>
        <v/>
      </c>
      <c r="N83" s="16">
        <f>L83/J83</f>
        <v/>
      </c>
      <c r="O83" s="18" t="n">
        <v>0</v>
      </c>
      <c r="P83" s="18" t="n">
        <v>0</v>
      </c>
      <c r="Q83" s="16">
        <f>P83/O83</f>
        <v/>
      </c>
      <c r="R83" s="1" t="n">
        <v>925</v>
      </c>
      <c r="S83" s="1" t="n">
        <v>8</v>
      </c>
      <c r="T83" s="1" t="n">
        <v>0</v>
      </c>
      <c r="U83" s="1" t="n">
        <v>4</v>
      </c>
      <c r="V83" s="1" t="n">
        <v>4</v>
      </c>
      <c r="W83" s="1" t="n">
        <v>0</v>
      </c>
      <c r="X83" s="1" t="n">
        <v>0</v>
      </c>
      <c r="Y83" s="1" t="n">
        <v>0</v>
      </c>
      <c r="Z83" s="1" t="n">
        <v>6</v>
      </c>
      <c r="AA83" s="1" t="n">
        <v>0</v>
      </c>
      <c r="AB83" s="1" t="n">
        <v>1</v>
      </c>
      <c r="AC83" s="1" t="n">
        <v>0</v>
      </c>
      <c r="AD83" s="1" t="n">
        <v>0</v>
      </c>
      <c r="AE83" s="1" t="n">
        <v>1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</row>
    <row r="84">
      <c r="A84" s="1" t="inlineStr">
        <is>
          <t>Anaplasmosis</t>
        </is>
      </c>
      <c r="B84" s="1" t="inlineStr">
        <is>
          <t>MONDO_0025303</t>
        </is>
      </c>
      <c r="C84" s="1" t="inlineStr">
        <is>
          <t>name</t>
        </is>
      </c>
      <c r="D84" s="1" t="n">
        <v>0.05</v>
      </c>
      <c r="E84" s="15" t="n">
        <v>0</v>
      </c>
      <c r="F84" s="15" t="n">
        <v>90</v>
      </c>
      <c r="G84" s="15" t="n">
        <v>0</v>
      </c>
      <c r="H84" s="16">
        <f>G84/F84</f>
        <v/>
      </c>
      <c r="I84" s="16">
        <f>G84/E84</f>
        <v/>
      </c>
      <c r="J84" s="17" t="n">
        <v>0</v>
      </c>
      <c r="K84" s="17" t="n">
        <v>108</v>
      </c>
      <c r="L84" s="17" t="n">
        <v>0</v>
      </c>
      <c r="M84" s="16">
        <f>L84/K84</f>
        <v/>
      </c>
      <c r="N84" s="16">
        <f>L84/J84</f>
        <v/>
      </c>
      <c r="O84" s="18" t="n">
        <v>1</v>
      </c>
      <c r="P84" s="18" t="n">
        <v>0</v>
      </c>
      <c r="Q84" s="16">
        <f>P84/O84</f>
        <v/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</row>
    <row r="85">
      <c r="A85" s="1" t="inlineStr">
        <is>
          <t>androgen insensitivity syndrome</t>
        </is>
      </c>
      <c r="B85" s="1" t="inlineStr">
        <is>
          <t>MONDO_0019154</t>
        </is>
      </c>
      <c r="C85" s="1" t="inlineStr">
        <is>
          <t>name</t>
        </is>
      </c>
      <c r="D85" s="1" t="n">
        <v>0.05</v>
      </c>
      <c r="E85" s="15" t="n">
        <v>0</v>
      </c>
      <c r="F85" s="15" t="n">
        <v>0</v>
      </c>
      <c r="G85" s="15" t="n">
        <v>0</v>
      </c>
      <c r="H85" s="16">
        <f>G85/F85</f>
        <v/>
      </c>
      <c r="I85" s="16">
        <f>G85/E85</f>
        <v/>
      </c>
      <c r="J85" s="17" t="n">
        <v>0</v>
      </c>
      <c r="K85" s="17" t="n">
        <v>0</v>
      </c>
      <c r="L85" s="17" t="n">
        <v>0</v>
      </c>
      <c r="M85" s="16">
        <f>L85/K85</f>
        <v/>
      </c>
      <c r="N85" s="16">
        <f>L85/J85</f>
        <v/>
      </c>
      <c r="O85" s="18" t="n">
        <v>0</v>
      </c>
      <c r="P85" s="18" t="n">
        <v>0</v>
      </c>
      <c r="Q85" s="16">
        <f>P85/O85</f>
        <v/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</row>
    <row r="86">
      <c r="A86" s="1" t="inlineStr">
        <is>
          <t>anemia</t>
        </is>
      </c>
      <c r="B86" s="1" t="inlineStr">
        <is>
          <t>MONDO_0002280</t>
        </is>
      </c>
      <c r="C86" s="1" t="inlineStr">
        <is>
          <t>name</t>
        </is>
      </c>
      <c r="D86" s="1" t="n">
        <v>0.05</v>
      </c>
      <c r="E86" s="15" t="n">
        <v>3</v>
      </c>
      <c r="F86" s="15" t="n">
        <v>259</v>
      </c>
      <c r="G86" s="15" t="n">
        <v>3</v>
      </c>
      <c r="H86" s="16">
        <f>G86/F86</f>
        <v/>
      </c>
      <c r="I86" s="16">
        <f>G86/E86</f>
        <v/>
      </c>
      <c r="J86" s="17" t="n">
        <v>5</v>
      </c>
      <c r="K86" s="17" t="n">
        <v>190</v>
      </c>
      <c r="L86" s="17" t="n">
        <v>2</v>
      </c>
      <c r="M86" s="16">
        <f>L86/K86</f>
        <v/>
      </c>
      <c r="N86" s="16">
        <f>L86/J86</f>
        <v/>
      </c>
      <c r="O86" s="18" t="n">
        <v>9</v>
      </c>
      <c r="P86" s="18" t="n">
        <v>0</v>
      </c>
      <c r="Q86" s="16">
        <f>P86/O86</f>
        <v/>
      </c>
      <c r="R86" s="1" t="n">
        <v>243</v>
      </c>
      <c r="S86" s="1" t="n">
        <v>5</v>
      </c>
      <c r="T86" s="1" t="n">
        <v>0</v>
      </c>
      <c r="U86" s="1" t="n">
        <v>0</v>
      </c>
      <c r="V86" s="1" t="n">
        <v>2</v>
      </c>
      <c r="W86" s="1" t="n">
        <v>0</v>
      </c>
      <c r="X86" s="1" t="n">
        <v>1</v>
      </c>
      <c r="Y86" s="1" t="n">
        <v>0</v>
      </c>
      <c r="Z86" s="1" t="n">
        <v>0</v>
      </c>
      <c r="AA86" s="1" t="n">
        <v>0</v>
      </c>
      <c r="AB86" s="1" t="n">
        <v>2</v>
      </c>
      <c r="AC86" s="1" t="n">
        <v>0</v>
      </c>
      <c r="AD86" s="1" t="n">
        <v>0</v>
      </c>
      <c r="AE86" s="1" t="n">
        <v>0</v>
      </c>
      <c r="AF86" s="1" t="n">
        <v>1</v>
      </c>
      <c r="AG86" s="1" t="n">
        <v>0</v>
      </c>
      <c r="AH86" s="1" t="n">
        <v>0</v>
      </c>
      <c r="AI86" s="1" t="n">
        <v>0</v>
      </c>
      <c r="AJ86" s="1" t="n">
        <v>10</v>
      </c>
      <c r="AK86" s="1" t="n">
        <v>3</v>
      </c>
      <c r="AL86" s="1" t="n">
        <v>3</v>
      </c>
      <c r="AM86" s="1" t="n">
        <v>2</v>
      </c>
    </row>
    <row r="87">
      <c r="A87" s="1" t="inlineStr">
        <is>
          <t>ankylosing spondylitis</t>
        </is>
      </c>
      <c r="B87" s="1" t="inlineStr">
        <is>
          <t>EFO_0003898</t>
        </is>
      </c>
      <c r="C87" s="1" t="inlineStr">
        <is>
          <t>name</t>
        </is>
      </c>
      <c r="D87" s="1" t="n">
        <v>0.05</v>
      </c>
      <c r="E87" s="15" t="n">
        <v>9</v>
      </c>
      <c r="F87" s="15" t="n">
        <v>272</v>
      </c>
      <c r="G87" s="15" t="n">
        <v>7</v>
      </c>
      <c r="H87" s="16">
        <f>G87/F87</f>
        <v/>
      </c>
      <c r="I87" s="16">
        <f>G87/E87</f>
        <v/>
      </c>
      <c r="J87" s="17" t="n">
        <v>12</v>
      </c>
      <c r="K87" s="17" t="n">
        <v>7</v>
      </c>
      <c r="L87" s="17" t="n">
        <v>0</v>
      </c>
      <c r="M87" s="16">
        <f>L87/K87</f>
        <v/>
      </c>
      <c r="N87" s="16">
        <f>L87/J87</f>
        <v/>
      </c>
      <c r="O87" s="18" t="n">
        <v>0</v>
      </c>
      <c r="P87" s="18" t="n">
        <v>0</v>
      </c>
      <c r="Q87" s="16">
        <f>P87/O87</f>
        <v/>
      </c>
      <c r="R87" s="1" t="n">
        <v>634</v>
      </c>
      <c r="S87" s="1" t="n">
        <v>7</v>
      </c>
      <c r="T87" s="1" t="n">
        <v>0</v>
      </c>
      <c r="U87" s="1" t="n">
        <v>0</v>
      </c>
      <c r="V87" s="1" t="n">
        <v>4</v>
      </c>
      <c r="W87" s="1" t="n">
        <v>5</v>
      </c>
      <c r="X87" s="1" t="n">
        <v>3</v>
      </c>
      <c r="Y87" s="1" t="n">
        <v>0</v>
      </c>
      <c r="Z87" s="1" t="n">
        <v>5</v>
      </c>
      <c r="AA87" s="1" t="n">
        <v>0</v>
      </c>
      <c r="AB87" s="1" t="n">
        <v>0</v>
      </c>
      <c r="AC87" s="1" t="n">
        <v>2</v>
      </c>
      <c r="AD87" s="1" t="n">
        <v>0</v>
      </c>
      <c r="AE87" s="1" t="n">
        <v>0</v>
      </c>
      <c r="AF87" s="1" t="n">
        <v>3</v>
      </c>
      <c r="AG87" s="1" t="n">
        <v>1</v>
      </c>
      <c r="AH87" s="1" t="n">
        <v>1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</row>
    <row r="88">
      <c r="A88" s="1" t="inlineStr">
        <is>
          <t>aplastic anemia</t>
        </is>
      </c>
      <c r="B88" s="1" t="inlineStr">
        <is>
          <t>MONDO_0015909</t>
        </is>
      </c>
      <c r="C88" s="1" t="inlineStr">
        <is>
          <t>name</t>
        </is>
      </c>
      <c r="D88" s="1" t="n">
        <v>0.05</v>
      </c>
      <c r="E88" s="15" t="n">
        <v>0</v>
      </c>
      <c r="F88" s="15" t="n">
        <v>220</v>
      </c>
      <c r="G88" s="15" t="n">
        <v>0</v>
      </c>
      <c r="H88" s="16">
        <f>G88/F88</f>
        <v/>
      </c>
      <c r="I88" s="16">
        <f>G88/E88</f>
        <v/>
      </c>
      <c r="J88" s="17" t="n">
        <v>0</v>
      </c>
      <c r="K88" s="17" t="n">
        <v>23</v>
      </c>
      <c r="L88" s="17" t="n">
        <v>0</v>
      </c>
      <c r="M88" s="16">
        <f>L88/K88</f>
        <v/>
      </c>
      <c r="N88" s="16">
        <f>L88/J88</f>
        <v/>
      </c>
      <c r="O88" s="18" t="n">
        <v>2</v>
      </c>
      <c r="P88" s="18" t="n">
        <v>0</v>
      </c>
      <c r="Q88" s="16">
        <f>P88/O88</f>
        <v/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</row>
    <row r="89">
      <c r="A89" s="1" t="inlineStr">
        <is>
          <t>appendicitis</t>
        </is>
      </c>
      <c r="B89" s="1" t="inlineStr">
        <is>
          <t>EFO_0007149</t>
        </is>
      </c>
      <c r="C89" s="1" t="inlineStr">
        <is>
          <t>name</t>
        </is>
      </c>
      <c r="D89" s="1" t="n">
        <v>0.05</v>
      </c>
      <c r="E89" s="15" t="n">
        <v>1</v>
      </c>
      <c r="F89" s="15" t="n">
        <v>245</v>
      </c>
      <c r="G89" s="15" t="n">
        <v>0</v>
      </c>
      <c r="H89" s="16">
        <f>G89/F89</f>
        <v/>
      </c>
      <c r="I89" s="16">
        <f>G89/E89</f>
        <v/>
      </c>
      <c r="J89" s="17" t="n">
        <v>3</v>
      </c>
      <c r="K89" s="17" t="n">
        <v>73</v>
      </c>
      <c r="L89" s="17" t="n">
        <v>1</v>
      </c>
      <c r="M89" s="16">
        <f>L89/K89</f>
        <v/>
      </c>
      <c r="N89" s="16">
        <f>L89/J89</f>
        <v/>
      </c>
      <c r="O89" s="18" t="n">
        <v>3</v>
      </c>
      <c r="P89" s="18" t="n">
        <v>0</v>
      </c>
      <c r="Q89" s="16">
        <f>P89/O89</f>
        <v/>
      </c>
      <c r="R89" s="1" t="n">
        <v>149</v>
      </c>
      <c r="S89" s="1" t="n">
        <v>1</v>
      </c>
      <c r="T89" s="1" t="n">
        <v>0</v>
      </c>
      <c r="U89" s="1" t="n">
        <v>0</v>
      </c>
      <c r="V89" s="1" t="n">
        <v>1</v>
      </c>
      <c r="W89" s="1" t="n">
        <v>0</v>
      </c>
      <c r="X89" s="1" t="n">
        <v>0</v>
      </c>
      <c r="Y89" s="1" t="n">
        <v>0</v>
      </c>
      <c r="Z89" s="1" t="n">
        <v>1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</row>
    <row r="90">
      <c r="A90" s="1" t="inlineStr">
        <is>
          <t>arthritis</t>
        </is>
      </c>
      <c r="B90" s="1" t="inlineStr">
        <is>
          <t>EFO_0005856</t>
        </is>
      </c>
      <c r="C90" s="1" t="inlineStr">
        <is>
          <t>name</t>
        </is>
      </c>
      <c r="D90" s="1" t="n">
        <v>0.05</v>
      </c>
      <c r="E90" s="15" t="n">
        <v>2</v>
      </c>
      <c r="F90" s="15" t="n">
        <v>81</v>
      </c>
      <c r="G90" s="15" t="n">
        <v>0</v>
      </c>
      <c r="H90" s="16">
        <f>G90/F90</f>
        <v/>
      </c>
      <c r="I90" s="16">
        <f>G90/E90</f>
        <v/>
      </c>
      <c r="J90" s="17" t="n">
        <v>6</v>
      </c>
      <c r="K90" s="17" t="n">
        <v>72</v>
      </c>
      <c r="L90" s="17" t="n">
        <v>2</v>
      </c>
      <c r="M90" s="16">
        <f>L90/K90</f>
        <v/>
      </c>
      <c r="N90" s="16">
        <f>L90/J90</f>
        <v/>
      </c>
      <c r="O90" s="18" t="n">
        <v>1</v>
      </c>
      <c r="P90" s="18" t="n">
        <v>0</v>
      </c>
      <c r="Q90" s="16">
        <f>P90/O90</f>
        <v/>
      </c>
      <c r="R90" s="1" t="n">
        <v>435</v>
      </c>
      <c r="S90" s="1" t="n">
        <v>2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2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2</v>
      </c>
      <c r="AG90" s="1" t="n">
        <v>0</v>
      </c>
      <c r="AH90" s="1" t="n">
        <v>0</v>
      </c>
      <c r="AI90" s="1" t="n">
        <v>1</v>
      </c>
      <c r="AJ90" s="1" t="n">
        <v>3</v>
      </c>
      <c r="AK90" s="1" t="n">
        <v>3</v>
      </c>
      <c r="AL90" s="1" t="n">
        <v>0</v>
      </c>
      <c r="AM90" s="1" t="n">
        <v>1</v>
      </c>
    </row>
    <row r="91">
      <c r="A91" s="1" t="inlineStr">
        <is>
          <t>arthropathy</t>
        </is>
      </c>
      <c r="B91" s="1" t="inlineStr">
        <is>
          <t>HP_0003040</t>
        </is>
      </c>
      <c r="C91" s="1" t="inlineStr">
        <is>
          <t>name</t>
        </is>
      </c>
      <c r="D91" s="1" t="n">
        <v>0.05</v>
      </c>
      <c r="E91" s="15" t="n">
        <v>1</v>
      </c>
      <c r="F91" s="15" t="n">
        <v>158</v>
      </c>
      <c r="G91" s="15" t="n">
        <v>0</v>
      </c>
      <c r="H91" s="16">
        <f>G91/F91</f>
        <v/>
      </c>
      <c r="I91" s="16">
        <f>G91/E91</f>
        <v/>
      </c>
      <c r="J91" s="17" t="n">
        <v>3</v>
      </c>
      <c r="K91" s="17" t="n">
        <v>96</v>
      </c>
      <c r="L91" s="17" t="n">
        <v>1</v>
      </c>
      <c r="M91" s="16">
        <f>L91/K91</f>
        <v/>
      </c>
      <c r="N91" s="16">
        <f>L91/J91</f>
        <v/>
      </c>
      <c r="O91" s="18" t="n">
        <v>2</v>
      </c>
      <c r="P91" s="18" t="n">
        <v>0</v>
      </c>
      <c r="Q91" s="16">
        <f>P91/O91</f>
        <v/>
      </c>
      <c r="R91" s="1" t="n">
        <v>66</v>
      </c>
      <c r="S91" s="1" t="n">
        <v>1</v>
      </c>
      <c r="T91" s="1" t="n">
        <v>0</v>
      </c>
      <c r="U91" s="1" t="n">
        <v>0</v>
      </c>
      <c r="V91" s="1" t="n">
        <v>1</v>
      </c>
      <c r="W91" s="1" t="n">
        <v>1</v>
      </c>
      <c r="X91" s="1" t="n">
        <v>0</v>
      </c>
      <c r="Y91" s="1" t="n">
        <v>0</v>
      </c>
      <c r="Z91" s="1" t="n">
        <v>1</v>
      </c>
      <c r="AA91" s="1" t="n">
        <v>0</v>
      </c>
      <c r="AB91" s="1" t="n">
        <v>0</v>
      </c>
      <c r="AC91" s="1" t="n">
        <v>1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</row>
    <row r="92">
      <c r="A92" s="1" t="inlineStr">
        <is>
          <t>asthma</t>
        </is>
      </c>
      <c r="B92" s="1" t="inlineStr">
        <is>
          <t>MONDO_0004979</t>
        </is>
      </c>
      <c r="C92" s="1" t="inlineStr">
        <is>
          <t>name</t>
        </is>
      </c>
      <c r="D92" s="1" t="n">
        <v>0.05</v>
      </c>
      <c r="E92" s="15" t="n">
        <v>13</v>
      </c>
      <c r="F92" s="15" t="n">
        <v>0</v>
      </c>
      <c r="G92" s="15" t="n">
        <v>0</v>
      </c>
      <c r="H92" s="16">
        <f>G92/F92</f>
        <v/>
      </c>
      <c r="I92" s="16">
        <f>G92/E92</f>
        <v/>
      </c>
      <c r="J92" s="17" t="n">
        <v>38</v>
      </c>
      <c r="K92" s="17" t="n">
        <v>3</v>
      </c>
      <c r="L92" s="17" t="n">
        <v>0</v>
      </c>
      <c r="M92" s="16">
        <f>L92/K92</f>
        <v/>
      </c>
      <c r="N92" s="16">
        <f>L92/J92</f>
        <v/>
      </c>
      <c r="O92" s="18" t="n">
        <v>0</v>
      </c>
      <c r="P92" s="18" t="n">
        <v>0</v>
      </c>
      <c r="Q92" s="16">
        <f>P92/O92</f>
        <v/>
      </c>
      <c r="R92" s="1" t="n">
        <v>1993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1</v>
      </c>
      <c r="AK92" s="1" t="n">
        <v>0</v>
      </c>
      <c r="AL92" s="1" t="n">
        <v>0</v>
      </c>
      <c r="AM92" s="1" t="n">
        <v>0</v>
      </c>
    </row>
    <row r="93">
      <c r="A93" s="1" t="inlineStr">
        <is>
          <t>astrocytoma</t>
        </is>
      </c>
      <c r="B93" s="1" t="inlineStr">
        <is>
          <t>EFO_0000272</t>
        </is>
      </c>
      <c r="C93" s="1" t="inlineStr">
        <is>
          <t>name</t>
        </is>
      </c>
      <c r="D93" s="1" t="n">
        <v>0.05</v>
      </c>
      <c r="E93" s="15" t="n">
        <v>8</v>
      </c>
      <c r="F93" s="15" t="n">
        <v>162</v>
      </c>
      <c r="G93" s="15" t="n">
        <v>1</v>
      </c>
      <c r="H93" s="16">
        <f>G93/F93</f>
        <v/>
      </c>
      <c r="I93" s="16">
        <f>G93/E93</f>
        <v/>
      </c>
      <c r="J93" s="17" t="n">
        <v>6</v>
      </c>
      <c r="K93" s="17" t="n">
        <v>52</v>
      </c>
      <c r="L93" s="17" t="n">
        <v>0</v>
      </c>
      <c r="M93" s="16">
        <f>L93/K93</f>
        <v/>
      </c>
      <c r="N93" s="16">
        <f>L93/J93</f>
        <v/>
      </c>
      <c r="O93" s="18" t="n">
        <v>1</v>
      </c>
      <c r="P93" s="18" t="n">
        <v>0</v>
      </c>
      <c r="Q93" s="16">
        <f>P93/O93</f>
        <v/>
      </c>
      <c r="R93" s="1" t="n">
        <v>267</v>
      </c>
      <c r="S93" s="1" t="n">
        <v>1</v>
      </c>
      <c r="T93" s="1" t="n">
        <v>0</v>
      </c>
      <c r="U93" s="1" t="n">
        <v>0</v>
      </c>
      <c r="V93" s="1" t="n">
        <v>0</v>
      </c>
      <c r="W93" s="1" t="n">
        <v>1</v>
      </c>
      <c r="X93" s="1" t="n">
        <v>0</v>
      </c>
      <c r="Y93" s="1" t="n">
        <v>0</v>
      </c>
      <c r="Z93" s="1" t="n">
        <v>1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2</v>
      </c>
      <c r="AK93" s="1" t="n">
        <v>0</v>
      </c>
      <c r="AL93" s="1" t="n">
        <v>0</v>
      </c>
      <c r="AM93" s="1" t="n">
        <v>0</v>
      </c>
    </row>
    <row r="94">
      <c r="A94" s="1" t="inlineStr">
        <is>
          <t>atherosclerosis</t>
        </is>
      </c>
      <c r="B94" s="1" t="inlineStr">
        <is>
          <t>EFO_0003914</t>
        </is>
      </c>
      <c r="C94" s="1" t="inlineStr">
        <is>
          <t>name</t>
        </is>
      </c>
      <c r="D94" s="1" t="n">
        <v>0.05</v>
      </c>
      <c r="E94" s="15" t="n">
        <v>9</v>
      </c>
      <c r="F94" s="15" t="n">
        <v>103</v>
      </c>
      <c r="G94" s="15" t="n">
        <v>1</v>
      </c>
      <c r="H94" s="16">
        <f>G94/F94</f>
        <v/>
      </c>
      <c r="I94" s="16">
        <f>G94/E94</f>
        <v/>
      </c>
      <c r="J94" s="17" t="n">
        <v>23</v>
      </c>
      <c r="K94" s="17" t="n">
        <v>0</v>
      </c>
      <c r="L94" s="17" t="n">
        <v>0</v>
      </c>
      <c r="M94" s="16">
        <f>L94/K94</f>
        <v/>
      </c>
      <c r="N94" s="16">
        <f>L94/J94</f>
        <v/>
      </c>
      <c r="O94" s="18" t="n">
        <v>0</v>
      </c>
      <c r="P94" s="18" t="n">
        <v>0</v>
      </c>
      <c r="Q94" s="16">
        <f>P94/O94</f>
        <v/>
      </c>
      <c r="R94" s="1" t="n">
        <v>745</v>
      </c>
      <c r="S94" s="1" t="n">
        <v>1</v>
      </c>
      <c r="T94" s="1" t="n">
        <v>0</v>
      </c>
      <c r="U94" s="1" t="n">
        <v>0</v>
      </c>
      <c r="V94" s="1" t="n">
        <v>0</v>
      </c>
      <c r="W94" s="1" t="n">
        <v>1</v>
      </c>
      <c r="X94" s="1" t="n">
        <v>0</v>
      </c>
      <c r="Y94" s="1" t="n">
        <v>0</v>
      </c>
      <c r="Z94" s="1" t="n">
        <v>1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1</v>
      </c>
      <c r="AM94" s="1" t="n">
        <v>0</v>
      </c>
    </row>
    <row r="95">
      <c r="A95" s="1" t="inlineStr">
        <is>
          <t>autism spectrum disorder</t>
        </is>
      </c>
      <c r="B95" s="1" t="inlineStr">
        <is>
          <t>EFO_0003756</t>
        </is>
      </c>
      <c r="C95" s="1" t="inlineStr">
        <is>
          <t>name</t>
        </is>
      </c>
      <c r="D95" s="1" t="n">
        <v>0.05</v>
      </c>
      <c r="E95" s="15" t="n">
        <v>3</v>
      </c>
      <c r="F95" s="15" t="n">
        <v>153</v>
      </c>
      <c r="G95" s="15" t="n">
        <v>0</v>
      </c>
      <c r="H95" s="16">
        <f>G95/F95</f>
        <v/>
      </c>
      <c r="I95" s="16">
        <f>G95/E95</f>
        <v/>
      </c>
      <c r="J95" s="17" t="n">
        <v>14</v>
      </c>
      <c r="K95" s="17" t="n">
        <v>12</v>
      </c>
      <c r="L95" s="17" t="n">
        <v>0</v>
      </c>
      <c r="M95" s="16">
        <f>L95/K95</f>
        <v/>
      </c>
      <c r="N95" s="16">
        <f>L95/J95</f>
        <v/>
      </c>
      <c r="O95" s="18" t="n">
        <v>0</v>
      </c>
      <c r="P95" s="18" t="n">
        <v>0</v>
      </c>
      <c r="Q95" s="16">
        <f>P95/O95</f>
        <v/>
      </c>
      <c r="R95" s="1" t="n">
        <v>366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</row>
    <row r="96">
      <c r="A96" s="1" t="inlineStr">
        <is>
          <t>autoimmune thrombocytopenic purpura</t>
        </is>
      </c>
      <c r="B96" s="1" t="inlineStr">
        <is>
          <t>EFO_0007160</t>
        </is>
      </c>
      <c r="C96" s="1" t="inlineStr">
        <is>
          <t>name</t>
        </is>
      </c>
      <c r="D96" s="1" t="n">
        <v>0.05</v>
      </c>
      <c r="E96" s="15" t="n">
        <v>11</v>
      </c>
      <c r="F96" s="15" t="n">
        <v>379</v>
      </c>
      <c r="G96" s="15" t="n">
        <v>11</v>
      </c>
      <c r="H96" s="16">
        <f>G96/F96</f>
        <v/>
      </c>
      <c r="I96" s="16">
        <f>G96/E96</f>
        <v/>
      </c>
      <c r="J96" s="17" t="n">
        <v>16</v>
      </c>
      <c r="K96" s="17" t="n">
        <v>28</v>
      </c>
      <c r="L96" s="17" t="n">
        <v>2</v>
      </c>
      <c r="M96" s="16">
        <f>L96/K96</f>
        <v/>
      </c>
      <c r="N96" s="16">
        <f>L96/J96</f>
        <v/>
      </c>
      <c r="O96" s="18" t="n">
        <v>3</v>
      </c>
      <c r="P96" s="18" t="n">
        <v>0</v>
      </c>
      <c r="Q96" s="16">
        <f>P96/O96</f>
        <v/>
      </c>
      <c r="R96" s="1" t="n">
        <v>605</v>
      </c>
      <c r="S96" s="1" t="n">
        <v>13</v>
      </c>
      <c r="T96" s="1" t="n">
        <v>0</v>
      </c>
      <c r="U96" s="1" t="n">
        <v>2</v>
      </c>
      <c r="V96" s="1" t="n">
        <v>18</v>
      </c>
      <c r="W96" s="1" t="n">
        <v>14</v>
      </c>
      <c r="X96" s="1" t="n">
        <v>7</v>
      </c>
      <c r="Y96" s="1" t="n">
        <v>4</v>
      </c>
      <c r="Z96" s="1" t="n">
        <v>9</v>
      </c>
      <c r="AA96" s="1" t="n">
        <v>0</v>
      </c>
      <c r="AB96" s="1" t="n">
        <v>6</v>
      </c>
      <c r="AC96" s="1" t="n">
        <v>6</v>
      </c>
      <c r="AD96" s="1" t="n">
        <v>0</v>
      </c>
      <c r="AE96" s="1" t="n">
        <v>1</v>
      </c>
      <c r="AF96" s="1" t="n">
        <v>3</v>
      </c>
      <c r="AG96" s="1" t="n">
        <v>6</v>
      </c>
      <c r="AH96" s="1" t="n">
        <v>6</v>
      </c>
      <c r="AI96" s="1" t="n">
        <v>0</v>
      </c>
      <c r="AJ96" s="1" t="n">
        <v>8</v>
      </c>
      <c r="AK96" s="1" t="n">
        <v>0</v>
      </c>
      <c r="AL96" s="1" t="n">
        <v>4</v>
      </c>
      <c r="AM96" s="1" t="n">
        <v>0</v>
      </c>
    </row>
    <row r="97">
      <c r="A97" s="1" t="inlineStr">
        <is>
          <t>Barrett's esophagus</t>
        </is>
      </c>
      <c r="B97" s="1" t="inlineStr">
        <is>
          <t>EFO_0000280</t>
        </is>
      </c>
      <c r="C97" s="1" t="inlineStr">
        <is>
          <t>name</t>
        </is>
      </c>
      <c r="D97" s="1" t="n">
        <v>0.05</v>
      </c>
      <c r="E97" s="15" t="n">
        <v>2</v>
      </c>
      <c r="F97" s="15" t="n">
        <v>290</v>
      </c>
      <c r="G97" s="15" t="n">
        <v>1</v>
      </c>
      <c r="H97" s="16">
        <f>G97/F97</f>
        <v/>
      </c>
      <c r="I97" s="16">
        <f>G97/E97</f>
        <v/>
      </c>
      <c r="J97" s="17" t="n">
        <v>7</v>
      </c>
      <c r="K97" s="17" t="n">
        <v>1</v>
      </c>
      <c r="L97" s="17" t="n">
        <v>0</v>
      </c>
      <c r="M97" s="16">
        <f>L97/K97</f>
        <v/>
      </c>
      <c r="N97" s="16">
        <f>L97/J97</f>
        <v/>
      </c>
      <c r="O97" s="18" t="n">
        <v>1</v>
      </c>
      <c r="P97" s="18" t="n">
        <v>0</v>
      </c>
      <c r="Q97" s="16">
        <f>P97/O97</f>
        <v/>
      </c>
      <c r="R97" s="1" t="n">
        <v>230</v>
      </c>
      <c r="S97" s="1" t="n">
        <v>1</v>
      </c>
      <c r="T97" s="1" t="n">
        <v>0</v>
      </c>
      <c r="U97" s="1" t="n">
        <v>0</v>
      </c>
      <c r="V97" s="1" t="n">
        <v>1</v>
      </c>
      <c r="W97" s="1" t="n">
        <v>0</v>
      </c>
      <c r="X97" s="1" t="n">
        <v>0</v>
      </c>
      <c r="Y97" s="1" t="n">
        <v>1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1</v>
      </c>
      <c r="AM97" s="1" t="n">
        <v>0</v>
      </c>
    </row>
    <row r="98">
      <c r="A98" s="1" t="inlineStr">
        <is>
          <t>bipolar disorder</t>
        </is>
      </c>
      <c r="B98" s="1" t="inlineStr">
        <is>
          <t>MONDO_0004985</t>
        </is>
      </c>
      <c r="C98" s="1" t="inlineStr">
        <is>
          <t>name</t>
        </is>
      </c>
      <c r="D98" s="1" t="n">
        <v>0.05</v>
      </c>
      <c r="E98" s="15" t="n">
        <v>9</v>
      </c>
      <c r="F98" s="15" t="n">
        <v>0</v>
      </c>
      <c r="G98" s="15" t="n">
        <v>0</v>
      </c>
      <c r="H98" s="16">
        <f>G98/F98</f>
        <v/>
      </c>
      <c r="I98" s="16">
        <f>G98/E98</f>
        <v/>
      </c>
      <c r="J98" s="17" t="n">
        <v>28</v>
      </c>
      <c r="K98" s="17" t="n">
        <v>80</v>
      </c>
      <c r="L98" s="17" t="n">
        <v>6</v>
      </c>
      <c r="M98" s="16">
        <f>L98/K98</f>
        <v/>
      </c>
      <c r="N98" s="16">
        <f>L98/J98</f>
        <v/>
      </c>
      <c r="O98" s="18" t="n">
        <v>0</v>
      </c>
      <c r="P98" s="18" t="n">
        <v>0</v>
      </c>
      <c r="Q98" s="16">
        <f>P98/O98</f>
        <v/>
      </c>
      <c r="R98" s="1" t="n">
        <v>1146</v>
      </c>
      <c r="S98" s="1" t="n">
        <v>6</v>
      </c>
      <c r="T98" s="1" t="n">
        <v>0</v>
      </c>
      <c r="U98" s="1" t="n">
        <v>1</v>
      </c>
      <c r="V98" s="1" t="n">
        <v>6</v>
      </c>
      <c r="W98" s="1" t="n">
        <v>7</v>
      </c>
      <c r="X98" s="1" t="n">
        <v>5</v>
      </c>
      <c r="Y98" s="1" t="n">
        <v>0</v>
      </c>
      <c r="Z98" s="1" t="n">
        <v>8</v>
      </c>
      <c r="AA98" s="1" t="n">
        <v>0</v>
      </c>
      <c r="AB98" s="1" t="n">
        <v>0</v>
      </c>
      <c r="AC98" s="1" t="n">
        <v>1</v>
      </c>
      <c r="AD98" s="1" t="n">
        <v>0</v>
      </c>
      <c r="AE98" s="1" t="n">
        <v>4</v>
      </c>
      <c r="AF98" s="1" t="n">
        <v>1</v>
      </c>
      <c r="AG98" s="1" t="n">
        <v>3</v>
      </c>
      <c r="AH98" s="1" t="n">
        <v>2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</row>
    <row r="99">
      <c r="A99" s="1" t="inlineStr">
        <is>
          <t>breast adenocarcinoma</t>
        </is>
      </c>
      <c r="B99" s="1" t="inlineStr">
        <is>
          <t>EFO_0000304</t>
        </is>
      </c>
      <c r="C99" s="1" t="inlineStr">
        <is>
          <t>name</t>
        </is>
      </c>
      <c r="D99" s="1" t="n">
        <v>0.05</v>
      </c>
      <c r="E99" s="15" t="n">
        <v>12</v>
      </c>
      <c r="F99" s="15" t="n">
        <v>260</v>
      </c>
      <c r="G99" s="15" t="n">
        <v>8</v>
      </c>
      <c r="H99" s="16">
        <f>G99/F99</f>
        <v/>
      </c>
      <c r="I99" s="16">
        <f>G99/E99</f>
        <v/>
      </c>
      <c r="J99" s="17" t="n">
        <v>9</v>
      </c>
      <c r="K99" s="17" t="n">
        <v>70</v>
      </c>
      <c r="L99" s="17" t="n">
        <v>2</v>
      </c>
      <c r="M99" s="16">
        <f>L99/K99</f>
        <v/>
      </c>
      <c r="N99" s="16">
        <f>L99/J99</f>
        <v/>
      </c>
      <c r="O99" s="18" t="n">
        <v>3</v>
      </c>
      <c r="P99" s="18" t="n">
        <v>0</v>
      </c>
      <c r="Q99" s="16">
        <f>P99/O99</f>
        <v/>
      </c>
      <c r="R99" s="1" t="n">
        <v>512</v>
      </c>
      <c r="S99" s="1" t="n">
        <v>10</v>
      </c>
      <c r="T99" s="1" t="n">
        <v>0</v>
      </c>
      <c r="U99" s="1" t="n">
        <v>4</v>
      </c>
      <c r="V99" s="1" t="n">
        <v>4</v>
      </c>
      <c r="W99" s="1" t="n">
        <v>11</v>
      </c>
      <c r="X99" s="1" t="n">
        <v>0</v>
      </c>
      <c r="Y99" s="1" t="n">
        <v>10</v>
      </c>
      <c r="Z99" s="1" t="n">
        <v>5</v>
      </c>
      <c r="AA99" s="1" t="n">
        <v>0</v>
      </c>
      <c r="AB99" s="1" t="n">
        <v>0</v>
      </c>
      <c r="AC99" s="1" t="n">
        <v>0</v>
      </c>
      <c r="AD99" s="1" t="n">
        <v>2</v>
      </c>
      <c r="AE99" s="1" t="n">
        <v>2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</row>
    <row r="100">
      <c r="A100" s="1" t="inlineStr">
        <is>
          <t>bronchopulmonary dysplasia</t>
        </is>
      </c>
      <c r="B100" s="1" t="inlineStr">
        <is>
          <t>MONDO_0019091</t>
        </is>
      </c>
      <c r="C100" s="1" t="inlineStr">
        <is>
          <t>name</t>
        </is>
      </c>
      <c r="D100" s="1" t="n">
        <v>0.05</v>
      </c>
      <c r="E100" s="15" t="n">
        <v>4</v>
      </c>
      <c r="F100" s="15" t="n">
        <v>146</v>
      </c>
      <c r="G100" s="15" t="n">
        <v>2</v>
      </c>
      <c r="H100" s="16">
        <f>G100/F100</f>
        <v/>
      </c>
      <c r="I100" s="16">
        <f>G100/E100</f>
        <v/>
      </c>
      <c r="J100" s="17" t="n">
        <v>6</v>
      </c>
      <c r="K100" s="17" t="n">
        <v>27</v>
      </c>
      <c r="L100" s="17" t="n">
        <v>1</v>
      </c>
      <c r="M100" s="16">
        <f>L100/K100</f>
        <v/>
      </c>
      <c r="N100" s="16">
        <f>L100/J100</f>
        <v/>
      </c>
      <c r="O100" s="18" t="n">
        <v>0</v>
      </c>
      <c r="P100" s="18" t="n">
        <v>0</v>
      </c>
      <c r="Q100" s="16">
        <f>P100/O100</f>
        <v/>
      </c>
      <c r="R100" s="1" t="n">
        <v>448</v>
      </c>
      <c r="S100" s="1" t="n">
        <v>3</v>
      </c>
      <c r="T100" s="1" t="n">
        <v>0</v>
      </c>
      <c r="U100" s="1" t="n">
        <v>1</v>
      </c>
      <c r="V100" s="1" t="n">
        <v>3</v>
      </c>
      <c r="W100" s="1" t="n">
        <v>2</v>
      </c>
      <c r="X100" s="1" t="n">
        <v>0</v>
      </c>
      <c r="Y100" s="1" t="n">
        <v>0</v>
      </c>
      <c r="Z100" s="1" t="n">
        <v>4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1</v>
      </c>
      <c r="AH100" s="1" t="n">
        <v>1</v>
      </c>
      <c r="AI100" s="1" t="n">
        <v>0</v>
      </c>
      <c r="AJ100" s="1" t="n">
        <v>1</v>
      </c>
      <c r="AK100" s="1" t="n">
        <v>0</v>
      </c>
      <c r="AL100" s="1" t="n">
        <v>2</v>
      </c>
      <c r="AM100" s="1" t="n">
        <v>1</v>
      </c>
    </row>
    <row r="101">
      <c r="A101" s="1" t="inlineStr">
        <is>
          <t>Cardiomyopathy</t>
        </is>
      </c>
      <c r="B101" s="1" t="inlineStr">
        <is>
          <t>EFO_0000318</t>
        </is>
      </c>
      <c r="C101" s="1" t="inlineStr">
        <is>
          <t>name</t>
        </is>
      </c>
      <c r="D101" s="1" t="n">
        <v>0.05</v>
      </c>
      <c r="E101" s="15" t="n">
        <v>2</v>
      </c>
      <c r="F101" s="15" t="n">
        <v>214</v>
      </c>
      <c r="G101" s="15" t="n">
        <v>1</v>
      </c>
      <c r="H101" s="16">
        <f>G101/F101</f>
        <v/>
      </c>
      <c r="I101" s="16">
        <f>G101/E101</f>
        <v/>
      </c>
      <c r="J101" s="17" t="n">
        <v>6</v>
      </c>
      <c r="K101" s="17" t="n">
        <v>11</v>
      </c>
      <c r="L101" s="17" t="n">
        <v>0</v>
      </c>
      <c r="M101" s="16">
        <f>L101/K101</f>
        <v/>
      </c>
      <c r="N101" s="16">
        <f>L101/J101</f>
        <v/>
      </c>
      <c r="O101" s="18" t="n">
        <v>1</v>
      </c>
      <c r="P101" s="18" t="n">
        <v>0</v>
      </c>
      <c r="Q101" s="16">
        <f>P101/O101</f>
        <v/>
      </c>
      <c r="R101" s="1" t="n">
        <v>194</v>
      </c>
      <c r="S101" s="1" t="n">
        <v>1</v>
      </c>
      <c r="T101" s="1" t="n">
        <v>0</v>
      </c>
      <c r="U101" s="1" t="n">
        <v>0</v>
      </c>
      <c r="V101" s="1" t="n">
        <v>0</v>
      </c>
      <c r="W101" s="1" t="n">
        <v>1</v>
      </c>
      <c r="X101" s="1" t="n">
        <v>0</v>
      </c>
      <c r="Y101" s="1" t="n">
        <v>0</v>
      </c>
      <c r="Z101" s="1" t="n">
        <v>1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1</v>
      </c>
      <c r="AM101" s="1" t="n">
        <v>0</v>
      </c>
    </row>
    <row r="102">
      <c r="A102" s="1" t="inlineStr">
        <is>
          <t>cerebral palsy</t>
        </is>
      </c>
      <c r="B102" s="1" t="inlineStr">
        <is>
          <t>EFO_1000632</t>
        </is>
      </c>
      <c r="C102" s="1" t="inlineStr">
        <is>
          <t>name</t>
        </is>
      </c>
      <c r="D102" s="1" t="n">
        <v>0.05</v>
      </c>
      <c r="E102" s="15" t="n">
        <v>0</v>
      </c>
      <c r="F102" s="15" t="n">
        <v>125</v>
      </c>
      <c r="G102" s="15" t="n">
        <v>0</v>
      </c>
      <c r="H102" s="16">
        <f>G102/F102</f>
        <v/>
      </c>
      <c r="I102" s="16">
        <f>G102/E102</f>
        <v/>
      </c>
      <c r="J102" s="17" t="n">
        <v>3</v>
      </c>
      <c r="K102" s="17" t="n">
        <v>14</v>
      </c>
      <c r="L102" s="17" t="n">
        <v>1</v>
      </c>
      <c r="M102" s="16">
        <f>L102/K102</f>
        <v/>
      </c>
      <c r="N102" s="16">
        <f>L102/J102</f>
        <v/>
      </c>
      <c r="O102" s="18" t="n">
        <v>0</v>
      </c>
      <c r="P102" s="18" t="n">
        <v>0</v>
      </c>
      <c r="Q102" s="16">
        <f>P102/O102</f>
        <v/>
      </c>
      <c r="R102" s="1" t="n">
        <v>287</v>
      </c>
      <c r="S102" s="1" t="n">
        <v>1</v>
      </c>
      <c r="T102" s="1" t="n">
        <v>0</v>
      </c>
      <c r="U102" s="1" t="n">
        <v>0</v>
      </c>
      <c r="V102" s="1" t="n">
        <v>1</v>
      </c>
      <c r="W102" s="1" t="n">
        <v>1</v>
      </c>
      <c r="X102" s="1" t="n">
        <v>3</v>
      </c>
      <c r="Y102" s="1" t="n">
        <v>0</v>
      </c>
      <c r="Z102" s="1" t="n">
        <v>3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1</v>
      </c>
      <c r="AF102" s="1" t="n">
        <v>1</v>
      </c>
      <c r="AG102" s="1" t="n">
        <v>0</v>
      </c>
      <c r="AH102" s="1" t="n">
        <v>0</v>
      </c>
      <c r="AI102" s="1" t="n">
        <v>0</v>
      </c>
      <c r="AJ102" s="1" t="n">
        <v>2</v>
      </c>
      <c r="AK102" s="1" t="n">
        <v>1</v>
      </c>
      <c r="AL102" s="1" t="n">
        <v>0</v>
      </c>
      <c r="AM102" s="1" t="n">
        <v>0</v>
      </c>
    </row>
    <row r="103">
      <c r="A103" s="1" t="inlineStr">
        <is>
          <t>cervical cancer</t>
        </is>
      </c>
      <c r="B103" s="1" t="inlineStr">
        <is>
          <t>MONDO_0002974</t>
        </is>
      </c>
      <c r="C103" s="1" t="inlineStr">
        <is>
          <t>name</t>
        </is>
      </c>
      <c r="D103" s="1" t="n">
        <v>0.05</v>
      </c>
      <c r="E103" s="15" t="n">
        <v>23</v>
      </c>
      <c r="F103" s="15" t="n">
        <v>179</v>
      </c>
      <c r="G103" s="15" t="n">
        <v>9</v>
      </c>
      <c r="H103" s="16">
        <f>G103/F103</f>
        <v/>
      </c>
      <c r="I103" s="16">
        <f>G103/E103</f>
        <v/>
      </c>
      <c r="J103" s="17" t="n">
        <v>15</v>
      </c>
      <c r="K103" s="17" t="n">
        <v>117</v>
      </c>
      <c r="L103" s="17" t="n">
        <v>2</v>
      </c>
      <c r="M103" s="16">
        <f>L103/K103</f>
        <v/>
      </c>
      <c r="N103" s="16">
        <f>L103/J103</f>
        <v/>
      </c>
      <c r="O103" s="18" t="n">
        <v>4</v>
      </c>
      <c r="P103" s="18" t="n">
        <v>0</v>
      </c>
      <c r="Q103" s="16">
        <f>P103/O103</f>
        <v/>
      </c>
      <c r="R103" s="1" t="n">
        <v>1023</v>
      </c>
      <c r="S103" s="1" t="n">
        <v>11</v>
      </c>
      <c r="T103" s="1" t="n">
        <v>0</v>
      </c>
      <c r="U103" s="1" t="n">
        <v>8</v>
      </c>
      <c r="V103" s="1" t="n">
        <v>15</v>
      </c>
      <c r="W103" s="1" t="n">
        <v>17</v>
      </c>
      <c r="X103" s="1" t="n">
        <v>0</v>
      </c>
      <c r="Y103" s="1" t="n">
        <v>4</v>
      </c>
      <c r="Z103" s="1" t="n">
        <v>13</v>
      </c>
      <c r="AA103" s="1" t="n">
        <v>0</v>
      </c>
      <c r="AB103" s="1" t="n">
        <v>4</v>
      </c>
      <c r="AC103" s="1" t="n">
        <v>5</v>
      </c>
      <c r="AD103" s="1" t="n">
        <v>0</v>
      </c>
      <c r="AE103" s="1" t="n">
        <v>4</v>
      </c>
      <c r="AF103" s="1" t="n">
        <v>0</v>
      </c>
      <c r="AG103" s="1" t="n">
        <v>5</v>
      </c>
      <c r="AH103" s="1" t="n">
        <v>5</v>
      </c>
      <c r="AI103" s="1" t="n">
        <v>0</v>
      </c>
      <c r="AJ103" s="1" t="n">
        <v>1</v>
      </c>
      <c r="AK103" s="1" t="n">
        <v>3</v>
      </c>
      <c r="AL103" s="1" t="n">
        <v>6</v>
      </c>
      <c r="AM103" s="1" t="n">
        <v>6</v>
      </c>
    </row>
    <row r="104">
      <c r="A104" s="1" t="inlineStr">
        <is>
          <t>chronic granulomatous disease</t>
        </is>
      </c>
      <c r="B104" s="1" t="inlineStr">
        <is>
          <t>MONDO_0018305</t>
        </is>
      </c>
      <c r="C104" s="1" t="inlineStr">
        <is>
          <t>name</t>
        </is>
      </c>
      <c r="D104" s="1" t="n">
        <v>0.05</v>
      </c>
      <c r="E104" s="15" t="n">
        <v>4</v>
      </c>
      <c r="F104" s="15" t="n">
        <v>318</v>
      </c>
      <c r="G104" s="15" t="n">
        <v>3</v>
      </c>
      <c r="H104" s="16">
        <f>G104/F104</f>
        <v/>
      </c>
      <c r="I104" s="16">
        <f>G104/E104</f>
        <v/>
      </c>
      <c r="J104" s="17" t="n">
        <v>3</v>
      </c>
      <c r="K104" s="17" t="n">
        <v>54</v>
      </c>
      <c r="L104" s="17" t="n">
        <v>0</v>
      </c>
      <c r="M104" s="16">
        <f>L104/K104</f>
        <v/>
      </c>
      <c r="N104" s="16">
        <f>L104/J104</f>
        <v/>
      </c>
      <c r="O104" s="18" t="n">
        <v>1</v>
      </c>
      <c r="P104" s="18" t="n">
        <v>0</v>
      </c>
      <c r="Q104" s="16">
        <f>P104/O104</f>
        <v/>
      </c>
      <c r="R104" s="1" t="n">
        <v>275</v>
      </c>
      <c r="S104" s="1" t="n">
        <v>3</v>
      </c>
      <c r="T104" s="1" t="n">
        <v>1</v>
      </c>
      <c r="U104" s="1" t="n">
        <v>5</v>
      </c>
      <c r="V104" s="1" t="n">
        <v>0</v>
      </c>
      <c r="W104" s="1" t="n">
        <v>0</v>
      </c>
      <c r="X104" s="1" t="n">
        <v>0</v>
      </c>
      <c r="Y104" s="1" t="n">
        <v>1</v>
      </c>
      <c r="Z104" s="1" t="n">
        <v>0</v>
      </c>
      <c r="AA104" s="1" t="n">
        <v>1</v>
      </c>
      <c r="AB104" s="1" t="n">
        <v>0</v>
      </c>
      <c r="AC104" s="1" t="n">
        <v>2</v>
      </c>
      <c r="AD104" s="1" t="n">
        <v>0</v>
      </c>
      <c r="AE104" s="1" t="n">
        <v>2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</row>
    <row r="105">
      <c r="A105" s="1" t="inlineStr">
        <is>
          <t>chronic lymphocytic leukemia</t>
        </is>
      </c>
      <c r="B105" s="1" t="inlineStr">
        <is>
          <t>EFO_0000095</t>
        </is>
      </c>
      <c r="C105" s="1" t="inlineStr">
        <is>
          <t>name</t>
        </is>
      </c>
      <c r="D105" s="1" t="n">
        <v>0.05</v>
      </c>
      <c r="E105" s="15" t="n">
        <v>25</v>
      </c>
      <c r="F105" s="15" t="n">
        <v>78</v>
      </c>
      <c r="G105" s="15" t="n">
        <v>5</v>
      </c>
      <c r="H105" s="16">
        <f>G105/F105</f>
        <v/>
      </c>
      <c r="I105" s="16">
        <f>G105/E105</f>
        <v/>
      </c>
      <c r="J105" s="17" t="n">
        <v>28</v>
      </c>
      <c r="K105" s="17" t="n">
        <v>86</v>
      </c>
      <c r="L105" s="17" t="n">
        <v>6</v>
      </c>
      <c r="M105" s="16">
        <f>L105/K105</f>
        <v/>
      </c>
      <c r="N105" s="16">
        <f>L105/J105</f>
        <v/>
      </c>
      <c r="O105" s="18" t="n">
        <v>1</v>
      </c>
      <c r="P105" s="18" t="n">
        <v>0</v>
      </c>
      <c r="Q105" s="16">
        <f>P105/O105</f>
        <v/>
      </c>
      <c r="R105" s="1" t="n">
        <v>1621</v>
      </c>
      <c r="S105" s="1" t="n">
        <v>11</v>
      </c>
      <c r="T105" s="1" t="n">
        <v>1</v>
      </c>
      <c r="U105" s="1" t="n">
        <v>3</v>
      </c>
      <c r="V105" s="1" t="n">
        <v>11</v>
      </c>
      <c r="W105" s="1" t="n">
        <v>1</v>
      </c>
      <c r="X105" s="1" t="n">
        <v>0</v>
      </c>
      <c r="Y105" s="1" t="n">
        <v>1</v>
      </c>
      <c r="Z105" s="1" t="n">
        <v>9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5</v>
      </c>
      <c r="AF105" s="1" t="n">
        <v>0</v>
      </c>
      <c r="AG105" s="1" t="n">
        <v>1</v>
      </c>
      <c r="AH105" s="1" t="n">
        <v>0</v>
      </c>
      <c r="AI105" s="1" t="n">
        <v>0</v>
      </c>
      <c r="AJ105" s="1" t="n">
        <v>1</v>
      </c>
      <c r="AK105" s="1" t="n">
        <v>1</v>
      </c>
      <c r="AL105" s="1" t="n">
        <v>1</v>
      </c>
      <c r="AM105" s="1" t="n">
        <v>0</v>
      </c>
    </row>
    <row r="106">
      <c r="A106" s="1" t="inlineStr">
        <is>
          <t>cleft lip</t>
        </is>
      </c>
      <c r="B106" s="1" t="inlineStr">
        <is>
          <t>EFO_0003959</t>
        </is>
      </c>
      <c r="C106" s="1" t="inlineStr">
        <is>
          <t>name</t>
        </is>
      </c>
      <c r="D106" s="1" t="n">
        <v>0.05</v>
      </c>
      <c r="E106" s="15" t="n">
        <v>0</v>
      </c>
      <c r="F106" s="15" t="n">
        <v>89</v>
      </c>
      <c r="G106" s="15" t="n">
        <v>0</v>
      </c>
      <c r="H106" s="16">
        <f>G106/F106</f>
        <v/>
      </c>
      <c r="I106" s="16">
        <f>G106/E106</f>
        <v/>
      </c>
      <c r="J106" s="17" t="n">
        <v>0</v>
      </c>
      <c r="K106" s="17" t="n">
        <v>26</v>
      </c>
      <c r="L106" s="17" t="n">
        <v>0</v>
      </c>
      <c r="M106" s="16">
        <f>L106/K106</f>
        <v/>
      </c>
      <c r="N106" s="16">
        <f>L106/J106</f>
        <v/>
      </c>
      <c r="O106" s="18" t="n">
        <v>0</v>
      </c>
      <c r="P106" s="18" t="n">
        <v>0</v>
      </c>
      <c r="Q106" s="16">
        <f>P106/O106</f>
        <v/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1</v>
      </c>
      <c r="AK106" s="1" t="n">
        <v>0</v>
      </c>
      <c r="AL106" s="1" t="n">
        <v>0</v>
      </c>
      <c r="AM106" s="1" t="n">
        <v>0</v>
      </c>
    </row>
    <row r="107">
      <c r="A107" s="1" t="inlineStr">
        <is>
          <t>colitis</t>
        </is>
      </c>
      <c r="B107" s="1" t="inlineStr">
        <is>
          <t>EFO_0003872</t>
        </is>
      </c>
      <c r="C107" s="1" t="inlineStr">
        <is>
          <t>name</t>
        </is>
      </c>
      <c r="D107" s="1" t="n">
        <v>0.05</v>
      </c>
      <c r="E107" s="15" t="n">
        <v>1</v>
      </c>
      <c r="F107" s="15" t="n">
        <v>305</v>
      </c>
      <c r="G107" s="15" t="n">
        <v>1</v>
      </c>
      <c r="H107" s="16">
        <f>G107/F107</f>
        <v/>
      </c>
      <c r="I107" s="16">
        <f>G107/E107</f>
        <v/>
      </c>
      <c r="J107" s="17" t="n">
        <v>5</v>
      </c>
      <c r="K107" s="17" t="n">
        <v>18</v>
      </c>
      <c r="L107" s="17" t="n">
        <v>0</v>
      </c>
      <c r="M107" s="16">
        <f>L107/K107</f>
        <v/>
      </c>
      <c r="N107" s="16">
        <f>L107/J107</f>
        <v/>
      </c>
      <c r="O107" s="18" t="n">
        <v>0</v>
      </c>
      <c r="P107" s="18" t="n">
        <v>0</v>
      </c>
      <c r="Q107" s="16">
        <f>P107/O107</f>
        <v/>
      </c>
      <c r="R107" s="1" t="n">
        <v>202</v>
      </c>
      <c r="S107" s="1" t="n">
        <v>1</v>
      </c>
      <c r="T107" s="1" t="n">
        <v>0</v>
      </c>
      <c r="U107" s="1" t="n">
        <v>0</v>
      </c>
      <c r="V107" s="1" t="n">
        <v>1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1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</row>
    <row r="108">
      <c r="A108" s="1" t="inlineStr">
        <is>
          <t>colon adenoma</t>
        </is>
      </c>
      <c r="B108" s="1" t="inlineStr">
        <is>
          <t>MONDO_0000527</t>
        </is>
      </c>
      <c r="C108" s="1" t="inlineStr">
        <is>
          <t>name</t>
        </is>
      </c>
      <c r="D108" s="1" t="n">
        <v>0.05</v>
      </c>
      <c r="E108" s="15" t="n">
        <v>1</v>
      </c>
      <c r="F108" s="15" t="n">
        <v>223</v>
      </c>
      <c r="G108" s="15" t="n">
        <v>0</v>
      </c>
      <c r="H108" s="16">
        <f>G108/F108</f>
        <v/>
      </c>
      <c r="I108" s="16">
        <f>G108/E108</f>
        <v/>
      </c>
      <c r="J108" s="17" t="n">
        <v>1</v>
      </c>
      <c r="K108" s="17" t="n">
        <v>173</v>
      </c>
      <c r="L108" s="17" t="n">
        <v>1</v>
      </c>
      <c r="M108" s="16">
        <f>L108/K108</f>
        <v/>
      </c>
      <c r="N108" s="16">
        <f>L108/J108</f>
        <v/>
      </c>
      <c r="O108" s="18" t="n">
        <v>4</v>
      </c>
      <c r="P108" s="18" t="n">
        <v>0</v>
      </c>
      <c r="Q108" s="16">
        <f>P108/O108</f>
        <v/>
      </c>
      <c r="R108" s="1" t="n">
        <v>42</v>
      </c>
      <c r="S108" s="1" t="n">
        <v>1</v>
      </c>
      <c r="T108" s="1" t="n">
        <v>0</v>
      </c>
      <c r="U108" s="1" t="n">
        <v>0</v>
      </c>
      <c r="V108" s="1" t="n">
        <v>0</v>
      </c>
      <c r="W108" s="1" t="n">
        <v>1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1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10</v>
      </c>
      <c r="AK108" s="1" t="n">
        <v>1</v>
      </c>
      <c r="AL108" s="1" t="n">
        <v>3</v>
      </c>
      <c r="AM108" s="1" t="n">
        <v>2</v>
      </c>
    </row>
    <row r="109">
      <c r="A109" s="1" t="inlineStr">
        <is>
          <t>colorectal adenocarcinoma</t>
        </is>
      </c>
      <c r="B109" s="1" t="inlineStr">
        <is>
          <t>EFO_0000365</t>
        </is>
      </c>
      <c r="C109" s="1" t="inlineStr">
        <is>
          <t>name</t>
        </is>
      </c>
      <c r="D109" s="1" t="n">
        <v>0.05</v>
      </c>
      <c r="E109" s="15" t="n">
        <v>19</v>
      </c>
      <c r="F109" s="15" t="n">
        <v>276</v>
      </c>
      <c r="G109" s="15" t="n">
        <v>16</v>
      </c>
      <c r="H109" s="16">
        <f>G109/F109</f>
        <v/>
      </c>
      <c r="I109" s="16">
        <f>G109/E109</f>
        <v/>
      </c>
      <c r="J109" s="17" t="n">
        <v>12</v>
      </c>
      <c r="K109" s="17" t="n">
        <v>21</v>
      </c>
      <c r="L109" s="17" t="n">
        <v>0</v>
      </c>
      <c r="M109" s="16">
        <f>L109/K109</f>
        <v/>
      </c>
      <c r="N109" s="16">
        <f>L109/J109</f>
        <v/>
      </c>
      <c r="O109" s="18" t="n">
        <v>1</v>
      </c>
      <c r="P109" s="18" t="n">
        <v>0</v>
      </c>
      <c r="Q109" s="16">
        <f>P109/O109</f>
        <v/>
      </c>
      <c r="R109" s="1" t="n">
        <v>743</v>
      </c>
      <c r="S109" s="1" t="n">
        <v>16</v>
      </c>
      <c r="T109" s="1" t="n">
        <v>0</v>
      </c>
      <c r="U109" s="1" t="n">
        <v>13</v>
      </c>
      <c r="V109" s="1" t="n">
        <v>20</v>
      </c>
      <c r="W109" s="1" t="n">
        <v>4</v>
      </c>
      <c r="X109" s="1" t="n">
        <v>0</v>
      </c>
      <c r="Y109" s="1" t="n">
        <v>10</v>
      </c>
      <c r="Z109" s="1" t="n">
        <v>13</v>
      </c>
      <c r="AA109" s="1" t="n">
        <v>0</v>
      </c>
      <c r="AB109" s="1" t="n">
        <v>0</v>
      </c>
      <c r="AC109" s="1" t="n">
        <v>3</v>
      </c>
      <c r="AD109" s="1" t="n">
        <v>0</v>
      </c>
      <c r="AE109" s="1" t="n">
        <v>5</v>
      </c>
      <c r="AF109" s="1" t="n">
        <v>0</v>
      </c>
      <c r="AG109" s="1" t="n">
        <v>3</v>
      </c>
      <c r="AH109" s="1" t="n">
        <v>3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</row>
    <row r="110">
      <c r="A110" s="1" t="inlineStr">
        <is>
          <t>colorectal cancer</t>
        </is>
      </c>
      <c r="B110" s="1" t="inlineStr">
        <is>
          <t>MONDO_0005575</t>
        </is>
      </c>
      <c r="C110" s="1" t="inlineStr">
        <is>
          <t>name</t>
        </is>
      </c>
      <c r="D110" s="1" t="n">
        <v>0.05</v>
      </c>
      <c r="E110" s="15" t="n">
        <v>46</v>
      </c>
      <c r="F110" s="15" t="n">
        <v>201</v>
      </c>
      <c r="G110" s="15" t="n">
        <v>26</v>
      </c>
      <c r="H110" s="16">
        <f>G110/F110</f>
        <v/>
      </c>
      <c r="I110" s="16">
        <f>G110/E110</f>
        <v/>
      </c>
      <c r="J110" s="17" t="n">
        <v>36</v>
      </c>
      <c r="K110" s="17" t="n">
        <v>121</v>
      </c>
      <c r="L110" s="17" t="n">
        <v>7</v>
      </c>
      <c r="M110" s="16">
        <f>L110/K110</f>
        <v/>
      </c>
      <c r="N110" s="16">
        <f>L110/J110</f>
        <v/>
      </c>
      <c r="O110" s="18" t="n">
        <v>3</v>
      </c>
      <c r="P110" s="18" t="n">
        <v>0</v>
      </c>
      <c r="Q110" s="16">
        <f>P110/O110</f>
        <v/>
      </c>
      <c r="R110" s="1" t="n">
        <v>2124</v>
      </c>
      <c r="S110" s="1" t="n">
        <v>33</v>
      </c>
      <c r="T110" s="1" t="n">
        <v>1</v>
      </c>
      <c r="U110" s="1" t="n">
        <v>37</v>
      </c>
      <c r="V110" s="1" t="n">
        <v>47</v>
      </c>
      <c r="W110" s="1" t="n">
        <v>20</v>
      </c>
      <c r="X110" s="1" t="n">
        <v>0</v>
      </c>
      <c r="Y110" s="1" t="n">
        <v>7</v>
      </c>
      <c r="Z110" s="1" t="n">
        <v>39</v>
      </c>
      <c r="AA110" s="1" t="n">
        <v>0</v>
      </c>
      <c r="AB110" s="1" t="n">
        <v>5</v>
      </c>
      <c r="AC110" s="1" t="n">
        <v>16</v>
      </c>
      <c r="AD110" s="1" t="n">
        <v>0</v>
      </c>
      <c r="AE110" s="1" t="n">
        <v>15</v>
      </c>
      <c r="AF110" s="1" t="n">
        <v>0</v>
      </c>
      <c r="AG110" s="1" t="n">
        <v>17</v>
      </c>
      <c r="AH110" s="1" t="n">
        <v>6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</row>
    <row r="111">
      <c r="A111" s="1" t="inlineStr">
        <is>
          <t>Crohn's disease</t>
        </is>
      </c>
      <c r="B111" s="1" t="inlineStr">
        <is>
          <t>EFO_0000384</t>
        </is>
      </c>
      <c r="C111" s="1" t="inlineStr">
        <is>
          <t>name</t>
        </is>
      </c>
      <c r="D111" s="1" t="n">
        <v>0.05</v>
      </c>
      <c r="E111" s="15" t="n">
        <v>12</v>
      </c>
      <c r="F111" s="15" t="n">
        <v>332</v>
      </c>
      <c r="G111" s="15" t="n">
        <v>9</v>
      </c>
      <c r="H111" s="16">
        <f>G111/F111</f>
        <v/>
      </c>
      <c r="I111" s="16">
        <f>G111/E111</f>
        <v/>
      </c>
      <c r="J111" s="17" t="n">
        <v>27</v>
      </c>
      <c r="K111" s="17" t="n">
        <v>102</v>
      </c>
      <c r="L111" s="17" t="n">
        <v>2</v>
      </c>
      <c r="M111" s="16">
        <f>L111/K111</f>
        <v/>
      </c>
      <c r="N111" s="16">
        <f>L111/J111</f>
        <v/>
      </c>
      <c r="O111" s="18" t="n">
        <v>4</v>
      </c>
      <c r="P111" s="18" t="n">
        <v>0</v>
      </c>
      <c r="Q111" s="16">
        <f>P111/O111</f>
        <v/>
      </c>
      <c r="R111" s="1" t="n">
        <v>1283</v>
      </c>
      <c r="S111" s="1" t="n">
        <v>11</v>
      </c>
      <c r="T111" s="1" t="n">
        <v>0</v>
      </c>
      <c r="U111" s="1" t="n">
        <v>5</v>
      </c>
      <c r="V111" s="1" t="n">
        <v>7</v>
      </c>
      <c r="W111" s="1" t="n">
        <v>5</v>
      </c>
      <c r="X111" s="1" t="n">
        <v>4</v>
      </c>
      <c r="Y111" s="1" t="n">
        <v>0</v>
      </c>
      <c r="Z111" s="1" t="n">
        <v>12</v>
      </c>
      <c r="AA111" s="1" t="n">
        <v>0</v>
      </c>
      <c r="AB111" s="1" t="n">
        <v>0</v>
      </c>
      <c r="AC111" s="1" t="n">
        <v>1</v>
      </c>
      <c r="AD111" s="1" t="n">
        <v>1</v>
      </c>
      <c r="AE111" s="1" t="n">
        <v>3</v>
      </c>
      <c r="AF111" s="1" t="n">
        <v>3</v>
      </c>
      <c r="AG111" s="1" t="n">
        <v>0</v>
      </c>
      <c r="AH111" s="1" t="n">
        <v>1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</row>
    <row r="112">
      <c r="A112" s="1" t="inlineStr">
        <is>
          <t>cystic fibrosis</t>
        </is>
      </c>
      <c r="B112" s="1" t="inlineStr">
        <is>
          <t>MONDO_0009061</t>
        </is>
      </c>
      <c r="C112" s="1" t="inlineStr">
        <is>
          <t>name</t>
        </is>
      </c>
      <c r="D112" s="1" t="n">
        <v>0.05</v>
      </c>
      <c r="E112" s="15" t="n">
        <v>5</v>
      </c>
      <c r="F112" s="15" t="n">
        <v>338</v>
      </c>
      <c r="G112" s="15" t="n">
        <v>4</v>
      </c>
      <c r="H112" s="16">
        <f>G112/F112</f>
        <v/>
      </c>
      <c r="I112" s="16">
        <f>G112/E112</f>
        <v/>
      </c>
      <c r="J112" s="17" t="n">
        <v>8</v>
      </c>
      <c r="K112" s="17" t="n">
        <v>90</v>
      </c>
      <c r="L112" s="17" t="n">
        <v>0</v>
      </c>
      <c r="M112" s="16">
        <f>L112/K112</f>
        <v/>
      </c>
      <c r="N112" s="16">
        <f>L112/J112</f>
        <v/>
      </c>
      <c r="O112" s="18" t="n">
        <v>3</v>
      </c>
      <c r="P112" s="18" t="n">
        <v>0</v>
      </c>
      <c r="Q112" s="16">
        <f>P112/O112</f>
        <v/>
      </c>
      <c r="R112" s="1" t="n">
        <v>555</v>
      </c>
      <c r="S112" s="1" t="n">
        <v>4</v>
      </c>
      <c r="T112" s="1" t="n">
        <v>0</v>
      </c>
      <c r="U112" s="1" t="n">
        <v>2</v>
      </c>
      <c r="V112" s="1" t="n">
        <v>4</v>
      </c>
      <c r="W112" s="1" t="n">
        <v>2</v>
      </c>
      <c r="X112" s="1" t="n">
        <v>0</v>
      </c>
      <c r="Y112" s="1" t="n">
        <v>0</v>
      </c>
      <c r="Z112" s="1" t="n">
        <v>6</v>
      </c>
      <c r="AA112" s="1" t="n">
        <v>0</v>
      </c>
      <c r="AB112" s="1" t="n">
        <v>0</v>
      </c>
      <c r="AC112" s="1" t="n">
        <v>1</v>
      </c>
      <c r="AD112" s="1" t="n">
        <v>0</v>
      </c>
      <c r="AE112" s="1" t="n">
        <v>1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</row>
    <row r="113">
      <c r="A113" s="1" t="inlineStr">
        <is>
          <t>cystitis</t>
        </is>
      </c>
      <c r="B113" s="1" t="inlineStr">
        <is>
          <t>EFO_1000025</t>
        </is>
      </c>
      <c r="C113" s="1" t="inlineStr">
        <is>
          <t>name</t>
        </is>
      </c>
      <c r="D113" s="1" t="n">
        <v>0.05</v>
      </c>
      <c r="E113" s="15" t="n">
        <v>0</v>
      </c>
      <c r="F113" s="15" t="n">
        <v>60</v>
      </c>
      <c r="G113" s="15" t="n">
        <v>0</v>
      </c>
      <c r="H113" s="16">
        <f>G113/F113</f>
        <v/>
      </c>
      <c r="I113" s="16">
        <f>G113/E113</f>
        <v/>
      </c>
      <c r="J113" s="17" t="n">
        <v>1</v>
      </c>
      <c r="K113" s="17" t="n">
        <v>0</v>
      </c>
      <c r="L113" s="17" t="n">
        <v>0</v>
      </c>
      <c r="M113" s="16">
        <f>L113/K113</f>
        <v/>
      </c>
      <c r="N113" s="16">
        <f>L113/J113</f>
        <v/>
      </c>
      <c r="O113" s="18" t="n">
        <v>0</v>
      </c>
      <c r="P113" s="18" t="n">
        <v>0</v>
      </c>
      <c r="Q113" s="16">
        <f>P113/O113</f>
        <v/>
      </c>
      <c r="R113" s="1" t="n">
        <v>21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</row>
    <row r="114">
      <c r="A114" s="1" t="inlineStr">
        <is>
          <t>dengue disease</t>
        </is>
      </c>
      <c r="B114" s="1" t="inlineStr">
        <is>
          <t>EFO_0005547</t>
        </is>
      </c>
      <c r="C114" s="1" t="inlineStr">
        <is>
          <t>name</t>
        </is>
      </c>
      <c r="D114" s="1" t="n">
        <v>0.05</v>
      </c>
      <c r="E114" s="15" t="n">
        <v>0</v>
      </c>
      <c r="F114" s="15" t="n">
        <v>296</v>
      </c>
      <c r="G114" s="15" t="n">
        <v>0</v>
      </c>
      <c r="H114" s="16">
        <f>G114/F114</f>
        <v/>
      </c>
      <c r="I114" s="16">
        <f>G114/E114</f>
        <v/>
      </c>
      <c r="J114" s="17" t="n">
        <v>3</v>
      </c>
      <c r="K114" s="17" t="n">
        <v>85</v>
      </c>
      <c r="L114" s="17" t="n">
        <v>1</v>
      </c>
      <c r="M114" s="16">
        <f>L114/K114</f>
        <v/>
      </c>
      <c r="N114" s="16">
        <f>L114/J114</f>
        <v/>
      </c>
      <c r="O114" s="18" t="n">
        <v>6</v>
      </c>
      <c r="P114" s="18" t="n">
        <v>0</v>
      </c>
      <c r="Q114" s="16">
        <f>P114/O114</f>
        <v/>
      </c>
      <c r="R114" s="1" t="n">
        <v>142</v>
      </c>
      <c r="S114" s="1" t="n">
        <v>1</v>
      </c>
      <c r="T114" s="1" t="n">
        <v>0</v>
      </c>
      <c r="U114" s="1" t="n">
        <v>0</v>
      </c>
      <c r="V114" s="1" t="n">
        <v>1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1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</row>
    <row r="115">
      <c r="A115" s="1" t="inlineStr">
        <is>
          <t>dengue hemorrhagic fever</t>
        </is>
      </c>
      <c r="B115" s="1" t="inlineStr">
        <is>
          <t>EFO_0004227</t>
        </is>
      </c>
      <c r="C115" s="1" t="inlineStr">
        <is>
          <t>name</t>
        </is>
      </c>
      <c r="D115" s="1" t="n">
        <v>0.05</v>
      </c>
      <c r="E115" s="15" t="n">
        <v>0</v>
      </c>
      <c r="F115" s="15" t="n">
        <v>313</v>
      </c>
      <c r="G115" s="15" t="n">
        <v>0</v>
      </c>
      <c r="H115" s="16">
        <f>G115/F115</f>
        <v/>
      </c>
      <c r="I115" s="16">
        <f>G115/E115</f>
        <v/>
      </c>
      <c r="J115" s="17" t="n">
        <v>0</v>
      </c>
      <c r="K115" s="17" t="n">
        <v>128</v>
      </c>
      <c r="L115" s="17" t="n">
        <v>0</v>
      </c>
      <c r="M115" s="16">
        <f>L115/K115</f>
        <v/>
      </c>
      <c r="N115" s="16">
        <f>L115/J115</f>
        <v/>
      </c>
      <c r="O115" s="18" t="n">
        <v>8</v>
      </c>
      <c r="P115" s="18" t="n">
        <v>0</v>
      </c>
      <c r="Q115" s="16">
        <f>P115/O115</f>
        <v/>
      </c>
      <c r="R115" s="1" t="n">
        <v>10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1</v>
      </c>
      <c r="AJ115" s="1" t="n">
        <v>1</v>
      </c>
      <c r="AK115" s="1" t="n">
        <v>3</v>
      </c>
      <c r="AL115" s="1" t="n">
        <v>2</v>
      </c>
      <c r="AM115" s="1" t="n">
        <v>0</v>
      </c>
    </row>
    <row r="116">
      <c r="A116" s="1" t="inlineStr">
        <is>
          <t>dermatomyositis</t>
        </is>
      </c>
      <c r="B116" s="1" t="inlineStr">
        <is>
          <t>EFO_0000398</t>
        </is>
      </c>
      <c r="C116" s="1" t="inlineStr">
        <is>
          <t>name</t>
        </is>
      </c>
      <c r="D116" s="1" t="n">
        <v>0.05</v>
      </c>
      <c r="E116" s="15" t="n">
        <v>2</v>
      </c>
      <c r="F116" s="15" t="n">
        <v>186</v>
      </c>
      <c r="G116" s="15" t="n">
        <v>0</v>
      </c>
      <c r="H116" s="16">
        <f>G116/F116</f>
        <v/>
      </c>
      <c r="I116" s="16">
        <f>G116/E116</f>
        <v/>
      </c>
      <c r="J116" s="17" t="n">
        <v>5</v>
      </c>
      <c r="K116" s="17" t="n">
        <v>86</v>
      </c>
      <c r="L116" s="17" t="n">
        <v>0</v>
      </c>
      <c r="M116" s="16">
        <f>L116/K116</f>
        <v/>
      </c>
      <c r="N116" s="16">
        <f>L116/J116</f>
        <v/>
      </c>
      <c r="O116" s="18" t="n">
        <v>1</v>
      </c>
      <c r="P116" s="18" t="n">
        <v>0</v>
      </c>
      <c r="Q116" s="16">
        <f>P116/O116</f>
        <v/>
      </c>
      <c r="R116" s="1" t="n">
        <v>293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</row>
    <row r="117">
      <c r="A117" s="1" t="inlineStr">
        <is>
          <t>diabetes mellitus</t>
        </is>
      </c>
      <c r="B117" s="1" t="inlineStr">
        <is>
          <t>EFO_0000400</t>
        </is>
      </c>
      <c r="C117" s="1" t="inlineStr">
        <is>
          <t>name</t>
        </is>
      </c>
      <c r="D117" s="1" t="n">
        <v>0.05</v>
      </c>
      <c r="E117" s="15" t="n">
        <v>19</v>
      </c>
      <c r="F117" s="15" t="n">
        <v>377</v>
      </c>
      <c r="G117" s="15" t="n">
        <v>19</v>
      </c>
      <c r="H117" s="16">
        <f>G117/F117</f>
        <v/>
      </c>
      <c r="I117" s="16">
        <f>G117/E117</f>
        <v/>
      </c>
      <c r="J117" s="17" t="n">
        <v>46</v>
      </c>
      <c r="K117" s="17" t="n">
        <v>0</v>
      </c>
      <c r="L117" s="17" t="n">
        <v>0</v>
      </c>
      <c r="M117" s="16">
        <f>L117/K117</f>
        <v/>
      </c>
      <c r="N117" s="16">
        <f>L117/J117</f>
        <v/>
      </c>
      <c r="O117" s="18" t="n">
        <v>0</v>
      </c>
      <c r="P117" s="18" t="n">
        <v>0</v>
      </c>
      <c r="Q117" s="16">
        <f>P117/O117</f>
        <v/>
      </c>
      <c r="R117" s="1" t="n">
        <v>2122</v>
      </c>
      <c r="S117" s="1" t="n">
        <v>19</v>
      </c>
      <c r="T117" s="1" t="n">
        <v>1</v>
      </c>
      <c r="U117" s="1" t="n">
        <v>8</v>
      </c>
      <c r="V117" s="1" t="n">
        <v>6</v>
      </c>
      <c r="W117" s="1" t="n">
        <v>13</v>
      </c>
      <c r="X117" s="1" t="n">
        <v>18</v>
      </c>
      <c r="Y117" s="1" t="n">
        <v>1</v>
      </c>
      <c r="Z117" s="1" t="n">
        <v>22</v>
      </c>
      <c r="AA117" s="1" t="n">
        <v>0</v>
      </c>
      <c r="AB117" s="1" t="n">
        <v>4</v>
      </c>
      <c r="AC117" s="1" t="n">
        <v>3</v>
      </c>
      <c r="AD117" s="1" t="n">
        <v>0</v>
      </c>
      <c r="AE117" s="1" t="n">
        <v>5</v>
      </c>
      <c r="AF117" s="1" t="n">
        <v>7</v>
      </c>
      <c r="AG117" s="1" t="n">
        <v>3</v>
      </c>
      <c r="AH117" s="1" t="n">
        <v>1</v>
      </c>
      <c r="AI117" s="1" t="n">
        <v>2</v>
      </c>
      <c r="AJ117" s="1" t="n">
        <v>2</v>
      </c>
      <c r="AK117" s="1" t="n">
        <v>0</v>
      </c>
      <c r="AL117" s="1" t="n">
        <v>0</v>
      </c>
      <c r="AM117" s="1" t="n">
        <v>0</v>
      </c>
    </row>
    <row r="118">
      <c r="A118" s="1" t="inlineStr">
        <is>
          <t>Diabetic Nephropathy</t>
        </is>
      </c>
      <c r="B118" s="1" t="inlineStr">
        <is>
          <t>EFO_0000401</t>
        </is>
      </c>
      <c r="C118" s="1" t="inlineStr">
        <is>
          <t>name</t>
        </is>
      </c>
      <c r="D118" s="1" t="n">
        <v>0.05</v>
      </c>
      <c r="E118" s="15" t="n">
        <v>9</v>
      </c>
      <c r="F118" s="15" t="n">
        <v>322</v>
      </c>
      <c r="G118" s="15" t="n">
        <v>9</v>
      </c>
      <c r="H118" s="16">
        <f>G118/F118</f>
        <v/>
      </c>
      <c r="I118" s="16">
        <f>G118/E118</f>
        <v/>
      </c>
      <c r="J118" s="17" t="n">
        <v>11</v>
      </c>
      <c r="K118" s="17" t="n">
        <v>5</v>
      </c>
      <c r="L118" s="17" t="n">
        <v>0</v>
      </c>
      <c r="M118" s="16">
        <f>L118/K118</f>
        <v/>
      </c>
      <c r="N118" s="16">
        <f>L118/J118</f>
        <v/>
      </c>
      <c r="O118" s="18" t="n">
        <v>0</v>
      </c>
      <c r="P118" s="18" t="n">
        <v>0</v>
      </c>
      <c r="Q118" s="16">
        <f>P118/O118</f>
        <v/>
      </c>
      <c r="R118" s="1" t="n">
        <v>507</v>
      </c>
      <c r="S118" s="1" t="n">
        <v>9</v>
      </c>
      <c r="T118" s="1" t="n">
        <v>0</v>
      </c>
      <c r="U118" s="1" t="n">
        <v>1</v>
      </c>
      <c r="V118" s="1" t="n">
        <v>7</v>
      </c>
      <c r="W118" s="1" t="n">
        <v>2</v>
      </c>
      <c r="X118" s="1" t="n">
        <v>1</v>
      </c>
      <c r="Y118" s="1" t="n">
        <v>0</v>
      </c>
      <c r="Z118" s="1" t="n">
        <v>8</v>
      </c>
      <c r="AA118" s="1" t="n">
        <v>0</v>
      </c>
      <c r="AB118" s="1" t="n">
        <v>0</v>
      </c>
      <c r="AC118" s="1" t="n">
        <v>2</v>
      </c>
      <c r="AD118" s="1" t="n">
        <v>0</v>
      </c>
      <c r="AE118" s="1" t="n">
        <v>0</v>
      </c>
      <c r="AF118" s="1" t="n">
        <v>1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2</v>
      </c>
      <c r="AM118" s="1" t="n">
        <v>0</v>
      </c>
    </row>
    <row r="119">
      <c r="A119" s="1" t="inlineStr">
        <is>
          <t>Diamond-Blackfan anemia</t>
        </is>
      </c>
      <c r="B119" s="1" t="inlineStr">
        <is>
          <t>MONDO_0015253</t>
        </is>
      </c>
      <c r="C119" s="1" t="inlineStr">
        <is>
          <t>name</t>
        </is>
      </c>
      <c r="D119" s="1" t="n">
        <v>0.05</v>
      </c>
      <c r="E119" s="15" t="n">
        <v>1</v>
      </c>
      <c r="F119" s="15" t="n">
        <v>187</v>
      </c>
      <c r="G119" s="15" t="n">
        <v>0</v>
      </c>
      <c r="H119" s="16">
        <f>G119/F119</f>
        <v/>
      </c>
      <c r="I119" s="16">
        <f>G119/E119</f>
        <v/>
      </c>
      <c r="J119" s="17" t="n">
        <v>4</v>
      </c>
      <c r="K119" s="17" t="n">
        <v>97</v>
      </c>
      <c r="L119" s="17" t="n">
        <v>1</v>
      </c>
      <c r="M119" s="16">
        <f>L119/K119</f>
        <v/>
      </c>
      <c r="N119" s="16">
        <f>L119/J119</f>
        <v/>
      </c>
      <c r="O119" s="18" t="n">
        <v>0</v>
      </c>
      <c r="P119" s="18" t="n">
        <v>0</v>
      </c>
      <c r="Q119" s="16">
        <f>P119/O119</f>
        <v/>
      </c>
      <c r="R119" s="1" t="n">
        <v>145</v>
      </c>
      <c r="S119" s="1" t="n">
        <v>1</v>
      </c>
      <c r="T119" s="1" t="n">
        <v>0</v>
      </c>
      <c r="U119" s="1" t="n">
        <v>1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1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</row>
    <row r="120">
      <c r="A120" s="1" t="inlineStr">
        <is>
          <t>dilated cardiomyopathy</t>
        </is>
      </c>
      <c r="B120" s="1" t="inlineStr">
        <is>
          <t>EFO_0000407</t>
        </is>
      </c>
      <c r="C120" s="1" t="inlineStr">
        <is>
          <t>name</t>
        </is>
      </c>
      <c r="D120" s="1" t="n">
        <v>0.05</v>
      </c>
      <c r="E120" s="15" t="n">
        <v>2</v>
      </c>
      <c r="F120" s="15" t="n">
        <v>73</v>
      </c>
      <c r="G120" s="15" t="n">
        <v>0</v>
      </c>
      <c r="H120" s="16">
        <f>G120/F120</f>
        <v/>
      </c>
      <c r="I120" s="16">
        <f>G120/E120</f>
        <v/>
      </c>
      <c r="J120" s="17" t="n">
        <v>3</v>
      </c>
      <c r="K120" s="17" t="n">
        <v>99</v>
      </c>
      <c r="L120" s="17" t="n">
        <v>1</v>
      </c>
      <c r="M120" s="16">
        <f>L120/K120</f>
        <v/>
      </c>
      <c r="N120" s="16">
        <f>L120/J120</f>
        <v/>
      </c>
      <c r="O120" s="18" t="n">
        <v>2</v>
      </c>
      <c r="P120" s="18" t="n">
        <v>0</v>
      </c>
      <c r="Q120" s="16">
        <f>P120/O120</f>
        <v/>
      </c>
      <c r="R120" s="1" t="n">
        <v>140</v>
      </c>
      <c r="S120" s="1" t="n">
        <v>1</v>
      </c>
      <c r="T120" s="1" t="n">
        <v>0</v>
      </c>
      <c r="U120" s="1" t="n">
        <v>0</v>
      </c>
      <c r="V120" s="1" t="n">
        <v>1</v>
      </c>
      <c r="W120" s="1" t="n">
        <v>0</v>
      </c>
      <c r="X120" s="1" t="n">
        <v>0</v>
      </c>
      <c r="Y120" s="1" t="n">
        <v>0</v>
      </c>
      <c r="Z120" s="1" t="n">
        <v>1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</row>
    <row r="121">
      <c r="A121" s="1" t="inlineStr">
        <is>
          <t>discoid lupus erythematosus</t>
        </is>
      </c>
      <c r="B121" s="1" t="inlineStr">
        <is>
          <t>MONDO_0019558</t>
        </is>
      </c>
      <c r="C121" s="1" t="inlineStr">
        <is>
          <t>name</t>
        </is>
      </c>
      <c r="D121" s="1" t="n">
        <v>0.05</v>
      </c>
      <c r="E121" s="15" t="n">
        <v>2</v>
      </c>
      <c r="F121" s="15" t="n">
        <v>357</v>
      </c>
      <c r="G121" s="15" t="n">
        <v>2</v>
      </c>
      <c r="H121" s="16">
        <f>G121/F121</f>
        <v/>
      </c>
      <c r="I121" s="16">
        <f>G121/E121</f>
        <v/>
      </c>
      <c r="J121" s="17" t="n">
        <v>1</v>
      </c>
      <c r="K121" s="17" t="n">
        <v>6</v>
      </c>
      <c r="L121" s="17" t="n">
        <v>0</v>
      </c>
      <c r="M121" s="16">
        <f>L121/K121</f>
        <v/>
      </c>
      <c r="N121" s="16">
        <f>L121/J121</f>
        <v/>
      </c>
      <c r="O121" s="18" t="n">
        <v>0</v>
      </c>
      <c r="P121" s="18" t="n">
        <v>0</v>
      </c>
      <c r="Q121" s="16">
        <f>P121/O121</f>
        <v/>
      </c>
      <c r="R121" s="1" t="n">
        <v>84</v>
      </c>
      <c r="S121" s="1" t="n">
        <v>2</v>
      </c>
      <c r="T121" s="1" t="n">
        <v>2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2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</row>
    <row r="122">
      <c r="A122" s="1" t="inlineStr">
        <is>
          <t>Down syndrome</t>
        </is>
      </c>
      <c r="B122" s="1" t="inlineStr">
        <is>
          <t>EFO_0001064</t>
        </is>
      </c>
      <c r="C122" s="1" t="inlineStr">
        <is>
          <t>name</t>
        </is>
      </c>
      <c r="D122" s="1" t="n">
        <v>0.05</v>
      </c>
      <c r="E122" s="15" t="n">
        <v>1</v>
      </c>
      <c r="F122" s="15" t="n">
        <v>120</v>
      </c>
      <c r="G122" s="15" t="n">
        <v>0</v>
      </c>
      <c r="H122" s="16">
        <f>G122/F122</f>
        <v/>
      </c>
      <c r="I122" s="16">
        <f>G122/E122</f>
        <v/>
      </c>
      <c r="J122" s="17" t="n">
        <v>1</v>
      </c>
      <c r="K122" s="17" t="n">
        <v>4</v>
      </c>
      <c r="L122" s="17" t="n">
        <v>0</v>
      </c>
      <c r="M122" s="16">
        <f>L122/K122</f>
        <v/>
      </c>
      <c r="N122" s="16">
        <f>L122/J122</f>
        <v/>
      </c>
      <c r="O122" s="18" t="n">
        <v>1</v>
      </c>
      <c r="P122" s="18" t="n">
        <v>0</v>
      </c>
      <c r="Q122" s="16">
        <f>P122/O122</f>
        <v/>
      </c>
      <c r="R122" s="1" t="n">
        <v>86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2</v>
      </c>
      <c r="AK122" s="1" t="n">
        <v>5</v>
      </c>
      <c r="AL122" s="1" t="n">
        <v>5</v>
      </c>
      <c r="AM122" s="1" t="n">
        <v>0</v>
      </c>
    </row>
    <row r="123">
      <c r="A123" s="1" t="inlineStr">
        <is>
          <t>Duchenne muscular dystrophy</t>
        </is>
      </c>
      <c r="B123" s="1" t="inlineStr">
        <is>
          <t>MONDO_0010679</t>
        </is>
      </c>
      <c r="C123" s="1" t="inlineStr">
        <is>
          <t>name</t>
        </is>
      </c>
      <c r="D123" s="1" t="n">
        <v>0.05</v>
      </c>
      <c r="E123" s="15" t="n">
        <v>6</v>
      </c>
      <c r="F123" s="15" t="n">
        <v>285</v>
      </c>
      <c r="G123" s="15" t="n">
        <v>5</v>
      </c>
      <c r="H123" s="16">
        <f>G123/F123</f>
        <v/>
      </c>
      <c r="I123" s="16">
        <f>G123/E123</f>
        <v/>
      </c>
      <c r="J123" s="17" t="n">
        <v>8</v>
      </c>
      <c r="K123" s="17" t="n">
        <v>0</v>
      </c>
      <c r="L123" s="17" t="n">
        <v>0</v>
      </c>
      <c r="M123" s="16">
        <f>L123/K123</f>
        <v/>
      </c>
      <c r="N123" s="16">
        <f>L123/J123</f>
        <v/>
      </c>
      <c r="O123" s="18" t="n">
        <v>0</v>
      </c>
      <c r="P123" s="18" t="n">
        <v>0</v>
      </c>
      <c r="Q123" s="16">
        <f>P123/O123</f>
        <v/>
      </c>
      <c r="R123" s="1" t="n">
        <v>429</v>
      </c>
      <c r="S123" s="1" t="n">
        <v>5</v>
      </c>
      <c r="T123" s="1" t="n">
        <v>2</v>
      </c>
      <c r="U123" s="1" t="n">
        <v>2</v>
      </c>
      <c r="V123" s="1" t="n">
        <v>5</v>
      </c>
      <c r="W123" s="1" t="n">
        <v>5</v>
      </c>
      <c r="X123" s="1" t="n">
        <v>1</v>
      </c>
      <c r="Y123" s="1" t="n">
        <v>0</v>
      </c>
      <c r="Z123" s="1" t="n">
        <v>7</v>
      </c>
      <c r="AA123" s="1" t="n">
        <v>1</v>
      </c>
      <c r="AB123" s="1" t="n">
        <v>0</v>
      </c>
      <c r="AC123" s="1" t="n">
        <v>2</v>
      </c>
      <c r="AD123" s="1" t="n">
        <v>0</v>
      </c>
      <c r="AE123" s="1" t="n">
        <v>4</v>
      </c>
      <c r="AF123" s="1" t="n">
        <v>1</v>
      </c>
      <c r="AG123" s="1" t="n">
        <v>0</v>
      </c>
      <c r="AH123" s="1" t="n">
        <v>0</v>
      </c>
      <c r="AI123" s="1" t="n">
        <v>0</v>
      </c>
      <c r="AJ123" s="1" t="n">
        <v>4</v>
      </c>
      <c r="AK123" s="1" t="n">
        <v>0</v>
      </c>
      <c r="AL123" s="1" t="n">
        <v>3</v>
      </c>
      <c r="AM123" s="1" t="n">
        <v>2</v>
      </c>
    </row>
    <row r="124">
      <c r="A124" s="1" t="inlineStr">
        <is>
          <t>dystonia</t>
        </is>
      </c>
      <c r="B124" s="1" t="inlineStr">
        <is>
          <t>HP_0001332</t>
        </is>
      </c>
      <c r="C124" s="1" t="inlineStr">
        <is>
          <t>name</t>
        </is>
      </c>
      <c r="D124" s="1" t="n">
        <v>0.05</v>
      </c>
      <c r="E124" s="15" t="n">
        <v>0</v>
      </c>
      <c r="F124" s="15" t="n">
        <v>212</v>
      </c>
      <c r="G124" s="15" t="n">
        <v>0</v>
      </c>
      <c r="H124" s="16">
        <f>G124/F124</f>
        <v/>
      </c>
      <c r="I124" s="16">
        <f>G124/E124</f>
        <v/>
      </c>
      <c r="J124" s="17" t="n">
        <v>0</v>
      </c>
      <c r="K124" s="17" t="n">
        <v>3</v>
      </c>
      <c r="L124" s="17" t="n">
        <v>0</v>
      </c>
      <c r="M124" s="16">
        <f>L124/K124</f>
        <v/>
      </c>
      <c r="N124" s="16">
        <f>L124/J124</f>
        <v/>
      </c>
      <c r="O124" s="18" t="n">
        <v>0</v>
      </c>
      <c r="P124" s="18" t="n">
        <v>0</v>
      </c>
      <c r="Q124" s="16">
        <f>P124/O124</f>
        <v/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</row>
    <row r="125">
      <c r="A125" s="1" t="inlineStr">
        <is>
          <t>Ebola hemorrhagic fever</t>
        </is>
      </c>
      <c r="B125" s="1" t="inlineStr">
        <is>
          <t>EFO_0007243</t>
        </is>
      </c>
      <c r="C125" s="1" t="inlineStr">
        <is>
          <t>name</t>
        </is>
      </c>
      <c r="D125" s="1" t="n">
        <v>0.05</v>
      </c>
      <c r="E125" s="15" t="n">
        <v>2</v>
      </c>
      <c r="F125" s="15" t="n">
        <v>188</v>
      </c>
      <c r="G125" s="15" t="n">
        <v>0</v>
      </c>
      <c r="H125" s="16">
        <f>G125/F125</f>
        <v/>
      </c>
      <c r="I125" s="16">
        <f>G125/E125</f>
        <v/>
      </c>
      <c r="J125" s="17" t="n">
        <v>1</v>
      </c>
      <c r="K125" s="17" t="n">
        <v>81</v>
      </c>
      <c r="L125" s="17" t="n">
        <v>0</v>
      </c>
      <c r="M125" s="16">
        <f>L125/K125</f>
        <v/>
      </c>
      <c r="N125" s="16">
        <f>L125/J125</f>
        <v/>
      </c>
      <c r="O125" s="18" t="n">
        <v>1</v>
      </c>
      <c r="P125" s="18" t="n">
        <v>0</v>
      </c>
      <c r="Q125" s="16">
        <f>P125/O125</f>
        <v/>
      </c>
      <c r="R125" s="1" t="n">
        <v>44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</row>
    <row r="126">
      <c r="A126" s="1" t="inlineStr">
        <is>
          <t>endometrial cancer</t>
        </is>
      </c>
      <c r="B126" s="1" t="inlineStr">
        <is>
          <t>MONDO_0011962</t>
        </is>
      </c>
      <c r="C126" s="1" t="inlineStr">
        <is>
          <t>name</t>
        </is>
      </c>
      <c r="D126" s="1" t="n">
        <v>0.05</v>
      </c>
      <c r="E126" s="15" t="n">
        <v>26</v>
      </c>
      <c r="F126" s="15" t="n">
        <v>212</v>
      </c>
      <c r="G126" s="15" t="n">
        <v>17</v>
      </c>
      <c r="H126" s="16">
        <f>G126/F126</f>
        <v/>
      </c>
      <c r="I126" s="16">
        <f>G126/E126</f>
        <v/>
      </c>
      <c r="J126" s="17" t="n">
        <v>20</v>
      </c>
      <c r="K126" s="17" t="n">
        <v>209</v>
      </c>
      <c r="L126" s="17" t="n">
        <v>6</v>
      </c>
      <c r="M126" s="16">
        <f>L126/K126</f>
        <v/>
      </c>
      <c r="N126" s="16">
        <f>L126/J126</f>
        <v/>
      </c>
      <c r="O126" s="18" t="n">
        <v>6</v>
      </c>
      <c r="P126" s="18" t="n">
        <v>0</v>
      </c>
      <c r="Q126" s="16">
        <f>P126/O126</f>
        <v/>
      </c>
      <c r="R126" s="1" t="n">
        <v>1032</v>
      </c>
      <c r="S126" s="1" t="n">
        <v>23</v>
      </c>
      <c r="T126" s="1" t="n">
        <v>3</v>
      </c>
      <c r="U126" s="1" t="n">
        <v>14</v>
      </c>
      <c r="V126" s="1" t="n">
        <v>27</v>
      </c>
      <c r="W126" s="1" t="n">
        <v>12</v>
      </c>
      <c r="X126" s="1" t="n">
        <v>0</v>
      </c>
      <c r="Y126" s="1" t="n">
        <v>6</v>
      </c>
      <c r="Z126" s="1" t="n">
        <v>16</v>
      </c>
      <c r="AA126" s="1" t="n">
        <v>0</v>
      </c>
      <c r="AB126" s="1" t="n">
        <v>5</v>
      </c>
      <c r="AC126" s="1" t="n">
        <v>17</v>
      </c>
      <c r="AD126" s="1" t="n">
        <v>0</v>
      </c>
      <c r="AE126" s="1" t="n">
        <v>8</v>
      </c>
      <c r="AF126" s="1" t="n">
        <v>0</v>
      </c>
      <c r="AG126" s="1" t="n">
        <v>4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</row>
    <row r="127">
      <c r="A127" s="1" t="inlineStr">
        <is>
          <t>endometriosis</t>
        </is>
      </c>
      <c r="B127" s="1" t="inlineStr">
        <is>
          <t>EFO_0001065</t>
        </is>
      </c>
      <c r="C127" s="1" t="inlineStr">
        <is>
          <t>name</t>
        </is>
      </c>
      <c r="D127" s="1" t="n">
        <v>0.05</v>
      </c>
      <c r="E127" s="15" t="n">
        <v>9</v>
      </c>
      <c r="F127" s="15" t="n">
        <v>204</v>
      </c>
      <c r="G127" s="15" t="n">
        <v>4</v>
      </c>
      <c r="H127" s="16">
        <f>G127/F127</f>
        <v/>
      </c>
      <c r="I127" s="16">
        <f>G127/E127</f>
        <v/>
      </c>
      <c r="J127" s="17" t="n">
        <v>12</v>
      </c>
      <c r="K127" s="17" t="n">
        <v>10</v>
      </c>
      <c r="L127" s="17" t="n">
        <v>0</v>
      </c>
      <c r="M127" s="16">
        <f>L127/K127</f>
        <v/>
      </c>
      <c r="N127" s="16">
        <f>L127/J127</f>
        <v/>
      </c>
      <c r="O127" s="18" t="n">
        <v>0</v>
      </c>
      <c r="P127" s="18" t="n">
        <v>0</v>
      </c>
      <c r="Q127" s="16">
        <f>P127/O127</f>
        <v/>
      </c>
      <c r="R127" s="1" t="n">
        <v>589</v>
      </c>
      <c r="S127" s="1" t="n">
        <v>4</v>
      </c>
      <c r="T127" s="1" t="n">
        <v>0</v>
      </c>
      <c r="U127" s="1" t="n">
        <v>0</v>
      </c>
      <c r="V127" s="1" t="n">
        <v>4</v>
      </c>
      <c r="W127" s="1" t="n">
        <v>1</v>
      </c>
      <c r="X127" s="1" t="n">
        <v>0</v>
      </c>
      <c r="Y127" s="1" t="n">
        <v>0</v>
      </c>
      <c r="Z127" s="1" t="n">
        <v>5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</row>
    <row r="128">
      <c r="A128" s="1" t="inlineStr">
        <is>
          <t>epidermolysis bullosa simplex</t>
        </is>
      </c>
      <c r="B128" s="1" t="inlineStr">
        <is>
          <t>MONDO_0017610</t>
        </is>
      </c>
      <c r="C128" s="1" t="inlineStr">
        <is>
          <t>name</t>
        </is>
      </c>
      <c r="D128" s="1" t="n">
        <v>0.05</v>
      </c>
      <c r="E128" s="15" t="n">
        <v>0</v>
      </c>
      <c r="F128" s="15" t="n">
        <v>116</v>
      </c>
      <c r="G128" s="15" t="n">
        <v>0</v>
      </c>
      <c r="H128" s="16">
        <f>G128/F128</f>
        <v/>
      </c>
      <c r="I128" s="16">
        <f>G128/E128</f>
        <v/>
      </c>
      <c r="J128" s="17" t="n">
        <v>0</v>
      </c>
      <c r="K128" s="17" t="n">
        <v>3</v>
      </c>
      <c r="L128" s="17" t="n">
        <v>0</v>
      </c>
      <c r="M128" s="16">
        <f>L128/K128</f>
        <v/>
      </c>
      <c r="N128" s="16">
        <f>L128/J128</f>
        <v/>
      </c>
      <c r="O128" s="18" t="n">
        <v>0</v>
      </c>
      <c r="P128" s="18" t="n">
        <v>0</v>
      </c>
      <c r="Q128" s="16">
        <f>P128/O128</f>
        <v/>
      </c>
      <c r="R128" s="1" t="n">
        <v>11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</row>
    <row r="129">
      <c r="A129" s="1" t="inlineStr">
        <is>
          <t>epilepsy syndrome</t>
        </is>
      </c>
      <c r="B129" s="1" t="inlineStr">
        <is>
          <t>MONDO_0015650</t>
        </is>
      </c>
      <c r="C129" s="1" t="inlineStr">
        <is>
          <t>name</t>
        </is>
      </c>
      <c r="D129" s="1" t="n">
        <v>0.05</v>
      </c>
      <c r="E129" s="15" t="n">
        <v>0</v>
      </c>
      <c r="F129" s="15" t="n">
        <v>288</v>
      </c>
      <c r="G129" s="15" t="n">
        <v>0</v>
      </c>
      <c r="H129" s="16">
        <f>G129/F129</f>
        <v/>
      </c>
      <c r="I129" s="16">
        <f>G129/E129</f>
        <v/>
      </c>
      <c r="J129" s="17" t="n">
        <v>0</v>
      </c>
      <c r="K129" s="17" t="n">
        <v>90</v>
      </c>
      <c r="L129" s="17" t="n">
        <v>0</v>
      </c>
      <c r="M129" s="16">
        <f>L129/K129</f>
        <v/>
      </c>
      <c r="N129" s="16">
        <f>L129/J129</f>
        <v/>
      </c>
      <c r="O129" s="18" t="n">
        <v>2</v>
      </c>
      <c r="P129" s="18" t="n">
        <v>0</v>
      </c>
      <c r="Q129" s="16">
        <f>P129/O129</f>
        <v/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</row>
    <row r="130">
      <c r="A130" s="1" t="inlineStr">
        <is>
          <t>facioscapulohumeral muscular dystrophy</t>
        </is>
      </c>
      <c r="B130" s="1" t="inlineStr">
        <is>
          <t>MONDO_0001347</t>
        </is>
      </c>
      <c r="C130" s="1" t="inlineStr">
        <is>
          <t>name</t>
        </is>
      </c>
      <c r="D130" s="1" t="n">
        <v>0.05</v>
      </c>
      <c r="E130" s="15" t="n">
        <v>0</v>
      </c>
      <c r="F130" s="15" t="n">
        <v>242</v>
      </c>
      <c r="G130" s="15" t="n">
        <v>0</v>
      </c>
      <c r="H130" s="16">
        <f>G130/F130</f>
        <v/>
      </c>
      <c r="I130" s="16">
        <f>G130/E130</f>
        <v/>
      </c>
      <c r="J130" s="17" t="n">
        <v>0</v>
      </c>
      <c r="K130" s="17" t="n">
        <v>2</v>
      </c>
      <c r="L130" s="17" t="n">
        <v>0</v>
      </c>
      <c r="M130" s="16">
        <f>L130/K130</f>
        <v/>
      </c>
      <c r="N130" s="16">
        <f>L130/J130</f>
        <v/>
      </c>
      <c r="O130" s="18" t="n">
        <v>0</v>
      </c>
      <c r="P130" s="18" t="n">
        <v>0</v>
      </c>
      <c r="Q130" s="16">
        <f>P130/O130</f>
        <v/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4</v>
      </c>
      <c r="AK130" s="1" t="n">
        <v>1</v>
      </c>
      <c r="AL130" s="1" t="n">
        <v>2</v>
      </c>
      <c r="AM130" s="1" t="n">
        <v>0</v>
      </c>
    </row>
    <row r="131">
      <c r="A131" s="1" t="inlineStr">
        <is>
          <t>familial hypercholesterolemia</t>
        </is>
      </c>
      <c r="B131" s="1" t="inlineStr">
        <is>
          <t>EFO_0004911</t>
        </is>
      </c>
      <c r="C131" s="1" t="inlineStr">
        <is>
          <t>name</t>
        </is>
      </c>
      <c r="D131" s="1" t="n">
        <v>0.05</v>
      </c>
      <c r="E131" s="15" t="n">
        <v>2</v>
      </c>
      <c r="F131" s="15" t="n">
        <v>250</v>
      </c>
      <c r="G131" s="15" t="n">
        <v>0</v>
      </c>
      <c r="H131" s="16">
        <f>G131/F131</f>
        <v/>
      </c>
      <c r="I131" s="16">
        <f>G131/E131</f>
        <v/>
      </c>
      <c r="J131" s="17" t="n">
        <v>1</v>
      </c>
      <c r="K131" s="17" t="n">
        <v>67</v>
      </c>
      <c r="L131" s="17" t="n">
        <v>0</v>
      </c>
      <c r="M131" s="16">
        <f>L131/K131</f>
        <v/>
      </c>
      <c r="N131" s="16">
        <f>L131/J131</f>
        <v/>
      </c>
      <c r="O131" s="18" t="n">
        <v>2</v>
      </c>
      <c r="P131" s="18" t="n">
        <v>0</v>
      </c>
      <c r="Q131" s="16">
        <f>P131/O131</f>
        <v/>
      </c>
      <c r="R131" s="1" t="n">
        <v>181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1</v>
      </c>
      <c r="AL131" s="1" t="n">
        <v>0</v>
      </c>
      <c r="AM131" s="1" t="n">
        <v>0</v>
      </c>
    </row>
    <row r="132">
      <c r="A132" s="1" t="inlineStr">
        <is>
          <t>fragile X syndrome</t>
        </is>
      </c>
      <c r="B132" s="1" t="inlineStr">
        <is>
          <t>MONDO_0010383</t>
        </is>
      </c>
      <c r="C132" s="1" t="inlineStr">
        <is>
          <t>name</t>
        </is>
      </c>
      <c r="D132" s="1" t="n">
        <v>0.05</v>
      </c>
      <c r="E132" s="15" t="n">
        <v>0</v>
      </c>
      <c r="F132" s="15" t="n">
        <v>379</v>
      </c>
      <c r="G132" s="15" t="n">
        <v>0</v>
      </c>
      <c r="H132" s="16">
        <f>G132/F132</f>
        <v/>
      </c>
      <c r="I132" s="16">
        <f>G132/E132</f>
        <v/>
      </c>
      <c r="J132" s="17" t="n">
        <v>6</v>
      </c>
      <c r="K132" s="17" t="n">
        <v>19</v>
      </c>
      <c r="L132" s="17" t="n">
        <v>0</v>
      </c>
      <c r="M132" s="16">
        <f>L132/K132</f>
        <v/>
      </c>
      <c r="N132" s="16">
        <f>L132/J132</f>
        <v/>
      </c>
      <c r="O132" s="18" t="n">
        <v>2</v>
      </c>
      <c r="P132" s="18" t="n">
        <v>0</v>
      </c>
      <c r="Q132" s="16">
        <f>P132/O132</f>
        <v/>
      </c>
      <c r="R132" s="1" t="n">
        <v>163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3</v>
      </c>
      <c r="AK132" s="1" t="n">
        <v>0</v>
      </c>
      <c r="AL132" s="1" t="n">
        <v>0</v>
      </c>
      <c r="AM132" s="1" t="n">
        <v>0</v>
      </c>
    </row>
    <row r="133">
      <c r="A133" s="1" t="inlineStr">
        <is>
          <t>gastroesophageal reflux disease</t>
        </is>
      </c>
      <c r="B133" s="1" t="inlineStr">
        <is>
          <t>EFO_0003948</t>
        </is>
      </c>
      <c r="C133" s="1" t="inlineStr">
        <is>
          <t>name</t>
        </is>
      </c>
      <c r="D133" s="1" t="n">
        <v>0.05</v>
      </c>
      <c r="E133" s="15" t="n">
        <v>2</v>
      </c>
      <c r="F133" s="15" t="n">
        <v>79</v>
      </c>
      <c r="G133" s="15" t="n">
        <v>0</v>
      </c>
      <c r="H133" s="16">
        <f>G133/F133</f>
        <v/>
      </c>
      <c r="I133" s="16">
        <f>G133/E133</f>
        <v/>
      </c>
      <c r="J133" s="17" t="n">
        <v>16</v>
      </c>
      <c r="K133" s="17" t="n">
        <v>192</v>
      </c>
      <c r="L133" s="17" t="n">
        <v>4</v>
      </c>
      <c r="M133" s="16">
        <f>L133/K133</f>
        <v/>
      </c>
      <c r="N133" s="16">
        <f>L133/J133</f>
        <v/>
      </c>
      <c r="O133" s="18" t="n">
        <v>1</v>
      </c>
      <c r="P133" s="18" t="n">
        <v>0</v>
      </c>
      <c r="Q133" s="16">
        <f>P133/O133</f>
        <v/>
      </c>
      <c r="R133" s="1" t="n">
        <v>398</v>
      </c>
      <c r="S133" s="1" t="n">
        <v>4</v>
      </c>
      <c r="T133" s="1" t="n">
        <v>1</v>
      </c>
      <c r="U133" s="1" t="n">
        <v>2</v>
      </c>
      <c r="V133" s="1" t="n">
        <v>1</v>
      </c>
      <c r="W133" s="1" t="n">
        <v>4</v>
      </c>
      <c r="X133" s="1" t="n">
        <v>6</v>
      </c>
      <c r="Y133" s="1" t="n">
        <v>0</v>
      </c>
      <c r="Z133" s="1" t="n">
        <v>6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2</v>
      </c>
      <c r="AF133" s="1" t="n">
        <v>3</v>
      </c>
      <c r="AG133" s="1" t="n">
        <v>2</v>
      </c>
      <c r="AH133" s="1" t="n">
        <v>1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</row>
    <row r="134">
      <c r="A134" s="1" t="inlineStr">
        <is>
          <t>gastrointestinal stromal tumor</t>
        </is>
      </c>
      <c r="B134" s="1" t="inlineStr">
        <is>
          <t>MONDO_0011719</t>
        </is>
      </c>
      <c r="C134" s="1" t="inlineStr">
        <is>
          <t>name</t>
        </is>
      </c>
      <c r="D134" s="1" t="n">
        <v>0.05</v>
      </c>
      <c r="E134" s="15" t="n">
        <v>16</v>
      </c>
      <c r="F134" s="15" t="n">
        <v>8</v>
      </c>
      <c r="G134" s="15" t="n">
        <v>0</v>
      </c>
      <c r="H134" s="16">
        <f>G134/F134</f>
        <v/>
      </c>
      <c r="I134" s="16">
        <f>G134/E134</f>
        <v/>
      </c>
      <c r="J134" s="17" t="n">
        <v>5</v>
      </c>
      <c r="K134" s="17" t="n">
        <v>0</v>
      </c>
      <c r="L134" s="17" t="n">
        <v>0</v>
      </c>
      <c r="M134" s="16">
        <f>L134/K134</f>
        <v/>
      </c>
      <c r="N134" s="16">
        <f>L134/J134</f>
        <v/>
      </c>
      <c r="O134" s="18" t="n">
        <v>0</v>
      </c>
      <c r="P134" s="18" t="n">
        <v>0</v>
      </c>
      <c r="Q134" s="16">
        <f>P134/O134</f>
        <v/>
      </c>
      <c r="R134" s="1" t="n">
        <v>464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9</v>
      </c>
      <c r="AK134" s="1" t="n">
        <v>0</v>
      </c>
      <c r="AL134" s="1" t="n">
        <v>2</v>
      </c>
      <c r="AM134" s="1" t="n">
        <v>1</v>
      </c>
    </row>
    <row r="135">
      <c r="A135" s="1" t="inlineStr">
        <is>
          <t>glioblastoma multiforme</t>
        </is>
      </c>
      <c r="B135" s="1" t="inlineStr">
        <is>
          <t>EFO_0000519</t>
        </is>
      </c>
      <c r="C135" s="1" t="inlineStr">
        <is>
          <t>name</t>
        </is>
      </c>
      <c r="D135" s="1" t="n">
        <v>0.05</v>
      </c>
      <c r="E135" s="15" t="n">
        <v>50</v>
      </c>
      <c r="F135" s="15" t="n">
        <v>237</v>
      </c>
      <c r="G135" s="15" t="n">
        <v>31</v>
      </c>
      <c r="H135" s="16">
        <f>G135/F135</f>
        <v/>
      </c>
      <c r="I135" s="16">
        <f>G135/E135</f>
        <v/>
      </c>
      <c r="J135" s="17" t="n">
        <v>32</v>
      </c>
      <c r="K135" s="17" t="n">
        <v>27</v>
      </c>
      <c r="L135" s="17" t="n">
        <v>1</v>
      </c>
      <c r="M135" s="16">
        <f>L135/K135</f>
        <v/>
      </c>
      <c r="N135" s="16">
        <f>L135/J135</f>
        <v/>
      </c>
      <c r="O135" s="18" t="n">
        <v>0</v>
      </c>
      <c r="P135" s="18" t="n">
        <v>0</v>
      </c>
      <c r="Q135" s="16">
        <f>P135/O135</f>
        <v/>
      </c>
      <c r="R135" s="1" t="n">
        <v>1726</v>
      </c>
      <c r="S135" s="1" t="n">
        <v>32</v>
      </c>
      <c r="T135" s="1" t="n">
        <v>6</v>
      </c>
      <c r="U135" s="1" t="n">
        <v>29</v>
      </c>
      <c r="V135" s="1" t="n">
        <v>27</v>
      </c>
      <c r="W135" s="1" t="n">
        <v>1</v>
      </c>
      <c r="X135" s="1" t="n">
        <v>0</v>
      </c>
      <c r="Y135" s="1" t="n">
        <v>7</v>
      </c>
      <c r="Z135" s="1" t="n">
        <v>25</v>
      </c>
      <c r="AA135" s="1" t="n">
        <v>0</v>
      </c>
      <c r="AB135" s="1" t="n">
        <v>1</v>
      </c>
      <c r="AC135" s="1" t="n">
        <v>11</v>
      </c>
      <c r="AD135" s="1" t="n">
        <v>1</v>
      </c>
      <c r="AE135" s="1" t="n">
        <v>11</v>
      </c>
      <c r="AF135" s="1" t="n">
        <v>0</v>
      </c>
      <c r="AG135" s="1" t="n">
        <v>3</v>
      </c>
      <c r="AH135" s="1" t="n">
        <v>4</v>
      </c>
      <c r="AI135" s="1" t="n">
        <v>0</v>
      </c>
      <c r="AJ135" s="1" t="n">
        <v>1</v>
      </c>
      <c r="AK135" s="1" t="n">
        <v>2</v>
      </c>
      <c r="AL135" s="1" t="n">
        <v>0</v>
      </c>
      <c r="AM135" s="1" t="n">
        <v>1</v>
      </c>
    </row>
    <row r="136">
      <c r="A136" s="1" t="inlineStr">
        <is>
          <t>head and neck squamous cell carcinoma</t>
        </is>
      </c>
      <c r="B136" s="1" t="inlineStr">
        <is>
          <t>EFO_0000181</t>
        </is>
      </c>
      <c r="C136" s="1" t="inlineStr">
        <is>
          <t>name</t>
        </is>
      </c>
      <c r="D136" s="1" t="n">
        <v>0.05</v>
      </c>
      <c r="E136" s="15" t="n">
        <v>27</v>
      </c>
      <c r="F136" s="15" t="n">
        <v>248</v>
      </c>
      <c r="G136" s="15" t="n">
        <v>13</v>
      </c>
      <c r="H136" s="16">
        <f>G136/F136</f>
        <v/>
      </c>
      <c r="I136" s="16">
        <f>G136/E136</f>
        <v/>
      </c>
      <c r="J136" s="17" t="n">
        <v>14</v>
      </c>
      <c r="K136" s="17" t="n">
        <v>0</v>
      </c>
      <c r="L136" s="17" t="n">
        <v>0</v>
      </c>
      <c r="M136" s="16">
        <f>L136/K136</f>
        <v/>
      </c>
      <c r="N136" s="16">
        <f>L136/J136</f>
        <v/>
      </c>
      <c r="O136" s="18" t="n">
        <v>0</v>
      </c>
      <c r="P136" s="18" t="n">
        <v>0</v>
      </c>
      <c r="Q136" s="16">
        <f>P136/O136</f>
        <v/>
      </c>
      <c r="R136" s="1" t="n">
        <v>1045</v>
      </c>
      <c r="S136" s="1" t="n">
        <v>13</v>
      </c>
      <c r="T136" s="1" t="n">
        <v>1</v>
      </c>
      <c r="U136" s="1" t="n">
        <v>12</v>
      </c>
      <c r="V136" s="1" t="n">
        <v>18</v>
      </c>
      <c r="W136" s="1" t="n">
        <v>4</v>
      </c>
      <c r="X136" s="1" t="n">
        <v>0</v>
      </c>
      <c r="Y136" s="1" t="n">
        <v>3</v>
      </c>
      <c r="Z136" s="1" t="n">
        <v>13</v>
      </c>
      <c r="AA136" s="1" t="n">
        <v>0</v>
      </c>
      <c r="AB136" s="1" t="n">
        <v>2</v>
      </c>
      <c r="AC136" s="1" t="n">
        <v>6</v>
      </c>
      <c r="AD136" s="1" t="n">
        <v>0</v>
      </c>
      <c r="AE136" s="1" t="n">
        <v>6</v>
      </c>
      <c r="AF136" s="1" t="n">
        <v>0</v>
      </c>
      <c r="AG136" s="1" t="n">
        <v>1</v>
      </c>
      <c r="AH136" s="1" t="n">
        <v>4</v>
      </c>
      <c r="AI136" s="1" t="n">
        <v>0</v>
      </c>
      <c r="AJ136" s="1" t="n">
        <v>5</v>
      </c>
      <c r="AK136" s="1" t="n">
        <v>4</v>
      </c>
      <c r="AL136" s="1" t="n">
        <v>4</v>
      </c>
      <c r="AM136" s="1" t="n">
        <v>2</v>
      </c>
    </row>
    <row r="137">
      <c r="A137" s="1" t="inlineStr">
        <is>
          <t>hepatocellular carcinoma</t>
        </is>
      </c>
      <c r="B137" s="1" t="inlineStr">
        <is>
          <t>EFO_0000182</t>
        </is>
      </c>
      <c r="C137" s="1" t="inlineStr">
        <is>
          <t>name</t>
        </is>
      </c>
      <c r="D137" s="1" t="n">
        <v>0.05</v>
      </c>
      <c r="E137" s="15" t="n">
        <v>39</v>
      </c>
      <c r="F137" s="15" t="n">
        <v>124</v>
      </c>
      <c r="G137" s="15" t="n">
        <v>15</v>
      </c>
      <c r="H137" s="16">
        <f>G137/F137</f>
        <v/>
      </c>
      <c r="I137" s="16">
        <f>G137/E137</f>
        <v/>
      </c>
      <c r="J137" s="17" t="n">
        <v>23</v>
      </c>
      <c r="K137" s="17" t="n">
        <v>68</v>
      </c>
      <c r="L137" s="17" t="n">
        <v>3</v>
      </c>
      <c r="M137" s="16">
        <f>L137/K137</f>
        <v/>
      </c>
      <c r="N137" s="16">
        <f>L137/J137</f>
        <v/>
      </c>
      <c r="O137" s="18" t="n">
        <v>0</v>
      </c>
      <c r="P137" s="18" t="n">
        <v>0</v>
      </c>
      <c r="Q137" s="16">
        <f>P137/O137</f>
        <v/>
      </c>
      <c r="R137" s="1" t="n">
        <v>1423</v>
      </c>
      <c r="S137" s="1" t="n">
        <v>18</v>
      </c>
      <c r="T137" s="1" t="n">
        <v>0</v>
      </c>
      <c r="U137" s="1" t="n">
        <v>19</v>
      </c>
      <c r="V137" s="1" t="n">
        <v>21</v>
      </c>
      <c r="W137" s="1" t="n">
        <v>10</v>
      </c>
      <c r="X137" s="1" t="n">
        <v>1</v>
      </c>
      <c r="Y137" s="1" t="n">
        <v>3</v>
      </c>
      <c r="Z137" s="1" t="n">
        <v>13</v>
      </c>
      <c r="AA137" s="1" t="n">
        <v>0</v>
      </c>
      <c r="AB137" s="1" t="n">
        <v>2</v>
      </c>
      <c r="AC137" s="1" t="n">
        <v>7</v>
      </c>
      <c r="AD137" s="1" t="n">
        <v>2</v>
      </c>
      <c r="AE137" s="1" t="n">
        <v>13</v>
      </c>
      <c r="AF137" s="1" t="n">
        <v>1</v>
      </c>
      <c r="AG137" s="1" t="n">
        <v>7</v>
      </c>
      <c r="AH137" s="1" t="n">
        <v>3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</row>
    <row r="138">
      <c r="A138" s="1" t="inlineStr">
        <is>
          <t>Hereditary gingival fibromatosis</t>
        </is>
      </c>
      <c r="B138" s="1" t="inlineStr">
        <is>
          <t>MONDO_0016070</t>
        </is>
      </c>
      <c r="C138" s="1" t="inlineStr">
        <is>
          <t>name</t>
        </is>
      </c>
      <c r="D138" s="1" t="n">
        <v>0.05</v>
      </c>
      <c r="E138" s="15" t="n">
        <v>0</v>
      </c>
      <c r="F138" s="15" t="n">
        <v>30</v>
      </c>
      <c r="G138" s="15" t="n">
        <v>0</v>
      </c>
      <c r="H138" s="16">
        <f>G138/F138</f>
        <v/>
      </c>
      <c r="I138" s="16">
        <f>G138/E138</f>
        <v/>
      </c>
      <c r="J138" s="17" t="n">
        <v>0</v>
      </c>
      <c r="K138" s="17" t="n">
        <v>0</v>
      </c>
      <c r="L138" s="17" t="n">
        <v>0</v>
      </c>
      <c r="M138" s="16">
        <f>L138/K138</f>
        <v/>
      </c>
      <c r="N138" s="16">
        <f>L138/J138</f>
        <v/>
      </c>
      <c r="O138" s="18" t="n">
        <v>0</v>
      </c>
      <c r="P138" s="18" t="n">
        <v>0</v>
      </c>
      <c r="Q138" s="16">
        <f>P138/O138</f>
        <v/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20</v>
      </c>
      <c r="AK138" s="1" t="n">
        <v>0</v>
      </c>
      <c r="AL138" s="1" t="n">
        <v>14</v>
      </c>
      <c r="AM138" s="1" t="n">
        <v>7</v>
      </c>
    </row>
    <row r="139">
      <c r="A139" s="1" t="inlineStr">
        <is>
          <t>Hypoxia</t>
        </is>
      </c>
      <c r="B139" s="1" t="inlineStr">
        <is>
          <t>EFO_0009444</t>
        </is>
      </c>
      <c r="C139" s="1" t="inlineStr">
        <is>
          <t>name</t>
        </is>
      </c>
      <c r="D139" s="1" t="n">
        <v>0.05</v>
      </c>
      <c r="E139" s="15" t="n">
        <v>0</v>
      </c>
      <c r="F139" s="15" t="n">
        <v>282</v>
      </c>
      <c r="G139" s="15" t="n">
        <v>0</v>
      </c>
      <c r="H139" s="16">
        <f>G139/F139</f>
        <v/>
      </c>
      <c r="I139" s="16">
        <f>G139/E139</f>
        <v/>
      </c>
      <c r="J139" s="17" t="n">
        <v>3</v>
      </c>
      <c r="K139" s="17" t="n">
        <v>80</v>
      </c>
      <c r="L139" s="17" t="n">
        <v>0</v>
      </c>
      <c r="M139" s="16">
        <f>L139/K139</f>
        <v/>
      </c>
      <c r="N139" s="16">
        <f>L139/J139</f>
        <v/>
      </c>
      <c r="O139" s="18" t="n">
        <v>2</v>
      </c>
      <c r="P139" s="18" t="n">
        <v>0</v>
      </c>
      <c r="Q139" s="16">
        <f>P139/O139</f>
        <v/>
      </c>
      <c r="R139" s="1" t="n">
        <v>153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</row>
    <row r="140">
      <c r="A140" s="1" t="inlineStr">
        <is>
          <t>idiopathic interstitial pneumonia</t>
        </is>
      </c>
      <c r="B140" s="1" t="inlineStr">
        <is>
          <t>MONDO_0002429</t>
        </is>
      </c>
      <c r="C140" s="1" t="inlineStr">
        <is>
          <t>name</t>
        </is>
      </c>
      <c r="D140" s="1" t="n">
        <v>0.05</v>
      </c>
      <c r="E140" s="15" t="n">
        <v>0</v>
      </c>
      <c r="F140" s="15" t="n">
        <v>76</v>
      </c>
      <c r="G140" s="15" t="n">
        <v>0</v>
      </c>
      <c r="H140" s="16">
        <f>G140/F140</f>
        <v/>
      </c>
      <c r="I140" s="16">
        <f>G140/E140</f>
        <v/>
      </c>
      <c r="J140" s="17" t="n">
        <v>0</v>
      </c>
      <c r="K140" s="17" t="n">
        <v>21</v>
      </c>
      <c r="L140" s="17" t="n">
        <v>0</v>
      </c>
      <c r="M140" s="16">
        <f>L140/K140</f>
        <v/>
      </c>
      <c r="N140" s="16">
        <f>L140/J140</f>
        <v/>
      </c>
      <c r="O140" s="18" t="n">
        <v>1</v>
      </c>
      <c r="P140" s="18" t="n">
        <v>0</v>
      </c>
      <c r="Q140" s="16">
        <f>P140/O140</f>
        <v/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1</v>
      </c>
      <c r="AK140" s="1" t="n">
        <v>1</v>
      </c>
      <c r="AL140" s="1" t="n">
        <v>0</v>
      </c>
      <c r="AM140" s="1" t="n">
        <v>0</v>
      </c>
    </row>
    <row r="141">
      <c r="A141" s="1" t="inlineStr">
        <is>
          <t>idiopathic pulmonary fibrosis</t>
        </is>
      </c>
      <c r="B141" s="1" t="inlineStr">
        <is>
          <t>EFO_0000768</t>
        </is>
      </c>
      <c r="C141" s="1" t="inlineStr">
        <is>
          <t>name</t>
        </is>
      </c>
      <c r="D141" s="1" t="n">
        <v>0.05</v>
      </c>
      <c r="E141" s="15" t="n">
        <v>11</v>
      </c>
      <c r="F141" s="15" t="n">
        <v>129</v>
      </c>
      <c r="G141" s="15" t="n">
        <v>4</v>
      </c>
      <c r="H141" s="16">
        <f>G141/F141</f>
        <v/>
      </c>
      <c r="I141" s="16">
        <f>G141/E141</f>
        <v/>
      </c>
      <c r="J141" s="17" t="n">
        <v>13</v>
      </c>
      <c r="K141" s="17" t="n">
        <v>0</v>
      </c>
      <c r="L141" s="17" t="n">
        <v>0</v>
      </c>
      <c r="M141" s="16">
        <f>L141/K141</f>
        <v/>
      </c>
      <c r="N141" s="16">
        <f>L141/J141</f>
        <v/>
      </c>
      <c r="O141" s="18" t="n">
        <v>0</v>
      </c>
      <c r="P141" s="18" t="n">
        <v>0</v>
      </c>
      <c r="Q141" s="16">
        <f>P141/O141</f>
        <v/>
      </c>
      <c r="R141" s="1" t="n">
        <v>644</v>
      </c>
      <c r="S141" s="1" t="n">
        <v>4</v>
      </c>
      <c r="T141" s="1" t="n">
        <v>1</v>
      </c>
      <c r="U141" s="1" t="n">
        <v>0</v>
      </c>
      <c r="V141" s="1" t="n">
        <v>2</v>
      </c>
      <c r="W141" s="1" t="n">
        <v>3</v>
      </c>
      <c r="X141" s="1" t="n">
        <v>0</v>
      </c>
      <c r="Y141" s="1" t="n">
        <v>0</v>
      </c>
      <c r="Z141" s="1" t="n">
        <v>3</v>
      </c>
      <c r="AA141" s="1" t="n">
        <v>0</v>
      </c>
      <c r="AB141" s="1" t="n">
        <v>0</v>
      </c>
      <c r="AC141" s="1" t="n">
        <v>1</v>
      </c>
      <c r="AD141" s="1" t="n">
        <v>0</v>
      </c>
      <c r="AE141" s="1" t="n">
        <v>2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</row>
    <row r="142">
      <c r="A142" s="1" t="inlineStr">
        <is>
          <t>inclusion body myositis</t>
        </is>
      </c>
      <c r="B142" s="1" t="inlineStr">
        <is>
          <t>EFO_0007323</t>
        </is>
      </c>
      <c r="C142" s="1" t="inlineStr">
        <is>
          <t>name</t>
        </is>
      </c>
      <c r="D142" s="1" t="n">
        <v>0.05</v>
      </c>
      <c r="E142" s="15" t="n">
        <v>1</v>
      </c>
      <c r="F142" s="15" t="n">
        <v>357</v>
      </c>
      <c r="G142" s="15" t="n">
        <v>1</v>
      </c>
      <c r="H142" s="16">
        <f>G142/F142</f>
        <v/>
      </c>
      <c r="I142" s="16">
        <f>G142/E142</f>
        <v/>
      </c>
      <c r="J142" s="17" t="n">
        <v>1</v>
      </c>
      <c r="K142" s="17" t="n">
        <v>7</v>
      </c>
      <c r="L142" s="17" t="n">
        <v>0</v>
      </c>
      <c r="M142" s="16">
        <f>L142/K142</f>
        <v/>
      </c>
      <c r="N142" s="16">
        <f>L142/J142</f>
        <v/>
      </c>
      <c r="O142" s="18" t="n">
        <v>0</v>
      </c>
      <c r="P142" s="18" t="n">
        <v>0</v>
      </c>
      <c r="Q142" s="16">
        <f>P142/O142</f>
        <v/>
      </c>
      <c r="R142" s="1" t="n">
        <v>69</v>
      </c>
      <c r="S142" s="1" t="n">
        <v>1</v>
      </c>
      <c r="T142" s="1" t="n">
        <v>0</v>
      </c>
      <c r="U142" s="1" t="n">
        <v>0</v>
      </c>
      <c r="V142" s="1" t="n">
        <v>1</v>
      </c>
      <c r="W142" s="1" t="n">
        <v>1</v>
      </c>
      <c r="X142" s="1" t="n">
        <v>0</v>
      </c>
      <c r="Y142" s="1" t="n">
        <v>0</v>
      </c>
      <c r="Z142" s="1" t="n">
        <v>1</v>
      </c>
      <c r="AA142" s="1" t="n">
        <v>0</v>
      </c>
      <c r="AB142" s="1" t="n">
        <v>0</v>
      </c>
      <c r="AC142" s="1" t="n">
        <v>1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</row>
    <row r="143">
      <c r="A143" s="1" t="inlineStr">
        <is>
          <t>influenza</t>
        </is>
      </c>
      <c r="B143" s="1" t="inlineStr">
        <is>
          <t>EFO_0007328</t>
        </is>
      </c>
      <c r="C143" s="1" t="inlineStr">
        <is>
          <t>name</t>
        </is>
      </c>
      <c r="D143" s="1" t="n">
        <v>0.05</v>
      </c>
      <c r="E143" s="15" t="n">
        <v>6</v>
      </c>
      <c r="F143" s="15" t="n">
        <v>179</v>
      </c>
      <c r="G143" s="15" t="n">
        <v>2</v>
      </c>
      <c r="H143" s="16">
        <f>G143/F143</f>
        <v/>
      </c>
      <c r="I143" s="16">
        <f>G143/E143</f>
        <v/>
      </c>
      <c r="J143" s="17" t="n">
        <v>19</v>
      </c>
      <c r="K143" s="17" t="n">
        <v>34</v>
      </c>
      <c r="L143" s="17" t="n">
        <v>1</v>
      </c>
      <c r="M143" s="16">
        <f>L143/K143</f>
        <v/>
      </c>
      <c r="N143" s="16">
        <f>L143/J143</f>
        <v/>
      </c>
      <c r="O143" s="18" t="n">
        <v>2</v>
      </c>
      <c r="P143" s="18" t="n">
        <v>0</v>
      </c>
      <c r="Q143" s="16">
        <f>P143/O143</f>
        <v/>
      </c>
      <c r="R143" s="1" t="n">
        <v>813</v>
      </c>
      <c r="S143" s="1" t="n">
        <v>3</v>
      </c>
      <c r="T143" s="1" t="n">
        <v>0</v>
      </c>
      <c r="U143" s="1" t="n">
        <v>1</v>
      </c>
      <c r="V143" s="1" t="n">
        <v>0</v>
      </c>
      <c r="W143" s="1" t="n">
        <v>2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1</v>
      </c>
      <c r="AC143" s="1" t="n">
        <v>2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1</v>
      </c>
      <c r="AK143" s="1" t="n">
        <v>0</v>
      </c>
      <c r="AL143" s="1" t="n">
        <v>0</v>
      </c>
      <c r="AM143" s="1" t="n">
        <v>0</v>
      </c>
    </row>
    <row r="144">
      <c r="A144" s="1" t="inlineStr">
        <is>
          <t>intellectual disability</t>
        </is>
      </c>
      <c r="B144" s="1" t="inlineStr">
        <is>
          <t>HP_0001249</t>
        </is>
      </c>
      <c r="C144" s="1" t="inlineStr">
        <is>
          <t>name</t>
        </is>
      </c>
      <c r="D144" s="1" t="n">
        <v>0.05</v>
      </c>
      <c r="E144" s="15" t="n">
        <v>1</v>
      </c>
      <c r="F144" s="15" t="n">
        <v>24</v>
      </c>
      <c r="G144" s="15" t="n">
        <v>0</v>
      </c>
      <c r="H144" s="16">
        <f>G144/F144</f>
        <v/>
      </c>
      <c r="I144" s="16">
        <f>G144/E144</f>
        <v/>
      </c>
      <c r="J144" s="17" t="n">
        <v>4</v>
      </c>
      <c r="K144" s="17" t="n">
        <v>19</v>
      </c>
      <c r="L144" s="17" t="n">
        <v>0</v>
      </c>
      <c r="M144" s="16">
        <f>L144/K144</f>
        <v/>
      </c>
      <c r="N144" s="16">
        <f>L144/J144</f>
        <v/>
      </c>
      <c r="O144" s="18" t="n">
        <v>0</v>
      </c>
      <c r="P144" s="18" t="n">
        <v>0</v>
      </c>
      <c r="Q144" s="16">
        <f>P144/O144</f>
        <v/>
      </c>
      <c r="R144" s="1" t="n">
        <v>91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2</v>
      </c>
      <c r="AM144" s="1" t="n">
        <v>1</v>
      </c>
    </row>
    <row r="145">
      <c r="A145" s="1" t="inlineStr">
        <is>
          <t>interstitial cystitis</t>
        </is>
      </c>
      <c r="B145" s="1" t="inlineStr">
        <is>
          <t>EFO_0008507</t>
        </is>
      </c>
      <c r="C145" s="1" t="inlineStr">
        <is>
          <t>name</t>
        </is>
      </c>
      <c r="D145" s="1" t="n">
        <v>0.05</v>
      </c>
      <c r="E145" s="15" t="n">
        <v>1</v>
      </c>
      <c r="F145" s="15" t="n">
        <v>60</v>
      </c>
      <c r="G145" s="15" t="n">
        <v>0</v>
      </c>
      <c r="H145" s="16">
        <f>G145/F145</f>
        <v/>
      </c>
      <c r="I145" s="16">
        <f>G145/E145</f>
        <v/>
      </c>
      <c r="J145" s="17" t="n">
        <v>5</v>
      </c>
      <c r="K145" s="17" t="n">
        <v>0</v>
      </c>
      <c r="L145" s="17" t="n">
        <v>0</v>
      </c>
      <c r="M145" s="16">
        <f>L145/K145</f>
        <v/>
      </c>
      <c r="N145" s="16">
        <f>L145/J145</f>
        <v/>
      </c>
      <c r="O145" s="18" t="n">
        <v>0</v>
      </c>
      <c r="P145" s="18" t="n">
        <v>0</v>
      </c>
      <c r="Q145" s="16">
        <f>P145/O145</f>
        <v/>
      </c>
      <c r="R145" s="1" t="n">
        <v>281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3</v>
      </c>
      <c r="AJ145" s="1" t="n">
        <v>7</v>
      </c>
      <c r="AK145" s="1" t="n">
        <v>1</v>
      </c>
      <c r="AL145" s="1" t="n">
        <v>0</v>
      </c>
      <c r="AM145" s="1" t="n">
        <v>1</v>
      </c>
    </row>
    <row r="146">
      <c r="A146" s="1" t="inlineStr">
        <is>
          <t>Ischemic stroke</t>
        </is>
      </c>
      <c r="B146" s="1" t="inlineStr">
        <is>
          <t>HP_0002140</t>
        </is>
      </c>
      <c r="C146" s="1" t="inlineStr">
        <is>
          <t>name</t>
        </is>
      </c>
      <c r="D146" s="1" t="n">
        <v>0.05</v>
      </c>
      <c r="E146" s="15" t="n">
        <v>7</v>
      </c>
      <c r="F146" s="15" t="n">
        <v>219</v>
      </c>
      <c r="G146" s="15" t="n">
        <v>4</v>
      </c>
      <c r="H146" s="16">
        <f>G146/F146</f>
        <v/>
      </c>
      <c r="I146" s="16">
        <f>G146/E146</f>
        <v/>
      </c>
      <c r="J146" s="17" t="n">
        <v>13</v>
      </c>
      <c r="K146" s="17" t="n">
        <v>28</v>
      </c>
      <c r="L146" s="17" t="n">
        <v>1</v>
      </c>
      <c r="M146" s="16">
        <f>L146/K146</f>
        <v/>
      </c>
      <c r="N146" s="16">
        <f>L146/J146</f>
        <v/>
      </c>
      <c r="O146" s="18" t="n">
        <v>1</v>
      </c>
      <c r="P146" s="18" t="n">
        <v>0</v>
      </c>
      <c r="Q146" s="16">
        <f>P146/O146</f>
        <v/>
      </c>
      <c r="R146" s="1" t="n">
        <v>651</v>
      </c>
      <c r="S146" s="1" t="n">
        <v>5</v>
      </c>
      <c r="T146" s="1" t="n">
        <v>0</v>
      </c>
      <c r="U146" s="1" t="n">
        <v>6</v>
      </c>
      <c r="V146" s="1" t="n">
        <v>2</v>
      </c>
      <c r="W146" s="1" t="n">
        <v>1</v>
      </c>
      <c r="X146" s="1" t="n">
        <v>0</v>
      </c>
      <c r="Y146" s="1" t="n">
        <v>0</v>
      </c>
      <c r="Z146" s="1" t="n">
        <v>1</v>
      </c>
      <c r="AA146" s="1" t="n">
        <v>0</v>
      </c>
      <c r="AB146" s="1" t="n">
        <v>0</v>
      </c>
      <c r="AC146" s="1" t="n">
        <v>4</v>
      </c>
      <c r="AD146" s="1" t="n">
        <v>0</v>
      </c>
      <c r="AE146" s="1" t="n">
        <v>2</v>
      </c>
      <c r="AF146" s="1" t="n">
        <v>0</v>
      </c>
      <c r="AG146" s="1" t="n">
        <v>0</v>
      </c>
      <c r="AH146" s="1" t="n">
        <v>2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</row>
    <row r="147">
      <c r="A147" s="1" t="inlineStr">
        <is>
          <t>large cell neuroendocrine carcinoma</t>
        </is>
      </c>
      <c r="B147" s="1" t="inlineStr">
        <is>
          <t>EFO_0000563</t>
        </is>
      </c>
      <c r="C147" s="1" t="inlineStr">
        <is>
          <t>name</t>
        </is>
      </c>
      <c r="D147" s="1" t="n">
        <v>0.05</v>
      </c>
      <c r="E147" s="15" t="n">
        <v>1</v>
      </c>
      <c r="F147" s="15" t="n">
        <v>222</v>
      </c>
      <c r="G147" s="15" t="n">
        <v>0</v>
      </c>
      <c r="H147" s="16">
        <f>G147/F147</f>
        <v/>
      </c>
      <c r="I147" s="16">
        <f>G147/E147</f>
        <v/>
      </c>
      <c r="J147" s="17" t="n">
        <v>0</v>
      </c>
      <c r="K147" s="17" t="n">
        <v>0</v>
      </c>
      <c r="L147" s="17" t="n">
        <v>0</v>
      </c>
      <c r="M147" s="16">
        <f>L147/K147</f>
        <v/>
      </c>
      <c r="N147" s="16">
        <f>L147/J147</f>
        <v/>
      </c>
      <c r="O147" s="18" t="n">
        <v>0</v>
      </c>
      <c r="P147" s="18" t="n">
        <v>0</v>
      </c>
      <c r="Q147" s="16">
        <f>P147/O147</f>
        <v/>
      </c>
      <c r="R147" s="1" t="n">
        <v>31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5</v>
      </c>
      <c r="AK147" s="1" t="n">
        <v>0</v>
      </c>
      <c r="AL147" s="1" t="n">
        <v>1</v>
      </c>
      <c r="AM147" s="1" t="n">
        <v>0</v>
      </c>
    </row>
    <row r="148">
      <c r="A148" s="1" t="inlineStr">
        <is>
          <t>leukemia</t>
        </is>
      </c>
      <c r="B148" s="1" t="inlineStr">
        <is>
          <t>EFO_0000565</t>
        </is>
      </c>
      <c r="C148" s="1" t="inlineStr">
        <is>
          <t>name</t>
        </is>
      </c>
      <c r="D148" s="1" t="n">
        <v>0.05</v>
      </c>
      <c r="E148" s="15" t="n">
        <v>42</v>
      </c>
      <c r="F148" s="15" t="n">
        <v>0</v>
      </c>
      <c r="G148" s="15" t="n">
        <v>0</v>
      </c>
      <c r="H148" s="16">
        <f>G148/F148</f>
        <v/>
      </c>
      <c r="I148" s="16">
        <f>G148/E148</f>
        <v/>
      </c>
      <c r="J148" s="17" t="n">
        <v>39</v>
      </c>
      <c r="K148" s="17" t="n">
        <v>0</v>
      </c>
      <c r="L148" s="17" t="n">
        <v>0</v>
      </c>
      <c r="M148" s="16">
        <f>L148/K148</f>
        <v/>
      </c>
      <c r="N148" s="16">
        <f>L148/J148</f>
        <v/>
      </c>
      <c r="O148" s="18" t="n">
        <v>0</v>
      </c>
      <c r="P148" s="18" t="n">
        <v>0</v>
      </c>
      <c r="Q148" s="16">
        <f>P148/O148</f>
        <v/>
      </c>
      <c r="R148" s="1" t="n">
        <v>2283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3</v>
      </c>
      <c r="AK148" s="1" t="n">
        <v>0</v>
      </c>
      <c r="AL148" s="1" t="n">
        <v>0</v>
      </c>
      <c r="AM148" s="1" t="n">
        <v>1</v>
      </c>
    </row>
    <row r="149">
      <c r="A149" s="1" t="inlineStr">
        <is>
          <t>Lewy body dementia</t>
        </is>
      </c>
      <c r="B149" s="1" t="inlineStr">
        <is>
          <t>EFO_0006792</t>
        </is>
      </c>
      <c r="C149" s="1" t="inlineStr">
        <is>
          <t>name</t>
        </is>
      </c>
      <c r="D149" s="1" t="n">
        <v>0.05</v>
      </c>
      <c r="E149" s="15" t="n">
        <v>0</v>
      </c>
      <c r="F149" s="15" t="n">
        <v>204</v>
      </c>
      <c r="G149" s="15" t="n">
        <v>0</v>
      </c>
      <c r="H149" s="16">
        <f>G149/F149</f>
        <v/>
      </c>
      <c r="I149" s="16">
        <f>G149/E149</f>
        <v/>
      </c>
      <c r="J149" s="17" t="n">
        <v>2</v>
      </c>
      <c r="K149" s="17" t="n">
        <v>23</v>
      </c>
      <c r="L149" s="17" t="n">
        <v>0</v>
      </c>
      <c r="M149" s="16">
        <f>L149/K149</f>
        <v/>
      </c>
      <c r="N149" s="16">
        <f>L149/J149</f>
        <v/>
      </c>
      <c r="O149" s="18" t="n">
        <v>0</v>
      </c>
      <c r="P149" s="18" t="n">
        <v>0</v>
      </c>
      <c r="Q149" s="16">
        <f>P149/O149</f>
        <v/>
      </c>
      <c r="R149" s="1" t="n">
        <v>50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1</v>
      </c>
    </row>
    <row r="150">
      <c r="A150" s="1" t="inlineStr">
        <is>
          <t>lung adenocarcinoma</t>
        </is>
      </c>
      <c r="B150" s="1" t="inlineStr">
        <is>
          <t>EFO_0000571</t>
        </is>
      </c>
      <c r="C150" s="1" t="inlineStr">
        <is>
          <t>name</t>
        </is>
      </c>
      <c r="D150" s="1" t="n">
        <v>0.05</v>
      </c>
      <c r="E150" s="15" t="n">
        <v>13</v>
      </c>
      <c r="F150" s="15" t="n">
        <v>146</v>
      </c>
      <c r="G150" s="15" t="n">
        <v>10</v>
      </c>
      <c r="H150" s="16">
        <f>G150/F150</f>
        <v/>
      </c>
      <c r="I150" s="16">
        <f>G150/E150</f>
        <v/>
      </c>
      <c r="J150" s="17" t="n">
        <v>6</v>
      </c>
      <c r="K150" s="17" t="n">
        <v>231</v>
      </c>
      <c r="L150" s="17" t="n">
        <v>2</v>
      </c>
      <c r="M150" s="16">
        <f>L150/K150</f>
        <v/>
      </c>
      <c r="N150" s="16">
        <f>L150/J150</f>
        <v/>
      </c>
      <c r="O150" s="18" t="n">
        <v>3</v>
      </c>
      <c r="P150" s="18" t="n">
        <v>0</v>
      </c>
      <c r="Q150" s="16">
        <f>P150/O150</f>
        <v/>
      </c>
      <c r="R150" s="1" t="n">
        <v>466</v>
      </c>
      <c r="S150" s="1" t="n">
        <v>12</v>
      </c>
      <c r="T150" s="1" t="n">
        <v>1</v>
      </c>
      <c r="U150" s="1" t="n">
        <v>8</v>
      </c>
      <c r="V150" s="1" t="n">
        <v>13</v>
      </c>
      <c r="W150" s="1" t="n">
        <v>6</v>
      </c>
      <c r="X150" s="1" t="n">
        <v>0</v>
      </c>
      <c r="Y150" s="1" t="n">
        <v>1</v>
      </c>
      <c r="Z150" s="1" t="n">
        <v>13</v>
      </c>
      <c r="AA150" s="1" t="n">
        <v>0</v>
      </c>
      <c r="AB150" s="1" t="n">
        <v>0</v>
      </c>
      <c r="AC150" s="1" t="n">
        <v>2</v>
      </c>
      <c r="AD150" s="1" t="n">
        <v>0</v>
      </c>
      <c r="AE150" s="1" t="n">
        <v>9</v>
      </c>
      <c r="AF150" s="1" t="n">
        <v>0</v>
      </c>
      <c r="AG150" s="1" t="n">
        <v>2</v>
      </c>
      <c r="AH150" s="1" t="n">
        <v>1</v>
      </c>
      <c r="AI150" s="1" t="n">
        <v>2</v>
      </c>
      <c r="AJ150" s="1" t="n">
        <v>3</v>
      </c>
      <c r="AK150" s="1" t="n">
        <v>1</v>
      </c>
      <c r="AL150" s="1" t="n">
        <v>6</v>
      </c>
      <c r="AM150" s="1" t="n">
        <v>3</v>
      </c>
    </row>
    <row r="151">
      <c r="A151" s="1" t="inlineStr">
        <is>
          <t>lupus erythematosus</t>
        </is>
      </c>
      <c r="B151" s="1" t="inlineStr">
        <is>
          <t>MONDO_0004670</t>
        </is>
      </c>
      <c r="C151" s="1" t="inlineStr">
        <is>
          <t>name</t>
        </is>
      </c>
      <c r="D151" s="1" t="n">
        <v>0.05</v>
      </c>
      <c r="E151" s="15" t="n">
        <v>1</v>
      </c>
      <c r="F151" s="15" t="n">
        <v>210</v>
      </c>
      <c r="G151" s="15" t="n">
        <v>0</v>
      </c>
      <c r="H151" s="16">
        <f>G151/F151</f>
        <v/>
      </c>
      <c r="I151" s="16">
        <f>G151/E151</f>
        <v/>
      </c>
      <c r="J151" s="17" t="n">
        <v>0</v>
      </c>
      <c r="K151" s="17" t="n">
        <v>41</v>
      </c>
      <c r="L151" s="17" t="n">
        <v>0</v>
      </c>
      <c r="M151" s="16">
        <f>L151/K151</f>
        <v/>
      </c>
      <c r="N151" s="16">
        <f>L151/J151</f>
        <v/>
      </c>
      <c r="O151" s="18" t="n">
        <v>0</v>
      </c>
      <c r="P151" s="18" t="n">
        <v>0</v>
      </c>
      <c r="Q151" s="16">
        <f>P151/O151</f>
        <v/>
      </c>
      <c r="R151" s="1" t="n">
        <v>45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</row>
    <row r="152">
      <c r="A152" s="1" t="inlineStr">
        <is>
          <t>macular degeneration</t>
        </is>
      </c>
      <c r="B152" s="1" t="inlineStr">
        <is>
          <t>EFO_0009606</t>
        </is>
      </c>
      <c r="C152" s="1" t="inlineStr">
        <is>
          <t>name</t>
        </is>
      </c>
      <c r="D152" s="1" t="n">
        <v>0.05</v>
      </c>
      <c r="E152" s="15" t="n">
        <v>4</v>
      </c>
      <c r="F152" s="15" t="n">
        <v>106</v>
      </c>
      <c r="G152" s="15" t="n">
        <v>0</v>
      </c>
      <c r="H152" s="16">
        <f>G152/F152</f>
        <v/>
      </c>
      <c r="I152" s="16">
        <f>G152/E152</f>
        <v/>
      </c>
      <c r="J152" s="17" t="n">
        <v>4</v>
      </c>
      <c r="K152" s="17" t="n">
        <v>131</v>
      </c>
      <c r="L152" s="17" t="n">
        <v>1</v>
      </c>
      <c r="M152" s="16">
        <f>L152/K152</f>
        <v/>
      </c>
      <c r="N152" s="16">
        <f>L152/J152</f>
        <v/>
      </c>
      <c r="O152" s="18" t="n">
        <v>2</v>
      </c>
      <c r="P152" s="18" t="n">
        <v>0</v>
      </c>
      <c r="Q152" s="16">
        <f>P152/O152</f>
        <v/>
      </c>
      <c r="R152" s="1" t="n">
        <v>336</v>
      </c>
      <c r="S152" s="1" t="n">
        <v>1</v>
      </c>
      <c r="T152" s="1" t="n">
        <v>0</v>
      </c>
      <c r="U152" s="1" t="n">
        <v>0</v>
      </c>
      <c r="V152" s="1" t="n">
        <v>0</v>
      </c>
      <c r="W152" s="1" t="n">
        <v>1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1</v>
      </c>
      <c r="AH152" s="1" t="n">
        <v>0</v>
      </c>
      <c r="AI152" s="1" t="n">
        <v>0</v>
      </c>
      <c r="AJ152" s="1" t="n">
        <v>0</v>
      </c>
      <c r="AK152" s="1" t="n">
        <v>1</v>
      </c>
      <c r="AL152" s="1" t="n">
        <v>2</v>
      </c>
      <c r="AM152" s="1" t="n">
        <v>1</v>
      </c>
    </row>
    <row r="153">
      <c r="A153" s="1" t="inlineStr">
        <is>
          <t>malignant pleural mesothelioma</t>
        </is>
      </c>
      <c r="B153" s="1" t="inlineStr">
        <is>
          <t>EFO_0000770</t>
        </is>
      </c>
      <c r="C153" s="1" t="inlineStr">
        <is>
          <t>name</t>
        </is>
      </c>
      <c r="D153" s="1" t="n">
        <v>0.05</v>
      </c>
      <c r="E153" s="15" t="n">
        <v>4</v>
      </c>
      <c r="F153" s="15" t="n">
        <v>202</v>
      </c>
      <c r="G153" s="15" t="n">
        <v>3</v>
      </c>
      <c r="H153" s="16">
        <f>G153/F153</f>
        <v/>
      </c>
      <c r="I153" s="16">
        <f>G153/E153</f>
        <v/>
      </c>
      <c r="J153" s="17" t="n">
        <v>3</v>
      </c>
      <c r="K153" s="17" t="n">
        <v>12</v>
      </c>
      <c r="L153" s="17" t="n">
        <v>0</v>
      </c>
      <c r="M153" s="16">
        <f>L153/K153</f>
        <v/>
      </c>
      <c r="N153" s="16">
        <f>L153/J153</f>
        <v/>
      </c>
      <c r="O153" s="18" t="n">
        <v>0</v>
      </c>
      <c r="P153" s="18" t="n">
        <v>0</v>
      </c>
      <c r="Q153" s="16">
        <f>P153/O153</f>
        <v/>
      </c>
      <c r="R153" s="1" t="n">
        <v>246</v>
      </c>
      <c r="S153" s="1" t="n">
        <v>3</v>
      </c>
      <c r="T153" s="1" t="n">
        <v>0</v>
      </c>
      <c r="U153" s="1" t="n">
        <v>5</v>
      </c>
      <c r="V153" s="1" t="n">
        <v>10</v>
      </c>
      <c r="W153" s="1" t="n">
        <v>3</v>
      </c>
      <c r="X153" s="1" t="n">
        <v>1</v>
      </c>
      <c r="Y153" s="1" t="n">
        <v>5</v>
      </c>
      <c r="Z153" s="1" t="n">
        <v>6</v>
      </c>
      <c r="AA153" s="1" t="n">
        <v>0</v>
      </c>
      <c r="AB153" s="1" t="n">
        <v>1</v>
      </c>
      <c r="AC153" s="1" t="n">
        <v>3</v>
      </c>
      <c r="AD153" s="1" t="n">
        <v>0</v>
      </c>
      <c r="AE153" s="1" t="n">
        <v>0</v>
      </c>
      <c r="AF153" s="1" t="n">
        <v>1</v>
      </c>
      <c r="AG153" s="1" t="n">
        <v>2</v>
      </c>
      <c r="AH153" s="1" t="n">
        <v>1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</row>
    <row r="154">
      <c r="A154" s="1" t="inlineStr">
        <is>
          <t>Marfan syndrome</t>
        </is>
      </c>
      <c r="B154" s="1" t="inlineStr">
        <is>
          <t>MONDO_0007947</t>
        </is>
      </c>
      <c r="C154" s="1" t="inlineStr">
        <is>
          <t>name</t>
        </is>
      </c>
      <c r="D154" s="1" t="n">
        <v>0.05</v>
      </c>
      <c r="E154" s="15" t="n">
        <v>2</v>
      </c>
      <c r="F154" s="15" t="n">
        <v>66</v>
      </c>
      <c r="G154" s="15" t="n">
        <v>1</v>
      </c>
      <c r="H154" s="16">
        <f>G154/F154</f>
        <v/>
      </c>
      <c r="I154" s="16">
        <f>G154/E154</f>
        <v/>
      </c>
      <c r="J154" s="17" t="n">
        <v>3</v>
      </c>
      <c r="K154" s="17" t="n">
        <v>0</v>
      </c>
      <c r="L154" s="17" t="n">
        <v>0</v>
      </c>
      <c r="M154" s="16">
        <f>L154/K154</f>
        <v/>
      </c>
      <c r="N154" s="16">
        <f>L154/J154</f>
        <v/>
      </c>
      <c r="O154" s="18" t="n">
        <v>0</v>
      </c>
      <c r="P154" s="18" t="n">
        <v>0</v>
      </c>
      <c r="Q154" s="16">
        <f>P154/O154</f>
        <v/>
      </c>
      <c r="R154" s="1" t="n">
        <v>109</v>
      </c>
      <c r="S154" s="1" t="n">
        <v>1</v>
      </c>
      <c r="T154" s="1" t="n">
        <v>0</v>
      </c>
      <c r="U154" s="1" t="n">
        <v>0</v>
      </c>
      <c r="V154" s="1" t="n">
        <v>1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1</v>
      </c>
      <c r="AH154" s="1" t="n">
        <v>0</v>
      </c>
      <c r="AI154" s="1" t="n">
        <v>0</v>
      </c>
      <c r="AJ154" s="1" t="n">
        <v>5</v>
      </c>
      <c r="AK154" s="1" t="n">
        <v>0</v>
      </c>
      <c r="AL154" s="1" t="n">
        <v>3</v>
      </c>
      <c r="AM154" s="1" t="n">
        <v>3</v>
      </c>
    </row>
    <row r="155">
      <c r="A155" s="1" t="inlineStr">
        <is>
          <t>melanoma</t>
        </is>
      </c>
      <c r="B155" s="1" t="inlineStr">
        <is>
          <t>EFO_0000756</t>
        </is>
      </c>
      <c r="C155" s="1" t="inlineStr">
        <is>
          <t>name</t>
        </is>
      </c>
      <c r="D155" s="1" t="n">
        <v>0.05</v>
      </c>
      <c r="E155" s="15" t="n">
        <v>39</v>
      </c>
      <c r="F155" s="15" t="n">
        <v>31</v>
      </c>
      <c r="G155" s="15" t="n">
        <v>3</v>
      </c>
      <c r="H155" s="16">
        <f>G155/F155</f>
        <v/>
      </c>
      <c r="I155" s="16">
        <f>G155/E155</f>
        <v/>
      </c>
      <c r="J155" s="17" t="n">
        <v>39</v>
      </c>
      <c r="K155" s="17" t="n">
        <v>874</v>
      </c>
      <c r="L155" s="17" t="n">
        <v>24</v>
      </c>
      <c r="M155" s="16">
        <f>L155/K155</f>
        <v/>
      </c>
      <c r="N155" s="16">
        <f>L155/J155</f>
        <v/>
      </c>
      <c r="O155" s="18" t="n">
        <v>1</v>
      </c>
      <c r="P155" s="18" t="n">
        <v>0</v>
      </c>
      <c r="Q155" s="16">
        <f>P155/O155</f>
        <v/>
      </c>
      <c r="R155" s="1" t="n">
        <v>2142</v>
      </c>
      <c r="S155" s="1" t="n">
        <v>27</v>
      </c>
      <c r="T155" s="1" t="n">
        <v>2</v>
      </c>
      <c r="U155" s="1" t="n">
        <v>25</v>
      </c>
      <c r="V155" s="1" t="n">
        <v>32</v>
      </c>
      <c r="W155" s="1" t="n">
        <v>5</v>
      </c>
      <c r="X155" s="1" t="n">
        <v>1</v>
      </c>
      <c r="Y155" s="1" t="n">
        <v>7</v>
      </c>
      <c r="Z155" s="1" t="n">
        <v>19</v>
      </c>
      <c r="AA155" s="1" t="n">
        <v>0</v>
      </c>
      <c r="AB155" s="1" t="n">
        <v>0</v>
      </c>
      <c r="AC155" s="1" t="n">
        <v>12</v>
      </c>
      <c r="AD155" s="1" t="n">
        <v>0</v>
      </c>
      <c r="AE155" s="1" t="n">
        <v>15</v>
      </c>
      <c r="AF155" s="1" t="n">
        <v>1</v>
      </c>
      <c r="AG155" s="1" t="n">
        <v>4</v>
      </c>
      <c r="AH155" s="1" t="n">
        <v>7</v>
      </c>
      <c r="AI155" s="1" t="n">
        <v>0</v>
      </c>
      <c r="AJ155" s="1" t="n">
        <v>3</v>
      </c>
      <c r="AK155" s="1" t="n">
        <v>7</v>
      </c>
      <c r="AL155" s="1" t="n">
        <v>5</v>
      </c>
      <c r="AM155" s="1" t="n">
        <v>3</v>
      </c>
    </row>
    <row r="156">
      <c r="A156" s="1" t="inlineStr">
        <is>
          <t>MELAS syndrome</t>
        </is>
      </c>
      <c r="B156" s="1" t="inlineStr">
        <is>
          <t>MONDO_0010789</t>
        </is>
      </c>
      <c r="C156" s="1" t="inlineStr">
        <is>
          <t>name</t>
        </is>
      </c>
      <c r="D156" s="1" t="n">
        <v>0.05</v>
      </c>
      <c r="E156" s="15" t="n">
        <v>0</v>
      </c>
      <c r="F156" s="15" t="n">
        <v>172</v>
      </c>
      <c r="G156" s="15" t="n">
        <v>0</v>
      </c>
      <c r="H156" s="16">
        <f>G156/F156</f>
        <v/>
      </c>
      <c r="I156" s="16">
        <f>G156/E156</f>
        <v/>
      </c>
      <c r="J156" s="17" t="n">
        <v>0</v>
      </c>
      <c r="K156" s="17" t="n">
        <v>89</v>
      </c>
      <c r="L156" s="17" t="n">
        <v>0</v>
      </c>
      <c r="M156" s="16">
        <f>L156/K156</f>
        <v/>
      </c>
      <c r="N156" s="16">
        <f>L156/J156</f>
        <v/>
      </c>
      <c r="O156" s="18" t="n">
        <v>2</v>
      </c>
      <c r="P156" s="18" t="n">
        <v>0</v>
      </c>
      <c r="Q156" s="16">
        <f>P156/O156</f>
        <v/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</row>
    <row r="157">
      <c r="A157" s="1" t="inlineStr">
        <is>
          <t>Meningococcal infection</t>
        </is>
      </c>
      <c r="B157" s="1" t="inlineStr">
        <is>
          <t>EFO_0004249</t>
        </is>
      </c>
      <c r="C157" s="1" t="inlineStr">
        <is>
          <t>name</t>
        </is>
      </c>
      <c r="D157" s="1" t="n">
        <v>0.05</v>
      </c>
      <c r="E157" s="15" t="n">
        <v>0</v>
      </c>
      <c r="F157" s="15" t="n">
        <v>75</v>
      </c>
      <c r="G157" s="15" t="n">
        <v>0</v>
      </c>
      <c r="H157" s="16">
        <f>G157/F157</f>
        <v/>
      </c>
      <c r="I157" s="16">
        <f>G157/E157</f>
        <v/>
      </c>
      <c r="J157" s="17" t="n">
        <v>0</v>
      </c>
      <c r="K157" s="17" t="n">
        <v>920</v>
      </c>
      <c r="L157" s="17" t="n">
        <v>0</v>
      </c>
      <c r="M157" s="16">
        <f>L157/K157</f>
        <v/>
      </c>
      <c r="N157" s="16">
        <f>L157/J157</f>
        <v/>
      </c>
      <c r="O157" s="18" t="n">
        <v>5</v>
      </c>
      <c r="P157" s="18" t="n">
        <v>0</v>
      </c>
      <c r="Q157" s="16">
        <f>P157/O157</f>
        <v/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</row>
    <row r="158">
      <c r="A158" s="1" t="inlineStr">
        <is>
          <t>morbid obesity</t>
        </is>
      </c>
      <c r="B158" s="1" t="inlineStr">
        <is>
          <t>EFO_0001074</t>
        </is>
      </c>
      <c r="C158" s="1" t="inlineStr">
        <is>
          <t>name</t>
        </is>
      </c>
      <c r="D158" s="1" t="n">
        <v>0.05</v>
      </c>
      <c r="E158" s="15" t="n">
        <v>1</v>
      </c>
      <c r="F158" s="15" t="n">
        <v>19</v>
      </c>
      <c r="G158" s="15" t="n">
        <v>0</v>
      </c>
      <c r="H158" s="16">
        <f>G158/F158</f>
        <v/>
      </c>
      <c r="I158" s="16">
        <f>G158/E158</f>
        <v/>
      </c>
      <c r="J158" s="17" t="n">
        <v>4</v>
      </c>
      <c r="K158" s="17" t="n">
        <v>3</v>
      </c>
      <c r="L158" s="17" t="n">
        <v>0</v>
      </c>
      <c r="M158" s="16">
        <f>L158/K158</f>
        <v/>
      </c>
      <c r="N158" s="16">
        <f>L158/J158</f>
        <v/>
      </c>
      <c r="O158" s="18" t="n">
        <v>0</v>
      </c>
      <c r="P158" s="18" t="n">
        <v>0</v>
      </c>
      <c r="Q158" s="16">
        <f>P158/O158</f>
        <v/>
      </c>
      <c r="R158" s="1" t="n">
        <v>262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1</v>
      </c>
      <c r="AL158" s="1" t="n">
        <v>0</v>
      </c>
      <c r="AM158" s="1" t="n">
        <v>0</v>
      </c>
    </row>
    <row r="159">
      <c r="A159" s="1" t="inlineStr">
        <is>
          <t>muscular dystrophy</t>
        </is>
      </c>
      <c r="B159" s="1" t="inlineStr">
        <is>
          <t>MONDO_0020121</t>
        </is>
      </c>
      <c r="C159" s="1" t="inlineStr">
        <is>
          <t>name</t>
        </is>
      </c>
      <c r="D159" s="1" t="n">
        <v>0.05</v>
      </c>
      <c r="E159" s="15" t="n">
        <v>1</v>
      </c>
      <c r="F159" s="15" t="n">
        <v>61</v>
      </c>
      <c r="G159" s="15" t="n">
        <v>0</v>
      </c>
      <c r="H159" s="16">
        <f>G159/F159</f>
        <v/>
      </c>
      <c r="I159" s="16">
        <f>G159/E159</f>
        <v/>
      </c>
      <c r="J159" s="17" t="n">
        <v>1</v>
      </c>
      <c r="K159" s="17" t="n">
        <v>1</v>
      </c>
      <c r="L159" s="17" t="n">
        <v>0</v>
      </c>
      <c r="M159" s="16">
        <f>L159/K159</f>
        <v/>
      </c>
      <c r="N159" s="16">
        <f>L159/J159</f>
        <v/>
      </c>
      <c r="O159" s="18" t="n">
        <v>0</v>
      </c>
      <c r="P159" s="18" t="n">
        <v>0</v>
      </c>
      <c r="Q159" s="16">
        <f>P159/O159</f>
        <v/>
      </c>
      <c r="R159" s="1" t="n">
        <v>45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2</v>
      </c>
      <c r="AK159" s="1" t="n">
        <v>0</v>
      </c>
      <c r="AL159" s="1" t="n">
        <v>0</v>
      </c>
      <c r="AM159" s="1" t="n">
        <v>0</v>
      </c>
    </row>
    <row r="160">
      <c r="A160" s="1" t="inlineStr">
        <is>
          <t>myelodysplastic syndrome</t>
        </is>
      </c>
      <c r="B160" s="1" t="inlineStr">
        <is>
          <t>EFO_0000198</t>
        </is>
      </c>
      <c r="C160" s="1" t="inlineStr">
        <is>
          <t>name</t>
        </is>
      </c>
      <c r="D160" s="1" t="n">
        <v>0.05</v>
      </c>
      <c r="E160" s="15" t="n">
        <v>40</v>
      </c>
      <c r="F160" s="15" t="n">
        <v>221</v>
      </c>
      <c r="G160" s="15" t="n">
        <v>27</v>
      </c>
      <c r="H160" s="16">
        <f>G160/F160</f>
        <v/>
      </c>
      <c r="I160" s="16">
        <f>G160/E160</f>
        <v/>
      </c>
      <c r="J160" s="17" t="n">
        <v>30</v>
      </c>
      <c r="K160" s="17" t="n">
        <v>672</v>
      </c>
      <c r="L160" s="17" t="n">
        <v>15</v>
      </c>
      <c r="M160" s="16">
        <f>L160/K160</f>
        <v/>
      </c>
      <c r="N160" s="16">
        <f>L160/J160</f>
        <v/>
      </c>
      <c r="O160" s="18" t="n">
        <v>18</v>
      </c>
      <c r="P160" s="18" t="n">
        <v>0</v>
      </c>
      <c r="Q160" s="16">
        <f>P160/O160</f>
        <v/>
      </c>
      <c r="R160" s="1" t="n">
        <v>1767</v>
      </c>
      <c r="S160" s="1" t="n">
        <v>42</v>
      </c>
      <c r="T160" s="1" t="n">
        <v>0</v>
      </c>
      <c r="U160" s="1" t="n">
        <v>47</v>
      </c>
      <c r="V160" s="1" t="n">
        <v>48</v>
      </c>
      <c r="W160" s="1" t="n">
        <v>14</v>
      </c>
      <c r="X160" s="1" t="n">
        <v>0</v>
      </c>
      <c r="Y160" s="1" t="n">
        <v>5</v>
      </c>
      <c r="Z160" s="1" t="n">
        <v>48</v>
      </c>
      <c r="AA160" s="1" t="n">
        <v>0</v>
      </c>
      <c r="AB160" s="1" t="n">
        <v>2</v>
      </c>
      <c r="AC160" s="1" t="n">
        <v>13</v>
      </c>
      <c r="AD160" s="1" t="n">
        <v>0</v>
      </c>
      <c r="AE160" s="1" t="n">
        <v>20</v>
      </c>
      <c r="AF160" s="1" t="n">
        <v>0</v>
      </c>
      <c r="AG160" s="1" t="n">
        <v>14</v>
      </c>
      <c r="AH160" s="1" t="n">
        <v>7</v>
      </c>
      <c r="AI160" s="1" t="n">
        <v>0</v>
      </c>
      <c r="AJ160" s="1" t="n">
        <v>0</v>
      </c>
      <c r="AK160" s="1" t="n">
        <v>0</v>
      </c>
      <c r="AL160" s="1" t="n">
        <v>1</v>
      </c>
      <c r="AM160" s="1" t="n">
        <v>0</v>
      </c>
    </row>
    <row r="161">
      <c r="A161" s="1" t="inlineStr">
        <is>
          <t>myocardial infarction</t>
        </is>
      </c>
      <c r="B161" s="1" t="inlineStr">
        <is>
          <t>EFO_0000612</t>
        </is>
      </c>
      <c r="C161" s="1" t="inlineStr">
        <is>
          <t>name</t>
        </is>
      </c>
      <c r="D161" s="1" t="n">
        <v>0.05</v>
      </c>
      <c r="E161" s="15" t="n">
        <v>13</v>
      </c>
      <c r="F161" s="15" t="n">
        <v>319</v>
      </c>
      <c r="G161" s="15" t="n">
        <v>11</v>
      </c>
      <c r="H161" s="16">
        <f>G161/F161</f>
        <v/>
      </c>
      <c r="I161" s="16">
        <f>G161/E161</f>
        <v/>
      </c>
      <c r="J161" s="17" t="n">
        <v>30</v>
      </c>
      <c r="K161" s="17" t="n">
        <v>122</v>
      </c>
      <c r="L161" s="17" t="n">
        <v>2</v>
      </c>
      <c r="M161" s="16">
        <f>L161/K161</f>
        <v/>
      </c>
      <c r="N161" s="16">
        <f>L161/J161</f>
        <v/>
      </c>
      <c r="O161" s="18" t="n">
        <v>5</v>
      </c>
      <c r="P161" s="18" t="n">
        <v>0</v>
      </c>
      <c r="Q161" s="16">
        <f>P161/O161</f>
        <v/>
      </c>
      <c r="R161" s="1" t="n">
        <v>1312</v>
      </c>
      <c r="S161" s="1" t="n">
        <v>13</v>
      </c>
      <c r="T161" s="1" t="n">
        <v>0</v>
      </c>
      <c r="U161" s="1" t="n">
        <v>0</v>
      </c>
      <c r="V161" s="1" t="n">
        <v>6</v>
      </c>
      <c r="W161" s="1" t="n">
        <v>6</v>
      </c>
      <c r="X161" s="1" t="n">
        <v>8</v>
      </c>
      <c r="Y161" s="1" t="n">
        <v>0</v>
      </c>
      <c r="Z161" s="1" t="n">
        <v>8</v>
      </c>
      <c r="AA161" s="1" t="n">
        <v>0</v>
      </c>
      <c r="AB161" s="1" t="n">
        <v>1</v>
      </c>
      <c r="AC161" s="1" t="n">
        <v>1</v>
      </c>
      <c r="AD161" s="1" t="n">
        <v>0</v>
      </c>
      <c r="AE161" s="1" t="n">
        <v>2</v>
      </c>
      <c r="AF161" s="1" t="n">
        <v>5</v>
      </c>
      <c r="AG161" s="1" t="n">
        <v>3</v>
      </c>
      <c r="AH161" s="1" t="n">
        <v>0</v>
      </c>
      <c r="AI161" s="1" t="n">
        <v>0</v>
      </c>
      <c r="AJ161" s="1" t="n">
        <v>3</v>
      </c>
      <c r="AK161" s="1" t="n">
        <v>0</v>
      </c>
      <c r="AL161" s="1" t="n">
        <v>0</v>
      </c>
      <c r="AM161" s="1" t="n">
        <v>2</v>
      </c>
    </row>
    <row r="162">
      <c r="A162" s="1" t="inlineStr">
        <is>
          <t>myotonic dystrophy type 1</t>
        </is>
      </c>
      <c r="B162" s="1" t="inlineStr">
        <is>
          <t>MONDO_0008056</t>
        </is>
      </c>
      <c r="C162" s="1" t="inlineStr">
        <is>
          <t>name</t>
        </is>
      </c>
      <c r="D162" s="1" t="n">
        <v>0.05</v>
      </c>
      <c r="E162" s="15" t="n">
        <v>0</v>
      </c>
      <c r="F162" s="15" t="n">
        <v>182</v>
      </c>
      <c r="G162" s="15" t="n">
        <v>0</v>
      </c>
      <c r="H162" s="16">
        <f>G162/F162</f>
        <v/>
      </c>
      <c r="I162" s="16">
        <f>G162/E162</f>
        <v/>
      </c>
      <c r="J162" s="17" t="n">
        <v>1</v>
      </c>
      <c r="K162" s="17" t="n">
        <v>490</v>
      </c>
      <c r="L162" s="17" t="n">
        <v>0</v>
      </c>
      <c r="M162" s="16">
        <f>L162/K162</f>
        <v/>
      </c>
      <c r="N162" s="16">
        <f>L162/J162</f>
        <v/>
      </c>
      <c r="O162" s="18" t="n">
        <v>8</v>
      </c>
      <c r="P162" s="18" t="n">
        <v>0</v>
      </c>
      <c r="Q162" s="16">
        <f>P162/O162</f>
        <v/>
      </c>
      <c r="R162" s="1" t="n">
        <v>4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15</v>
      </c>
      <c r="AK162" s="1" t="n">
        <v>0</v>
      </c>
      <c r="AL162" s="1" t="n">
        <v>17</v>
      </c>
      <c r="AM162" s="1" t="n">
        <v>6</v>
      </c>
    </row>
    <row r="163">
      <c r="A163" s="1" t="inlineStr">
        <is>
          <t>nephroblastoma</t>
        </is>
      </c>
      <c r="B163" s="1" t="inlineStr">
        <is>
          <t>Orphanet_654</t>
        </is>
      </c>
      <c r="C163" s="1" t="inlineStr">
        <is>
          <t>name</t>
        </is>
      </c>
      <c r="D163" s="1" t="n">
        <v>0.05</v>
      </c>
      <c r="E163" s="15" t="n">
        <v>0</v>
      </c>
      <c r="F163" s="15" t="n">
        <v>214</v>
      </c>
      <c r="G163" s="15" t="n">
        <v>0</v>
      </c>
      <c r="H163" s="16">
        <f>G163/F163</f>
        <v/>
      </c>
      <c r="I163" s="16">
        <f>G163/E163</f>
        <v/>
      </c>
      <c r="J163" s="17" t="n">
        <v>0</v>
      </c>
      <c r="K163" s="17" t="n">
        <v>96</v>
      </c>
      <c r="L163" s="17" t="n">
        <v>0</v>
      </c>
      <c r="M163" s="16">
        <f>L163/K163</f>
        <v/>
      </c>
      <c r="N163" s="16">
        <f>L163/J163</f>
        <v/>
      </c>
      <c r="O163" s="18" t="n">
        <v>1</v>
      </c>
      <c r="P163" s="18" t="n">
        <v>0</v>
      </c>
      <c r="Q163" s="16">
        <f>P163/O163</f>
        <v/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</row>
    <row r="164">
      <c r="A164" s="1" t="inlineStr">
        <is>
          <t>nephrosclerosis</t>
        </is>
      </c>
      <c r="B164" s="1" t="inlineStr">
        <is>
          <t>EFO_1000041</t>
        </is>
      </c>
      <c r="C164" s="1" t="inlineStr">
        <is>
          <t>name</t>
        </is>
      </c>
      <c r="D164" s="1" t="n">
        <v>0.05</v>
      </c>
      <c r="E164" s="15" t="n">
        <v>0</v>
      </c>
      <c r="F164" s="15" t="n">
        <v>231</v>
      </c>
      <c r="G164" s="15" t="n">
        <v>0</v>
      </c>
      <c r="H164" s="16">
        <f>G164/F164</f>
        <v/>
      </c>
      <c r="I164" s="16">
        <f>G164/E164</f>
        <v/>
      </c>
      <c r="J164" s="17" t="n">
        <v>0</v>
      </c>
      <c r="K164" s="17" t="n">
        <v>530</v>
      </c>
      <c r="L164" s="17" t="n">
        <v>0</v>
      </c>
      <c r="M164" s="16">
        <f>L164/K164</f>
        <v/>
      </c>
      <c r="N164" s="16">
        <f>L164/J164</f>
        <v/>
      </c>
      <c r="O164" s="18" t="n">
        <v>11</v>
      </c>
      <c r="P164" s="18" t="n">
        <v>0</v>
      </c>
      <c r="Q164" s="16">
        <f>P164/O164</f>
        <v/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1</v>
      </c>
      <c r="AK164" s="1" t="n">
        <v>0</v>
      </c>
      <c r="AL164" s="1" t="n">
        <v>0</v>
      </c>
      <c r="AM164" s="1" t="n">
        <v>0</v>
      </c>
    </row>
    <row r="165">
      <c r="A165" s="1" t="inlineStr">
        <is>
          <t>nicotine dependence</t>
        </is>
      </c>
      <c r="B165" s="1" t="inlineStr">
        <is>
          <t>EFO_0003768</t>
        </is>
      </c>
      <c r="C165" s="1" t="inlineStr">
        <is>
          <t>name</t>
        </is>
      </c>
      <c r="D165" s="1" t="n">
        <v>0.05</v>
      </c>
      <c r="E165" s="15" t="n">
        <v>9</v>
      </c>
      <c r="F165" s="15" t="n">
        <v>24</v>
      </c>
      <c r="G165" s="15" t="n">
        <v>0</v>
      </c>
      <c r="H165" s="16">
        <f>G165/F165</f>
        <v/>
      </c>
      <c r="I165" s="16">
        <f>G165/E165</f>
        <v/>
      </c>
      <c r="J165" s="17" t="n">
        <v>27</v>
      </c>
      <c r="K165" s="17" t="n">
        <v>886</v>
      </c>
      <c r="L165" s="17" t="n">
        <v>20</v>
      </c>
      <c r="M165" s="16">
        <f>L165/K165</f>
        <v/>
      </c>
      <c r="N165" s="16">
        <f>L165/J165</f>
        <v/>
      </c>
      <c r="O165" s="18" t="n">
        <v>2</v>
      </c>
      <c r="P165" s="18" t="n">
        <v>0</v>
      </c>
      <c r="Q165" s="16">
        <f>P165/O165</f>
        <v/>
      </c>
      <c r="R165" s="1" t="n">
        <v>785</v>
      </c>
      <c r="S165" s="1" t="n">
        <v>20</v>
      </c>
      <c r="T165" s="1" t="n">
        <v>4</v>
      </c>
      <c r="U165" s="1" t="n">
        <v>8</v>
      </c>
      <c r="V165" s="1" t="n">
        <v>14</v>
      </c>
      <c r="W165" s="1" t="n">
        <v>5</v>
      </c>
      <c r="X165" s="1" t="n">
        <v>0</v>
      </c>
      <c r="Y165" s="1" t="n">
        <v>0</v>
      </c>
      <c r="Z165" s="1" t="n">
        <v>23</v>
      </c>
      <c r="AA165" s="1" t="n">
        <v>0</v>
      </c>
      <c r="AB165" s="1" t="n">
        <v>0</v>
      </c>
      <c r="AC165" s="1" t="n">
        <v>1</v>
      </c>
      <c r="AD165" s="1" t="n">
        <v>0</v>
      </c>
      <c r="AE165" s="1" t="n">
        <v>4</v>
      </c>
      <c r="AF165" s="1" t="n">
        <v>1</v>
      </c>
      <c r="AG165" s="1" t="n">
        <v>2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</row>
    <row r="166">
      <c r="A166" s="1" t="inlineStr">
        <is>
          <t>oligodendroglioma</t>
        </is>
      </c>
      <c r="B166" s="1" t="inlineStr">
        <is>
          <t>EFO_0000632</t>
        </is>
      </c>
      <c r="C166" s="1" t="inlineStr">
        <is>
          <t>name</t>
        </is>
      </c>
      <c r="D166" s="1" t="n">
        <v>0.05</v>
      </c>
      <c r="E166" s="15" t="n">
        <v>4</v>
      </c>
      <c r="F166" s="15" t="n">
        <v>191</v>
      </c>
      <c r="G166" s="15" t="n">
        <v>2</v>
      </c>
      <c r="H166" s="16">
        <f>G166/F166</f>
        <v/>
      </c>
      <c r="I166" s="16">
        <f>G166/E166</f>
        <v/>
      </c>
      <c r="J166" s="17" t="n">
        <v>2</v>
      </c>
      <c r="K166" s="17" t="n">
        <v>122</v>
      </c>
      <c r="L166" s="17" t="n">
        <v>0</v>
      </c>
      <c r="M166" s="16">
        <f>L166/K166</f>
        <v/>
      </c>
      <c r="N166" s="16">
        <f>L166/J166</f>
        <v/>
      </c>
      <c r="O166" s="18" t="n">
        <v>1</v>
      </c>
      <c r="P166" s="18" t="n">
        <v>0</v>
      </c>
      <c r="Q166" s="16">
        <f>P166/O166</f>
        <v/>
      </c>
      <c r="R166" s="1" t="n">
        <v>135</v>
      </c>
      <c r="S166" s="1" t="n">
        <v>2</v>
      </c>
      <c r="T166" s="1" t="n">
        <v>0</v>
      </c>
      <c r="U166" s="1" t="n">
        <v>0</v>
      </c>
      <c r="V166" s="1" t="n">
        <v>2</v>
      </c>
      <c r="W166" s="1" t="n">
        <v>0</v>
      </c>
      <c r="X166" s="1" t="n">
        <v>0</v>
      </c>
      <c r="Y166" s="1" t="n">
        <v>1</v>
      </c>
      <c r="Z166" s="1" t="n">
        <v>1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</row>
    <row r="167">
      <c r="A167" s="1" t="inlineStr">
        <is>
          <t>Osteolysis</t>
        </is>
      </c>
      <c r="B167" s="1" t="inlineStr">
        <is>
          <t>HP_0002797</t>
        </is>
      </c>
      <c r="C167" s="1" t="inlineStr">
        <is>
          <t>name</t>
        </is>
      </c>
      <c r="D167" s="1" t="n">
        <v>0.05</v>
      </c>
      <c r="E167" s="15" t="n">
        <v>0</v>
      </c>
      <c r="F167" s="15" t="n">
        <v>278</v>
      </c>
      <c r="G167" s="15" t="n">
        <v>0</v>
      </c>
      <c r="H167" s="16">
        <f>G167/F167</f>
        <v/>
      </c>
      <c r="I167" s="16">
        <f>G167/E167</f>
        <v/>
      </c>
      <c r="J167" s="17" t="n">
        <v>0</v>
      </c>
      <c r="K167" s="17" t="n">
        <v>302</v>
      </c>
      <c r="L167" s="17" t="n">
        <v>0</v>
      </c>
      <c r="M167" s="16">
        <f>L167/K167</f>
        <v/>
      </c>
      <c r="N167" s="16">
        <f>L167/J167</f>
        <v/>
      </c>
      <c r="O167" s="18" t="n">
        <v>14</v>
      </c>
      <c r="P167" s="18" t="n">
        <v>0</v>
      </c>
      <c r="Q167" s="16">
        <f>P167/O167</f>
        <v/>
      </c>
      <c r="R167" s="1" t="n">
        <v>11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</row>
    <row r="168">
      <c r="A168" s="1" t="inlineStr">
        <is>
          <t>osteoporosis</t>
        </is>
      </c>
      <c r="B168" s="1" t="inlineStr">
        <is>
          <t>EFO_0003882</t>
        </is>
      </c>
      <c r="C168" s="1" t="inlineStr">
        <is>
          <t>name</t>
        </is>
      </c>
      <c r="D168" s="1" t="n">
        <v>0.05</v>
      </c>
      <c r="E168" s="15" t="n">
        <v>2</v>
      </c>
      <c r="F168" s="15" t="n">
        <v>147</v>
      </c>
      <c r="G168" s="15" t="n">
        <v>1</v>
      </c>
      <c r="H168" s="16">
        <f>G168/F168</f>
        <v/>
      </c>
      <c r="I168" s="16">
        <f>G168/E168</f>
        <v/>
      </c>
      <c r="J168" s="17" t="n">
        <v>10</v>
      </c>
      <c r="K168" s="17" t="n">
        <v>297</v>
      </c>
      <c r="L168" s="17" t="n">
        <v>4</v>
      </c>
      <c r="M168" s="16">
        <f>L168/K168</f>
        <v/>
      </c>
      <c r="N168" s="16">
        <f>L168/J168</f>
        <v/>
      </c>
      <c r="O168" s="18" t="n">
        <v>5</v>
      </c>
      <c r="P168" s="18" t="n">
        <v>0</v>
      </c>
      <c r="Q168" s="16">
        <f>P168/O168</f>
        <v/>
      </c>
      <c r="R168" s="1" t="n">
        <v>668</v>
      </c>
      <c r="S168" s="1" t="n">
        <v>5</v>
      </c>
      <c r="T168" s="1" t="n">
        <v>1</v>
      </c>
      <c r="U168" s="1" t="n">
        <v>3</v>
      </c>
      <c r="V168" s="1" t="n">
        <v>1</v>
      </c>
      <c r="W168" s="1" t="n">
        <v>4</v>
      </c>
      <c r="X168" s="1" t="n">
        <v>1</v>
      </c>
      <c r="Y168" s="1" t="n">
        <v>0</v>
      </c>
      <c r="Z168" s="1" t="n">
        <v>6</v>
      </c>
      <c r="AA168" s="1" t="n">
        <v>0</v>
      </c>
      <c r="AB168" s="1" t="n">
        <v>1</v>
      </c>
      <c r="AC168" s="1" t="n">
        <v>0</v>
      </c>
      <c r="AD168" s="1" t="n">
        <v>0</v>
      </c>
      <c r="AE168" s="1" t="n">
        <v>2</v>
      </c>
      <c r="AF168" s="1" t="n">
        <v>1</v>
      </c>
      <c r="AG168" s="1" t="n">
        <v>0</v>
      </c>
      <c r="AH168" s="1" t="n">
        <v>0</v>
      </c>
      <c r="AI168" s="1" t="n">
        <v>0</v>
      </c>
      <c r="AJ168" s="1" t="n">
        <v>2</v>
      </c>
      <c r="AK168" s="1" t="n">
        <v>0</v>
      </c>
      <c r="AL168" s="1" t="n">
        <v>0</v>
      </c>
      <c r="AM168" s="1" t="n">
        <v>0</v>
      </c>
    </row>
    <row r="169">
      <c r="A169" s="1" t="inlineStr">
        <is>
          <t>ovarian cancer</t>
        </is>
      </c>
      <c r="B169" s="1" t="inlineStr">
        <is>
          <t>MONDO_0008170</t>
        </is>
      </c>
      <c r="C169" s="1" t="inlineStr">
        <is>
          <t>name</t>
        </is>
      </c>
      <c r="D169" s="1" t="n">
        <v>0.05</v>
      </c>
      <c r="E169" s="15" t="n">
        <v>46</v>
      </c>
      <c r="F169" s="15" t="n">
        <v>180</v>
      </c>
      <c r="G169" s="15" t="n">
        <v>21</v>
      </c>
      <c r="H169" s="16">
        <f>G169/F169</f>
        <v/>
      </c>
      <c r="I169" s="16">
        <f>G169/E169</f>
        <v/>
      </c>
      <c r="J169" s="17" t="n">
        <v>35</v>
      </c>
      <c r="K169" s="17" t="n">
        <v>510</v>
      </c>
      <c r="L169" s="17" t="n">
        <v>13</v>
      </c>
      <c r="M169" s="16">
        <f>L169/K169</f>
        <v/>
      </c>
      <c r="N169" s="16">
        <f>L169/J169</f>
        <v/>
      </c>
      <c r="O169" s="18" t="n">
        <v>12</v>
      </c>
      <c r="P169" s="18" t="n">
        <v>0</v>
      </c>
      <c r="Q169" s="16">
        <f>P169/O169</f>
        <v/>
      </c>
      <c r="R169" s="1" t="n">
        <v>1999</v>
      </c>
      <c r="S169" s="1" t="n">
        <v>34</v>
      </c>
      <c r="T169" s="1" t="n">
        <v>1</v>
      </c>
      <c r="U169" s="1" t="n">
        <v>36</v>
      </c>
      <c r="V169" s="1" t="n">
        <v>55</v>
      </c>
      <c r="W169" s="1" t="n">
        <v>24</v>
      </c>
      <c r="X169" s="1" t="n">
        <v>3</v>
      </c>
      <c r="Y169" s="1" t="n">
        <v>12</v>
      </c>
      <c r="Z169" s="1" t="n">
        <v>41</v>
      </c>
      <c r="AA169" s="1" t="n">
        <v>1</v>
      </c>
      <c r="AB169" s="1" t="n">
        <v>7</v>
      </c>
      <c r="AC169" s="1" t="n">
        <v>16</v>
      </c>
      <c r="AD169" s="1" t="n">
        <v>0</v>
      </c>
      <c r="AE169" s="1" t="n">
        <v>20</v>
      </c>
      <c r="AF169" s="1" t="n">
        <v>1</v>
      </c>
      <c r="AG169" s="1" t="n">
        <v>12</v>
      </c>
      <c r="AH169" s="1" t="n">
        <v>9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</row>
    <row r="170">
      <c r="A170" s="1" t="inlineStr">
        <is>
          <t>ovarian serous carcinoma</t>
        </is>
      </c>
      <c r="B170" s="1" t="inlineStr">
        <is>
          <t>EFO_1001516</t>
        </is>
      </c>
      <c r="C170" s="1" t="inlineStr">
        <is>
          <t>name</t>
        </is>
      </c>
      <c r="D170" s="1" t="n">
        <v>0.05</v>
      </c>
      <c r="E170" s="15" t="n">
        <v>0</v>
      </c>
      <c r="F170" s="15" t="n">
        <v>46</v>
      </c>
      <c r="G170" s="15" t="n">
        <v>0</v>
      </c>
      <c r="H170" s="16">
        <f>G170/F170</f>
        <v/>
      </c>
      <c r="I170" s="16">
        <f>G170/E170</f>
        <v/>
      </c>
      <c r="J170" s="17" t="n">
        <v>0</v>
      </c>
      <c r="K170" s="17" t="n">
        <v>240</v>
      </c>
      <c r="L170" s="17" t="n">
        <v>0</v>
      </c>
      <c r="M170" s="16">
        <f>L170/K170</f>
        <v/>
      </c>
      <c r="N170" s="16">
        <f>L170/J170</f>
        <v/>
      </c>
      <c r="O170" s="18" t="n">
        <v>0</v>
      </c>
      <c r="P170" s="18" t="n">
        <v>0</v>
      </c>
      <c r="Q170" s="16">
        <f>P170/O170</f>
        <v/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</row>
    <row r="171">
      <c r="A171" s="1" t="inlineStr">
        <is>
          <t>pancreatic ductal adenocarcinoma</t>
        </is>
      </c>
      <c r="B171" s="1" t="inlineStr">
        <is>
          <t>MONDO_0005184</t>
        </is>
      </c>
      <c r="C171" s="1" t="inlineStr">
        <is>
          <t>name</t>
        </is>
      </c>
      <c r="D171" s="1" t="n">
        <v>0.05</v>
      </c>
      <c r="E171" s="15" t="n">
        <v>14</v>
      </c>
      <c r="F171" s="15" t="n">
        <v>106</v>
      </c>
      <c r="G171" s="15" t="n">
        <v>7</v>
      </c>
      <c r="H171" s="16">
        <f>G171/F171</f>
        <v/>
      </c>
      <c r="I171" s="16">
        <f>G171/E171</f>
        <v/>
      </c>
      <c r="J171" s="17" t="n">
        <v>8</v>
      </c>
      <c r="K171" s="17" t="n">
        <v>1</v>
      </c>
      <c r="L171" s="17" t="n">
        <v>0</v>
      </c>
      <c r="M171" s="16">
        <f>L171/K171</f>
        <v/>
      </c>
      <c r="N171" s="16">
        <f>L171/J171</f>
        <v/>
      </c>
      <c r="O171" s="18" t="n">
        <v>0</v>
      </c>
      <c r="P171" s="18" t="n">
        <v>0</v>
      </c>
      <c r="Q171" s="16">
        <f>P171/O171</f>
        <v/>
      </c>
      <c r="R171" s="1" t="n">
        <v>592</v>
      </c>
      <c r="S171" s="1" t="n">
        <v>7</v>
      </c>
      <c r="T171" s="1" t="n">
        <v>2</v>
      </c>
      <c r="U171" s="1" t="n">
        <v>16</v>
      </c>
      <c r="V171" s="1" t="n">
        <v>16</v>
      </c>
      <c r="W171" s="1" t="n">
        <v>6</v>
      </c>
      <c r="X171" s="1" t="n">
        <v>0</v>
      </c>
      <c r="Y171" s="1" t="n">
        <v>7</v>
      </c>
      <c r="Z171" s="1" t="n">
        <v>8</v>
      </c>
      <c r="AA171" s="1" t="n">
        <v>0</v>
      </c>
      <c r="AB171" s="1" t="n">
        <v>6</v>
      </c>
      <c r="AC171" s="1" t="n">
        <v>6</v>
      </c>
      <c r="AD171" s="1" t="n">
        <v>1</v>
      </c>
      <c r="AE171" s="1" t="n">
        <v>6</v>
      </c>
      <c r="AF171" s="1" t="n">
        <v>0</v>
      </c>
      <c r="AG171" s="1" t="n">
        <v>4</v>
      </c>
      <c r="AH171" s="1" t="n">
        <v>2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</row>
    <row r="172">
      <c r="A172" s="1" t="inlineStr">
        <is>
          <t>papillary thyroid carcinoma</t>
        </is>
      </c>
      <c r="B172" s="1" t="inlineStr">
        <is>
          <t>EFO_0000641</t>
        </is>
      </c>
      <c r="C172" s="1" t="inlineStr">
        <is>
          <t>name</t>
        </is>
      </c>
      <c r="D172" s="1" t="n">
        <v>0.05</v>
      </c>
      <c r="E172" s="15" t="n">
        <v>7</v>
      </c>
      <c r="F172" s="15" t="n">
        <v>10</v>
      </c>
      <c r="G172" s="15" t="n">
        <v>0</v>
      </c>
      <c r="H172" s="16">
        <f>G172/F172</f>
        <v/>
      </c>
      <c r="I172" s="16">
        <f>G172/E172</f>
        <v/>
      </c>
      <c r="J172" s="17" t="n">
        <v>5</v>
      </c>
      <c r="K172" s="17" t="n">
        <v>492</v>
      </c>
      <c r="L172" s="17" t="n">
        <v>2</v>
      </c>
      <c r="M172" s="16">
        <f>L172/K172</f>
        <v/>
      </c>
      <c r="N172" s="16">
        <f>L172/J172</f>
        <v/>
      </c>
      <c r="O172" s="18" t="n">
        <v>0</v>
      </c>
      <c r="P172" s="18" t="n">
        <v>0</v>
      </c>
      <c r="Q172" s="16">
        <f>P172/O172</f>
        <v/>
      </c>
      <c r="R172" s="1" t="n">
        <v>259</v>
      </c>
      <c r="S172" s="1" t="n">
        <v>2</v>
      </c>
      <c r="T172" s="1" t="n">
        <v>0</v>
      </c>
      <c r="U172" s="1" t="n">
        <v>1</v>
      </c>
      <c r="V172" s="1" t="n">
        <v>1</v>
      </c>
      <c r="W172" s="1" t="n">
        <v>0</v>
      </c>
      <c r="X172" s="1" t="n">
        <v>0</v>
      </c>
      <c r="Y172" s="1" t="n">
        <v>0</v>
      </c>
      <c r="Z172" s="1" t="n">
        <v>2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1</v>
      </c>
      <c r="AL172" s="1" t="n">
        <v>0</v>
      </c>
      <c r="AM172" s="1" t="n">
        <v>0</v>
      </c>
    </row>
    <row r="173">
      <c r="A173" s="1" t="inlineStr">
        <is>
          <t>peripartum cardiomyopathy</t>
        </is>
      </c>
      <c r="B173" s="1" t="inlineStr">
        <is>
          <t>EFO_0002628</t>
        </is>
      </c>
      <c r="C173" s="1" t="inlineStr">
        <is>
          <t>name</t>
        </is>
      </c>
      <c r="D173" s="1" t="n">
        <v>0.05</v>
      </c>
      <c r="E173" s="15" t="n">
        <v>0</v>
      </c>
      <c r="F173" s="15" t="n">
        <v>210</v>
      </c>
      <c r="G173" s="15" t="n">
        <v>0</v>
      </c>
      <c r="H173" s="16">
        <f>G173/F173</f>
        <v/>
      </c>
      <c r="I173" s="16">
        <f>G173/E173</f>
        <v/>
      </c>
      <c r="J173" s="17" t="n">
        <v>1</v>
      </c>
      <c r="K173" s="17" t="n">
        <v>0</v>
      </c>
      <c r="L173" s="17" t="n">
        <v>0</v>
      </c>
      <c r="M173" s="16">
        <f>L173/K173</f>
        <v/>
      </c>
      <c r="N173" s="16">
        <f>L173/J173</f>
        <v/>
      </c>
      <c r="O173" s="18" t="n">
        <v>0</v>
      </c>
      <c r="P173" s="18" t="n">
        <v>0</v>
      </c>
      <c r="Q173" s="16">
        <f>P173/O173</f>
        <v/>
      </c>
      <c r="R173" s="1" t="n">
        <v>8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</row>
    <row r="174">
      <c r="A174" s="1" t="inlineStr">
        <is>
          <t>polycystic ovary syndrome</t>
        </is>
      </c>
      <c r="B174" s="1" t="inlineStr">
        <is>
          <t>EFO_0000660</t>
        </is>
      </c>
      <c r="C174" s="1" t="inlineStr">
        <is>
          <t>name</t>
        </is>
      </c>
      <c r="D174" s="1" t="n">
        <v>0.05</v>
      </c>
      <c r="E174" s="15" t="n">
        <v>7</v>
      </c>
      <c r="F174" s="15" t="n">
        <v>25</v>
      </c>
      <c r="G174" s="15" t="n">
        <v>1</v>
      </c>
      <c r="H174" s="16">
        <f>G174/F174</f>
        <v/>
      </c>
      <c r="I174" s="16">
        <f>G174/E174</f>
        <v/>
      </c>
      <c r="J174" s="17" t="n">
        <v>16</v>
      </c>
      <c r="K174" s="17" t="n">
        <v>50</v>
      </c>
      <c r="L174" s="17" t="n">
        <v>1</v>
      </c>
      <c r="M174" s="16">
        <f>L174/K174</f>
        <v/>
      </c>
      <c r="N174" s="16">
        <f>L174/J174</f>
        <v/>
      </c>
      <c r="O174" s="18" t="n">
        <v>0</v>
      </c>
      <c r="P174" s="18" t="n">
        <v>0</v>
      </c>
      <c r="Q174" s="16">
        <f>P174/O174</f>
        <v/>
      </c>
      <c r="R174" s="1" t="n">
        <v>720</v>
      </c>
      <c r="S174" s="1" t="n">
        <v>2</v>
      </c>
      <c r="T174" s="1" t="n">
        <v>0</v>
      </c>
      <c r="U174" s="1" t="n">
        <v>1</v>
      </c>
      <c r="V174" s="1" t="n">
        <v>0</v>
      </c>
      <c r="W174" s="1" t="n">
        <v>2</v>
      </c>
      <c r="X174" s="1" t="n">
        <v>0</v>
      </c>
      <c r="Y174" s="1" t="n">
        <v>0</v>
      </c>
      <c r="Z174" s="1" t="n">
        <v>2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1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</row>
    <row r="175">
      <c r="A175" s="1" t="inlineStr">
        <is>
          <t>Polymyositis</t>
        </is>
      </c>
      <c r="B175" s="1" t="inlineStr">
        <is>
          <t>EFO_0003063</t>
        </is>
      </c>
      <c r="C175" s="1" t="inlineStr">
        <is>
          <t>name</t>
        </is>
      </c>
      <c r="D175" s="1" t="n">
        <v>0.05</v>
      </c>
      <c r="E175" s="15" t="n">
        <v>0</v>
      </c>
      <c r="F175" s="15" t="n">
        <v>322</v>
      </c>
      <c r="G175" s="15" t="n">
        <v>0</v>
      </c>
      <c r="H175" s="16">
        <f>G175/F175</f>
        <v/>
      </c>
      <c r="I175" s="16">
        <f>G175/E175</f>
        <v/>
      </c>
      <c r="J175" s="17" t="n">
        <v>3</v>
      </c>
      <c r="K175" s="17" t="n">
        <v>32</v>
      </c>
      <c r="L175" s="17" t="n">
        <v>0</v>
      </c>
      <c r="M175" s="16">
        <f>L175/K175</f>
        <v/>
      </c>
      <c r="N175" s="16">
        <f>L175/J175</f>
        <v/>
      </c>
      <c r="O175" s="18" t="n">
        <v>2</v>
      </c>
      <c r="P175" s="18" t="n">
        <v>0</v>
      </c>
      <c r="Q175" s="16">
        <f>P175/O175</f>
        <v/>
      </c>
      <c r="R175" s="1" t="n">
        <v>116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2</v>
      </c>
      <c r="AL175" s="1" t="n">
        <v>1</v>
      </c>
      <c r="AM175" s="1" t="n">
        <v>0</v>
      </c>
    </row>
    <row r="176">
      <c r="A176" s="1" t="inlineStr">
        <is>
          <t>post-traumatic stress disorder</t>
        </is>
      </c>
      <c r="B176" s="1" t="inlineStr">
        <is>
          <t>EFO_0001358</t>
        </is>
      </c>
      <c r="C176" s="1" t="inlineStr">
        <is>
          <t>name</t>
        </is>
      </c>
      <c r="D176" s="1" t="n">
        <v>0.05</v>
      </c>
      <c r="E176" s="15" t="n">
        <v>1</v>
      </c>
      <c r="F176" s="15" t="n">
        <v>193</v>
      </c>
      <c r="G176" s="15" t="n">
        <v>0</v>
      </c>
      <c r="H176" s="16">
        <f>G176/F176</f>
        <v/>
      </c>
      <c r="I176" s="16">
        <f>G176/E176</f>
        <v/>
      </c>
      <c r="J176" s="17" t="n">
        <v>19</v>
      </c>
      <c r="K176" s="17" t="n">
        <v>437</v>
      </c>
      <c r="L176" s="17" t="n">
        <v>8</v>
      </c>
      <c r="M176" s="16">
        <f>L176/K176</f>
        <v/>
      </c>
      <c r="N176" s="16">
        <f>L176/J176</f>
        <v/>
      </c>
      <c r="O176" s="18" t="n">
        <v>10</v>
      </c>
      <c r="P176" s="18" t="n">
        <v>0</v>
      </c>
      <c r="Q176" s="16">
        <f>P176/O176</f>
        <v/>
      </c>
      <c r="R176" s="1" t="n">
        <v>762</v>
      </c>
      <c r="S176" s="1" t="n">
        <v>8</v>
      </c>
      <c r="T176" s="1" t="n">
        <v>0</v>
      </c>
      <c r="U176" s="1" t="n">
        <v>4</v>
      </c>
      <c r="V176" s="1" t="n">
        <v>4</v>
      </c>
      <c r="W176" s="1" t="n">
        <v>7</v>
      </c>
      <c r="X176" s="1" t="n">
        <v>0</v>
      </c>
      <c r="Y176" s="1" t="n">
        <v>0</v>
      </c>
      <c r="Z176" s="1" t="n">
        <v>10</v>
      </c>
      <c r="AA176" s="1" t="n">
        <v>0</v>
      </c>
      <c r="AB176" s="1" t="n">
        <v>0</v>
      </c>
      <c r="AC176" s="1" t="n">
        <v>2</v>
      </c>
      <c r="AD176" s="1" t="n">
        <v>0</v>
      </c>
      <c r="AE176" s="1" t="n">
        <v>2</v>
      </c>
      <c r="AF176" s="1" t="n">
        <v>0</v>
      </c>
      <c r="AG176" s="1" t="n">
        <v>1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</row>
    <row r="177">
      <c r="A177" s="1" t="inlineStr">
        <is>
          <t>pre-eclampsia</t>
        </is>
      </c>
      <c r="B177" s="1" t="inlineStr">
        <is>
          <t>EFO_0000668</t>
        </is>
      </c>
      <c r="C177" s="1" t="inlineStr">
        <is>
          <t>name</t>
        </is>
      </c>
      <c r="D177" s="1" t="n">
        <v>0.05</v>
      </c>
      <c r="E177" s="15" t="n">
        <v>5</v>
      </c>
      <c r="F177" s="15" t="n">
        <v>68</v>
      </c>
      <c r="G177" s="15" t="n">
        <v>0</v>
      </c>
      <c r="H177" s="16">
        <f>G177/F177</f>
        <v/>
      </c>
      <c r="I177" s="16">
        <f>G177/E177</f>
        <v/>
      </c>
      <c r="J177" s="17" t="n">
        <v>21</v>
      </c>
      <c r="K177" s="17" t="n">
        <v>127</v>
      </c>
      <c r="L177" s="17" t="n">
        <v>2</v>
      </c>
      <c r="M177" s="16">
        <f>L177/K177</f>
        <v/>
      </c>
      <c r="N177" s="16">
        <f>L177/J177</f>
        <v/>
      </c>
      <c r="O177" s="18" t="n">
        <v>1</v>
      </c>
      <c r="P177" s="18" t="n">
        <v>0</v>
      </c>
      <c r="Q177" s="16">
        <f>P177/O177</f>
        <v/>
      </c>
      <c r="R177" s="1" t="n">
        <v>756</v>
      </c>
      <c r="S177" s="1" t="n">
        <v>2</v>
      </c>
      <c r="T177" s="1" t="n">
        <v>0</v>
      </c>
      <c r="U177" s="1" t="n">
        <v>0</v>
      </c>
      <c r="V177" s="1" t="n">
        <v>1</v>
      </c>
      <c r="W177" s="1" t="n">
        <v>0</v>
      </c>
      <c r="X177" s="1" t="n">
        <v>1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1</v>
      </c>
      <c r="AD177" s="1" t="n">
        <v>0</v>
      </c>
      <c r="AE177" s="1" t="n">
        <v>0</v>
      </c>
      <c r="AF177" s="1" t="n">
        <v>1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</row>
    <row r="178">
      <c r="A178" s="1" t="inlineStr">
        <is>
          <t>Pseudomonas Infection</t>
        </is>
      </c>
      <c r="B178" s="1" t="inlineStr">
        <is>
          <t>EFO_0001076</t>
        </is>
      </c>
      <c r="C178" s="1" t="inlineStr">
        <is>
          <t>name</t>
        </is>
      </c>
      <c r="D178" s="1" t="n">
        <v>0.05</v>
      </c>
      <c r="E178" s="15" t="n">
        <v>0</v>
      </c>
      <c r="F178" s="15" t="n">
        <v>51</v>
      </c>
      <c r="G178" s="15" t="n">
        <v>0</v>
      </c>
      <c r="H178" s="16">
        <f>G178/F178</f>
        <v/>
      </c>
      <c r="I178" s="16">
        <f>G178/E178</f>
        <v/>
      </c>
      <c r="J178" s="17" t="n">
        <v>0</v>
      </c>
      <c r="K178" s="17" t="n">
        <v>727</v>
      </c>
      <c r="L178" s="17" t="n">
        <v>0</v>
      </c>
      <c r="M178" s="16">
        <f>L178/K178</f>
        <v/>
      </c>
      <c r="N178" s="16">
        <f>L178/J178</f>
        <v/>
      </c>
      <c r="O178" s="18" t="n">
        <v>2</v>
      </c>
      <c r="P178" s="18" t="n">
        <v>0</v>
      </c>
      <c r="Q178" s="16">
        <f>P178/O178</f>
        <v/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</row>
    <row r="179">
      <c r="A179" s="1" t="inlineStr">
        <is>
          <t>psoriasis</t>
        </is>
      </c>
      <c r="B179" s="1" t="inlineStr">
        <is>
          <t>EFO_0000676</t>
        </is>
      </c>
      <c r="C179" s="1" t="inlineStr">
        <is>
          <t>name</t>
        </is>
      </c>
      <c r="D179" s="1" t="n">
        <v>0.05</v>
      </c>
      <c r="E179" s="15" t="n">
        <v>15</v>
      </c>
      <c r="F179" s="15" t="n">
        <v>332</v>
      </c>
      <c r="G179" s="15" t="n">
        <v>14</v>
      </c>
      <c r="H179" s="16">
        <f>G179/F179</f>
        <v/>
      </c>
      <c r="I179" s="16">
        <f>G179/E179</f>
        <v/>
      </c>
      <c r="J179" s="17" t="n">
        <v>24</v>
      </c>
      <c r="K179" s="17" t="n">
        <v>58</v>
      </c>
      <c r="L179" s="17" t="n">
        <v>1</v>
      </c>
      <c r="M179" s="16">
        <f>L179/K179</f>
        <v/>
      </c>
      <c r="N179" s="16">
        <f>L179/J179</f>
        <v/>
      </c>
      <c r="O179" s="18" t="n">
        <v>1</v>
      </c>
      <c r="P179" s="18" t="n">
        <v>0</v>
      </c>
      <c r="Q179" s="16">
        <f>P179/O179</f>
        <v/>
      </c>
      <c r="R179" s="1" t="n">
        <v>1473</v>
      </c>
      <c r="S179" s="1" t="n">
        <v>15</v>
      </c>
      <c r="T179" s="1" t="n">
        <v>2</v>
      </c>
      <c r="U179" s="1" t="n">
        <v>10</v>
      </c>
      <c r="V179" s="1" t="n">
        <v>15</v>
      </c>
      <c r="W179" s="1" t="n">
        <v>10</v>
      </c>
      <c r="X179" s="1" t="n">
        <v>22</v>
      </c>
      <c r="Y179" s="1" t="n">
        <v>1</v>
      </c>
      <c r="Z179" s="1" t="n">
        <v>31</v>
      </c>
      <c r="AA179" s="1" t="n">
        <v>0</v>
      </c>
      <c r="AB179" s="1" t="n">
        <v>3</v>
      </c>
      <c r="AC179" s="1" t="n">
        <v>6</v>
      </c>
      <c r="AD179" s="1" t="n">
        <v>0</v>
      </c>
      <c r="AE179" s="1" t="n">
        <v>3</v>
      </c>
      <c r="AF179" s="1" t="n">
        <v>7</v>
      </c>
      <c r="AG179" s="1" t="n">
        <v>5</v>
      </c>
      <c r="AH179" s="1" t="n">
        <v>3</v>
      </c>
      <c r="AI179" s="1" t="n">
        <v>1</v>
      </c>
      <c r="AJ179" s="1" t="n">
        <v>21</v>
      </c>
      <c r="AK179" s="1" t="n">
        <v>1</v>
      </c>
      <c r="AL179" s="1" t="n">
        <v>13</v>
      </c>
      <c r="AM179" s="1" t="n">
        <v>9</v>
      </c>
    </row>
    <row r="180">
      <c r="A180" s="1" t="inlineStr">
        <is>
          <t>psoriatic arthritis</t>
        </is>
      </c>
      <c r="B180" s="1" t="inlineStr">
        <is>
          <t>EFO_0003778</t>
        </is>
      </c>
      <c r="C180" s="1" t="inlineStr">
        <is>
          <t>name</t>
        </is>
      </c>
      <c r="D180" s="1" t="n">
        <v>0.05</v>
      </c>
      <c r="E180" s="15" t="n">
        <v>6</v>
      </c>
      <c r="F180" s="15" t="n">
        <v>365</v>
      </c>
      <c r="G180" s="15" t="n">
        <v>6</v>
      </c>
      <c r="H180" s="16">
        <f>G180/F180</f>
        <v/>
      </c>
      <c r="I180" s="16">
        <f>G180/E180</f>
        <v/>
      </c>
      <c r="J180" s="17" t="n">
        <v>9</v>
      </c>
      <c r="K180" s="17" t="n">
        <v>5</v>
      </c>
      <c r="L180" s="17" t="n">
        <v>0</v>
      </c>
      <c r="M180" s="16">
        <f>L180/K180</f>
        <v/>
      </c>
      <c r="N180" s="16">
        <f>L180/J180</f>
        <v/>
      </c>
      <c r="O180" s="18" t="n">
        <v>0</v>
      </c>
      <c r="P180" s="18" t="n">
        <v>0</v>
      </c>
      <c r="Q180" s="16">
        <f>P180/O180</f>
        <v/>
      </c>
      <c r="R180" s="1" t="n">
        <v>630</v>
      </c>
      <c r="S180" s="1" t="n">
        <v>6</v>
      </c>
      <c r="T180" s="1" t="n">
        <v>0</v>
      </c>
      <c r="U180" s="1" t="n">
        <v>1</v>
      </c>
      <c r="V180" s="1" t="n">
        <v>5</v>
      </c>
      <c r="W180" s="1" t="n">
        <v>5</v>
      </c>
      <c r="X180" s="1" t="n">
        <v>6</v>
      </c>
      <c r="Y180" s="1" t="n">
        <v>0</v>
      </c>
      <c r="Z180" s="1" t="n">
        <v>5</v>
      </c>
      <c r="AA180" s="1" t="n">
        <v>0</v>
      </c>
      <c r="AB180" s="1" t="n">
        <v>1</v>
      </c>
      <c r="AC180" s="1" t="n">
        <v>4</v>
      </c>
      <c r="AD180" s="1" t="n">
        <v>0</v>
      </c>
      <c r="AE180" s="1" t="n">
        <v>2</v>
      </c>
      <c r="AF180" s="1" t="n">
        <v>4</v>
      </c>
      <c r="AG180" s="1" t="n">
        <v>0</v>
      </c>
      <c r="AH180" s="1" t="n">
        <v>1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</row>
    <row r="181">
      <c r="A181" s="1" t="inlineStr">
        <is>
          <t>pulmonary fibrosis</t>
        </is>
      </c>
      <c r="B181" s="1" t="inlineStr">
        <is>
          <t>EFO_0009448</t>
        </is>
      </c>
      <c r="C181" s="1" t="inlineStr">
        <is>
          <t>name</t>
        </is>
      </c>
      <c r="D181" s="1" t="n">
        <v>0.05</v>
      </c>
      <c r="E181" s="15" t="n">
        <v>1</v>
      </c>
      <c r="F181" s="15" t="n">
        <v>282</v>
      </c>
      <c r="G181" s="15" t="n">
        <v>1</v>
      </c>
      <c r="H181" s="16">
        <f>G181/F181</f>
        <v/>
      </c>
      <c r="I181" s="16">
        <f>G181/E181</f>
        <v/>
      </c>
      <c r="J181" s="17" t="n">
        <v>3</v>
      </c>
      <c r="K181" s="17" t="n">
        <v>2</v>
      </c>
      <c r="L181" s="17" t="n">
        <v>0</v>
      </c>
      <c r="M181" s="16">
        <f>L181/K181</f>
        <v/>
      </c>
      <c r="N181" s="16">
        <f>L181/J181</f>
        <v/>
      </c>
      <c r="O181" s="18" t="n">
        <v>0</v>
      </c>
      <c r="P181" s="18" t="n">
        <v>0</v>
      </c>
      <c r="Q181" s="16">
        <f>P181/O181</f>
        <v/>
      </c>
      <c r="R181" s="1" t="n">
        <v>232</v>
      </c>
      <c r="S181" s="1" t="n">
        <v>1</v>
      </c>
      <c r="T181" s="1" t="n">
        <v>0</v>
      </c>
      <c r="U181" s="1" t="n">
        <v>0</v>
      </c>
      <c r="V181" s="1" t="n">
        <v>1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1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1</v>
      </c>
      <c r="AK181" s="1" t="n">
        <v>1</v>
      </c>
      <c r="AL181" s="1" t="n">
        <v>6</v>
      </c>
      <c r="AM181" s="1" t="n">
        <v>0</v>
      </c>
    </row>
    <row r="182">
      <c r="A182" s="1" t="inlineStr">
        <is>
          <t>pulmonary hypertension</t>
        </is>
      </c>
      <c r="B182" s="1" t="inlineStr">
        <is>
          <t>MONDO_0005149</t>
        </is>
      </c>
      <c r="C182" s="1" t="inlineStr">
        <is>
          <t>name</t>
        </is>
      </c>
      <c r="D182" s="1" t="n">
        <v>0.05</v>
      </c>
      <c r="E182" s="15" t="n">
        <v>7</v>
      </c>
      <c r="F182" s="15" t="n">
        <v>207</v>
      </c>
      <c r="G182" s="15" t="n">
        <v>6</v>
      </c>
      <c r="H182" s="16">
        <f>G182/F182</f>
        <v/>
      </c>
      <c r="I182" s="16">
        <f>G182/E182</f>
        <v/>
      </c>
      <c r="J182" s="17" t="n">
        <v>8</v>
      </c>
      <c r="K182" s="17" t="n">
        <v>560</v>
      </c>
      <c r="L182" s="17" t="n">
        <v>5</v>
      </c>
      <c r="M182" s="16">
        <f>L182/K182</f>
        <v/>
      </c>
      <c r="N182" s="16">
        <f>L182/J182</f>
        <v/>
      </c>
      <c r="O182" s="18" t="n">
        <v>8</v>
      </c>
      <c r="P182" s="18" t="n">
        <v>0</v>
      </c>
      <c r="Q182" s="16">
        <f>P182/O182</f>
        <v/>
      </c>
      <c r="R182" s="1" t="n">
        <v>447</v>
      </c>
      <c r="S182" s="1" t="n">
        <v>11</v>
      </c>
      <c r="T182" s="1" t="n">
        <v>1</v>
      </c>
      <c r="U182" s="1" t="n">
        <v>4</v>
      </c>
      <c r="V182" s="1" t="n">
        <v>10</v>
      </c>
      <c r="W182" s="1" t="n">
        <v>8</v>
      </c>
      <c r="X182" s="1" t="n">
        <v>4</v>
      </c>
      <c r="Y182" s="1" t="n">
        <v>0</v>
      </c>
      <c r="Z182" s="1" t="n">
        <v>15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5</v>
      </c>
      <c r="AF182" s="1" t="n">
        <v>3</v>
      </c>
      <c r="AG182" s="1" t="n">
        <v>2</v>
      </c>
      <c r="AH182" s="1" t="n">
        <v>2</v>
      </c>
      <c r="AI182" s="1" t="n">
        <v>0</v>
      </c>
      <c r="AJ182" s="1" t="n">
        <v>1</v>
      </c>
      <c r="AK182" s="1" t="n">
        <v>0</v>
      </c>
      <c r="AL182" s="1" t="n">
        <v>0</v>
      </c>
      <c r="AM182" s="1" t="n">
        <v>0</v>
      </c>
    </row>
    <row r="183">
      <c r="A183" s="1" t="inlineStr">
        <is>
          <t>pulmonary sarcoidosis</t>
        </is>
      </c>
      <c r="B183" s="1" t="inlineStr">
        <is>
          <t>DOID_13406</t>
        </is>
      </c>
      <c r="C183" s="1" t="inlineStr">
        <is>
          <t>name</t>
        </is>
      </c>
      <c r="D183" s="1" t="n">
        <v>0.05</v>
      </c>
      <c r="E183" s="15" t="n">
        <v>1</v>
      </c>
      <c r="F183" s="15" t="n">
        <v>179</v>
      </c>
      <c r="G183" s="15" t="n">
        <v>0</v>
      </c>
      <c r="H183" s="16">
        <f>G183/F183</f>
        <v/>
      </c>
      <c r="I183" s="16">
        <f>G183/E183</f>
        <v/>
      </c>
      <c r="J183" s="17" t="n">
        <v>3</v>
      </c>
      <c r="K183" s="17" t="n">
        <v>413</v>
      </c>
      <c r="L183" s="17" t="n">
        <v>2</v>
      </c>
      <c r="M183" s="16">
        <f>L183/K183</f>
        <v/>
      </c>
      <c r="N183" s="16">
        <f>L183/J183</f>
        <v/>
      </c>
      <c r="O183" s="18" t="n">
        <v>5</v>
      </c>
      <c r="P183" s="18" t="n">
        <v>0</v>
      </c>
      <c r="Q183" s="16">
        <f>P183/O183</f>
        <v/>
      </c>
      <c r="R183" s="1" t="n">
        <v>83</v>
      </c>
      <c r="S183" s="1" t="n">
        <v>2</v>
      </c>
      <c r="T183" s="1" t="n">
        <v>0</v>
      </c>
      <c r="U183" s="1" t="n">
        <v>0</v>
      </c>
      <c r="V183" s="1" t="n">
        <v>1</v>
      </c>
      <c r="W183" s="1" t="n">
        <v>2</v>
      </c>
      <c r="X183" s="1" t="n">
        <v>0</v>
      </c>
      <c r="Y183" s="1" t="n">
        <v>0</v>
      </c>
      <c r="Z183" s="1" t="n">
        <v>2</v>
      </c>
      <c r="AA183" s="1" t="n">
        <v>0</v>
      </c>
      <c r="AB183" s="1" t="n">
        <v>1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1</v>
      </c>
      <c r="AM183" s="1" t="n">
        <v>0</v>
      </c>
    </row>
    <row r="184">
      <c r="A184" s="1" t="inlineStr">
        <is>
          <t>relapsing-remitting multiple sclerosis</t>
        </is>
      </c>
      <c r="B184" s="1" t="inlineStr">
        <is>
          <t>EFO_0003929</t>
        </is>
      </c>
      <c r="C184" s="1" t="inlineStr">
        <is>
          <t>name</t>
        </is>
      </c>
      <c r="D184" s="1" t="n">
        <v>0.05</v>
      </c>
      <c r="E184" s="15" t="n">
        <v>9</v>
      </c>
      <c r="F184" s="15" t="n">
        <v>248</v>
      </c>
      <c r="G184" s="15" t="n">
        <v>6</v>
      </c>
      <c r="H184" s="16">
        <f>G184/F184</f>
        <v/>
      </c>
      <c r="I184" s="16">
        <f>G184/E184</f>
        <v/>
      </c>
      <c r="J184" s="17" t="n">
        <v>19</v>
      </c>
      <c r="K184" s="17" t="n">
        <v>679</v>
      </c>
      <c r="L184" s="17" t="n">
        <v>6</v>
      </c>
      <c r="M184" s="16">
        <f>L184/K184</f>
        <v/>
      </c>
      <c r="N184" s="16">
        <f>L184/J184</f>
        <v/>
      </c>
      <c r="O184" s="18" t="n">
        <v>20</v>
      </c>
      <c r="P184" s="18" t="n">
        <v>0</v>
      </c>
      <c r="Q184" s="16">
        <f>P184/O184</f>
        <v/>
      </c>
      <c r="R184" s="1" t="n">
        <v>816</v>
      </c>
      <c r="S184" s="1" t="n">
        <v>12</v>
      </c>
      <c r="T184" s="1" t="n">
        <v>0</v>
      </c>
      <c r="U184" s="1" t="n">
        <v>7</v>
      </c>
      <c r="V184" s="1" t="n">
        <v>10</v>
      </c>
      <c r="W184" s="1" t="n">
        <v>4</v>
      </c>
      <c r="X184" s="1" t="n">
        <v>4</v>
      </c>
      <c r="Y184" s="1" t="n">
        <v>2</v>
      </c>
      <c r="Z184" s="1" t="n">
        <v>10</v>
      </c>
      <c r="AA184" s="1" t="n">
        <v>1</v>
      </c>
      <c r="AB184" s="1" t="n">
        <v>0</v>
      </c>
      <c r="AC184" s="1" t="n">
        <v>3</v>
      </c>
      <c r="AD184" s="1" t="n">
        <v>0</v>
      </c>
      <c r="AE184" s="1" t="n">
        <v>5</v>
      </c>
      <c r="AF184" s="1" t="n">
        <v>1</v>
      </c>
      <c r="AG184" s="1" t="n">
        <v>0</v>
      </c>
      <c r="AH184" s="1" t="n">
        <v>3</v>
      </c>
      <c r="AI184" s="1" t="n">
        <v>0</v>
      </c>
      <c r="AJ184" s="1" t="n">
        <v>15</v>
      </c>
      <c r="AK184" s="1" t="n">
        <v>1</v>
      </c>
      <c r="AL184" s="1" t="n">
        <v>4</v>
      </c>
      <c r="AM184" s="1" t="n">
        <v>7</v>
      </c>
    </row>
    <row r="185">
      <c r="A185" s="1" t="inlineStr">
        <is>
          <t>Rett syndrome</t>
        </is>
      </c>
      <c r="B185" s="1" t="inlineStr">
        <is>
          <t>MONDO_0010726</t>
        </is>
      </c>
      <c r="C185" s="1" t="inlineStr">
        <is>
          <t>name</t>
        </is>
      </c>
      <c r="D185" s="1" t="n">
        <v>0.05</v>
      </c>
      <c r="E185" s="15" t="n">
        <v>0</v>
      </c>
      <c r="F185" s="15" t="n">
        <v>226</v>
      </c>
      <c r="G185" s="15" t="n">
        <v>0</v>
      </c>
      <c r="H185" s="16">
        <f>G185/F185</f>
        <v/>
      </c>
      <c r="I185" s="16">
        <f>G185/E185</f>
        <v/>
      </c>
      <c r="J185" s="17" t="n">
        <v>4</v>
      </c>
      <c r="K185" s="17" t="n">
        <v>381</v>
      </c>
      <c r="L185" s="17" t="n">
        <v>0</v>
      </c>
      <c r="M185" s="16">
        <f>L185/K185</f>
        <v/>
      </c>
      <c r="N185" s="16">
        <f>L185/J185</f>
        <v/>
      </c>
      <c r="O185" s="18" t="n">
        <v>8</v>
      </c>
      <c r="P185" s="18" t="n">
        <v>0</v>
      </c>
      <c r="Q185" s="16">
        <f>P185/O185</f>
        <v/>
      </c>
      <c r="R185" s="1" t="n">
        <v>132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</row>
    <row r="186">
      <c r="A186" s="1" t="inlineStr">
        <is>
          <t>salivary gland adenoid cystic carcinoma</t>
        </is>
      </c>
      <c r="B186" s="1" t="inlineStr">
        <is>
          <t>MONDO_0003175</t>
        </is>
      </c>
      <c r="C186" s="1" t="inlineStr">
        <is>
          <t>name</t>
        </is>
      </c>
      <c r="D186" s="1" t="n">
        <v>0.05</v>
      </c>
      <c r="E186" s="15" t="n">
        <v>2</v>
      </c>
      <c r="F186" s="15" t="n">
        <v>76</v>
      </c>
      <c r="G186" s="15" t="n">
        <v>0</v>
      </c>
      <c r="H186" s="16">
        <f>G186/F186</f>
        <v/>
      </c>
      <c r="I186" s="16">
        <f>G186/E186</f>
        <v/>
      </c>
      <c r="J186" s="17" t="n">
        <v>1</v>
      </c>
      <c r="K186" s="17" t="n">
        <v>10</v>
      </c>
      <c r="L186" s="17" t="n">
        <v>0</v>
      </c>
      <c r="M186" s="16">
        <f>L186/K186</f>
        <v/>
      </c>
      <c r="N186" s="16">
        <f>L186/J186</f>
        <v/>
      </c>
      <c r="O186" s="18" t="n">
        <v>0</v>
      </c>
      <c r="P186" s="18" t="n">
        <v>0</v>
      </c>
      <c r="Q186" s="16">
        <f>P186/O186</f>
        <v/>
      </c>
      <c r="R186" s="1" t="n">
        <v>45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</row>
    <row r="187">
      <c r="A187" s="1" t="inlineStr">
        <is>
          <t>sarcoidosis</t>
        </is>
      </c>
      <c r="B187" s="1" t="inlineStr">
        <is>
          <t>MONDO_0019338</t>
        </is>
      </c>
      <c r="C187" s="1" t="inlineStr">
        <is>
          <t>name</t>
        </is>
      </c>
      <c r="D187" s="1" t="n">
        <v>0.05</v>
      </c>
      <c r="E187" s="15" t="n">
        <v>3</v>
      </c>
      <c r="F187" s="15" t="n">
        <v>207</v>
      </c>
      <c r="G187" s="15" t="n">
        <v>3</v>
      </c>
      <c r="H187" s="16">
        <f>G187/F187</f>
        <v/>
      </c>
      <c r="I187" s="16">
        <f>G187/E187</f>
        <v/>
      </c>
      <c r="J187" s="17" t="n">
        <v>6</v>
      </c>
      <c r="K187" s="17" t="n">
        <v>383</v>
      </c>
      <c r="L187" s="17" t="n">
        <v>1</v>
      </c>
      <c r="M187" s="16">
        <f>L187/K187</f>
        <v/>
      </c>
      <c r="N187" s="16">
        <f>L187/J187</f>
        <v/>
      </c>
      <c r="O187" s="18" t="n">
        <v>6</v>
      </c>
      <c r="P187" s="18" t="n">
        <v>0</v>
      </c>
      <c r="Q187" s="16">
        <f>P187/O187</f>
        <v/>
      </c>
      <c r="R187" s="1" t="n">
        <v>376</v>
      </c>
      <c r="S187" s="1" t="n">
        <v>4</v>
      </c>
      <c r="T187" s="1" t="n">
        <v>0</v>
      </c>
      <c r="U187" s="1" t="n">
        <v>1</v>
      </c>
      <c r="V187" s="1" t="n">
        <v>1</v>
      </c>
      <c r="W187" s="1" t="n">
        <v>1</v>
      </c>
      <c r="X187" s="1" t="n">
        <v>2</v>
      </c>
      <c r="Y187" s="1" t="n">
        <v>0</v>
      </c>
      <c r="Z187" s="1" t="n">
        <v>1</v>
      </c>
      <c r="AA187" s="1" t="n">
        <v>0</v>
      </c>
      <c r="AB187" s="1" t="n">
        <v>1</v>
      </c>
      <c r="AC187" s="1" t="n">
        <v>0</v>
      </c>
      <c r="AD187" s="1" t="n">
        <v>0</v>
      </c>
      <c r="AE187" s="1" t="n">
        <v>0</v>
      </c>
      <c r="AF187" s="1" t="n">
        <v>2</v>
      </c>
      <c r="AG187" s="1" t="n">
        <v>1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</row>
    <row r="188">
      <c r="A188" s="1" t="inlineStr">
        <is>
          <t>Schizophrenia</t>
        </is>
      </c>
      <c r="B188" s="1" t="inlineStr">
        <is>
          <t>MONDO_0005090</t>
        </is>
      </c>
      <c r="C188" s="1" t="inlineStr">
        <is>
          <t>name</t>
        </is>
      </c>
      <c r="D188" s="1" t="n">
        <v>0.05</v>
      </c>
      <c r="E188" s="15" t="n">
        <v>15</v>
      </c>
      <c r="F188" s="15" t="n">
        <v>6</v>
      </c>
      <c r="G188" s="15" t="n">
        <v>0</v>
      </c>
      <c r="H188" s="16">
        <f>G188/F188</f>
        <v/>
      </c>
      <c r="I188" s="16">
        <f>G188/E188</f>
        <v/>
      </c>
      <c r="J188" s="17" t="n">
        <v>65</v>
      </c>
      <c r="K188" s="17" t="n">
        <v>0</v>
      </c>
      <c r="L188" s="17" t="n">
        <v>0</v>
      </c>
      <c r="M188" s="16">
        <f>L188/K188</f>
        <v/>
      </c>
      <c r="N188" s="16">
        <f>L188/J188</f>
        <v/>
      </c>
      <c r="O188" s="18" t="n">
        <v>0</v>
      </c>
      <c r="P188" s="18" t="n">
        <v>0</v>
      </c>
      <c r="Q188" s="16">
        <f>P188/O188</f>
        <v/>
      </c>
      <c r="R188" s="1" t="n">
        <v>2219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</row>
    <row r="189">
      <c r="A189" s="1" t="inlineStr">
        <is>
          <t>scleroderma</t>
        </is>
      </c>
      <c r="B189" s="1" t="inlineStr">
        <is>
          <t>EFO_1001993</t>
        </is>
      </c>
      <c r="C189" s="1" t="inlineStr">
        <is>
          <t>name</t>
        </is>
      </c>
      <c r="D189" s="1" t="n">
        <v>0.05</v>
      </c>
      <c r="E189" s="15" t="n">
        <v>1</v>
      </c>
      <c r="F189" s="15" t="n">
        <v>230</v>
      </c>
      <c r="G189" s="15" t="n">
        <v>1</v>
      </c>
      <c r="H189" s="16">
        <f>G189/F189</f>
        <v/>
      </c>
      <c r="I189" s="16">
        <f>G189/E189</f>
        <v/>
      </c>
      <c r="J189" s="17" t="n">
        <v>4</v>
      </c>
      <c r="K189" s="17" t="n">
        <v>300</v>
      </c>
      <c r="L189" s="17" t="n">
        <v>2</v>
      </c>
      <c r="M189" s="16">
        <f>L189/K189</f>
        <v/>
      </c>
      <c r="N189" s="16">
        <f>L189/J189</f>
        <v/>
      </c>
      <c r="O189" s="18" t="n">
        <v>13</v>
      </c>
      <c r="P189" s="18" t="n">
        <v>0</v>
      </c>
      <c r="Q189" s="16">
        <f>P189/O189</f>
        <v/>
      </c>
      <c r="R189" s="1" t="n">
        <v>224</v>
      </c>
      <c r="S189" s="1" t="n">
        <v>3</v>
      </c>
      <c r="T189" s="1" t="n">
        <v>0</v>
      </c>
      <c r="U189" s="1" t="n">
        <v>1</v>
      </c>
      <c r="V189" s="1" t="n">
        <v>2</v>
      </c>
      <c r="W189" s="1" t="n">
        <v>0</v>
      </c>
      <c r="X189" s="1" t="n">
        <v>0</v>
      </c>
      <c r="Y189" s="1" t="n">
        <v>0</v>
      </c>
      <c r="Z189" s="1" t="n">
        <v>1</v>
      </c>
      <c r="AA189" s="1" t="n">
        <v>0</v>
      </c>
      <c r="AB189" s="1" t="n">
        <v>0</v>
      </c>
      <c r="AC189" s="1" t="n">
        <v>1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1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</row>
    <row r="190">
      <c r="A190" s="1" t="inlineStr">
        <is>
          <t>Septic Shock</t>
        </is>
      </c>
      <c r="B190" s="1" t="inlineStr">
        <is>
          <t>EFO_0006834</t>
        </is>
      </c>
      <c r="C190" s="1" t="inlineStr">
        <is>
          <t>name</t>
        </is>
      </c>
      <c r="D190" s="1" t="n">
        <v>0.05</v>
      </c>
      <c r="E190" s="15" t="n">
        <v>2</v>
      </c>
      <c r="F190" s="15" t="n">
        <v>0</v>
      </c>
      <c r="G190" s="15" t="n">
        <v>0</v>
      </c>
      <c r="H190" s="16">
        <f>G190/F190</f>
        <v/>
      </c>
      <c r="I190" s="16">
        <f>G190/E190</f>
        <v/>
      </c>
      <c r="J190" s="17" t="n">
        <v>12</v>
      </c>
      <c r="K190" s="17" t="n">
        <v>0</v>
      </c>
      <c r="L190" s="17" t="n">
        <v>0</v>
      </c>
      <c r="M190" s="16">
        <f>L190/K190</f>
        <v/>
      </c>
      <c r="N190" s="16">
        <f>L190/J190</f>
        <v/>
      </c>
      <c r="O190" s="18" t="n">
        <v>0</v>
      </c>
      <c r="P190" s="18" t="n">
        <v>0</v>
      </c>
      <c r="Q190" s="16">
        <f>P190/O190</f>
        <v/>
      </c>
      <c r="R190" s="1" t="n">
        <v>690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</row>
    <row r="191">
      <c r="A191" s="1" t="inlineStr">
        <is>
          <t>serous cystadenocarcinoma</t>
        </is>
      </c>
      <c r="B191" s="1" t="inlineStr">
        <is>
          <t>MONDO_0024621</t>
        </is>
      </c>
      <c r="C191" s="1" t="inlineStr">
        <is>
          <t>name</t>
        </is>
      </c>
      <c r="D191" s="1" t="n">
        <v>0.05</v>
      </c>
      <c r="E191" s="15" t="n">
        <v>0</v>
      </c>
      <c r="F191" s="15" t="n">
        <v>56</v>
      </c>
      <c r="G191" s="15" t="n">
        <v>0</v>
      </c>
      <c r="H191" s="16">
        <f>G191/F191</f>
        <v/>
      </c>
      <c r="I191" s="16">
        <f>G191/E191</f>
        <v/>
      </c>
      <c r="J191" s="17" t="n">
        <v>0</v>
      </c>
      <c r="K191" s="17" t="n">
        <v>803</v>
      </c>
      <c r="L191" s="17" t="n">
        <v>0</v>
      </c>
      <c r="M191" s="16">
        <f>L191/K191</f>
        <v/>
      </c>
      <c r="N191" s="16">
        <f>L191/J191</f>
        <v/>
      </c>
      <c r="O191" s="18" t="n">
        <v>2</v>
      </c>
      <c r="P191" s="18" t="n">
        <v>0</v>
      </c>
      <c r="Q191" s="16">
        <f>P191/O191</f>
        <v/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</row>
    <row r="192">
      <c r="A192" s="1" t="inlineStr">
        <is>
          <t>sickle cell anemia</t>
        </is>
      </c>
      <c r="B192" s="1" t="inlineStr">
        <is>
          <t>MONDO_0011382</t>
        </is>
      </c>
      <c r="C192" s="1" t="inlineStr">
        <is>
          <t>name</t>
        </is>
      </c>
      <c r="D192" s="1" t="n">
        <v>0.05</v>
      </c>
      <c r="E192" s="15" t="n">
        <v>12</v>
      </c>
      <c r="F192" s="15" t="n">
        <v>117</v>
      </c>
      <c r="G192" s="15" t="n">
        <v>3</v>
      </c>
      <c r="H192" s="16">
        <f>G192/F192</f>
        <v/>
      </c>
      <c r="I192" s="16">
        <f>G192/E192</f>
        <v/>
      </c>
      <c r="J192" s="17" t="n">
        <v>24</v>
      </c>
      <c r="K192" s="17" t="n">
        <v>911</v>
      </c>
      <c r="L192" s="17" t="n">
        <v>15</v>
      </c>
      <c r="M192" s="16">
        <f>L192/K192</f>
        <v/>
      </c>
      <c r="N192" s="16">
        <f>L192/J192</f>
        <v/>
      </c>
      <c r="O192" s="18" t="n">
        <v>9</v>
      </c>
      <c r="P192" s="18" t="n">
        <v>0</v>
      </c>
      <c r="Q192" s="16">
        <f>P192/O192</f>
        <v/>
      </c>
      <c r="R192" s="1" t="n">
        <v>1124</v>
      </c>
      <c r="S192" s="1" t="n">
        <v>18</v>
      </c>
      <c r="T192" s="1" t="n">
        <v>4</v>
      </c>
      <c r="U192" s="1" t="n">
        <v>15</v>
      </c>
      <c r="V192" s="1" t="n">
        <v>17</v>
      </c>
      <c r="W192" s="1" t="n">
        <v>7</v>
      </c>
      <c r="X192" s="1" t="n">
        <v>2</v>
      </c>
      <c r="Y192" s="1" t="n">
        <v>4</v>
      </c>
      <c r="Z192" s="1" t="n">
        <v>19</v>
      </c>
      <c r="AA192" s="1" t="n">
        <v>1</v>
      </c>
      <c r="AB192" s="1" t="n">
        <v>1</v>
      </c>
      <c r="AC192" s="1" t="n">
        <v>8</v>
      </c>
      <c r="AD192" s="1" t="n">
        <v>3</v>
      </c>
      <c r="AE192" s="1" t="n">
        <v>7</v>
      </c>
      <c r="AF192" s="1" t="n">
        <v>1</v>
      </c>
      <c r="AG192" s="1" t="n">
        <v>0</v>
      </c>
      <c r="AH192" s="1" t="n">
        <v>1</v>
      </c>
      <c r="AI192" s="1" t="n">
        <v>0</v>
      </c>
      <c r="AJ192" s="1" t="n">
        <v>0</v>
      </c>
      <c r="AK192" s="1" t="n">
        <v>0</v>
      </c>
      <c r="AL192" s="1" t="n">
        <v>2</v>
      </c>
      <c r="AM192" s="1" t="n">
        <v>1</v>
      </c>
    </row>
    <row r="193">
      <c r="A193" s="1" t="inlineStr">
        <is>
          <t>skin squamous cell carcinoma</t>
        </is>
      </c>
      <c r="B193" s="1" t="inlineStr">
        <is>
          <t>MONDO_0002529</t>
        </is>
      </c>
      <c r="C193" s="1" t="inlineStr">
        <is>
          <t>name</t>
        </is>
      </c>
      <c r="D193" s="1" t="n">
        <v>0.05</v>
      </c>
      <c r="E193" s="15" t="n">
        <v>2</v>
      </c>
      <c r="F193" s="15" t="n">
        <v>328</v>
      </c>
      <c r="G193" s="15" t="n">
        <v>2</v>
      </c>
      <c r="H193" s="16">
        <f>G193/F193</f>
        <v/>
      </c>
      <c r="I193" s="16">
        <f>G193/E193</f>
        <v/>
      </c>
      <c r="J193" s="17" t="n">
        <v>0</v>
      </c>
      <c r="K193" s="17" t="n">
        <v>358</v>
      </c>
      <c r="L193" s="17" t="n">
        <v>0</v>
      </c>
      <c r="M193" s="16">
        <f>L193/K193</f>
        <v/>
      </c>
      <c r="N193" s="16">
        <f>L193/J193</f>
        <v/>
      </c>
      <c r="O193" s="18" t="n">
        <v>16</v>
      </c>
      <c r="P193" s="18" t="n">
        <v>0</v>
      </c>
      <c r="Q193" s="16">
        <f>P193/O193</f>
        <v/>
      </c>
      <c r="R193" s="1" t="n">
        <v>76</v>
      </c>
      <c r="S193" s="1" t="n">
        <v>2</v>
      </c>
      <c r="T193" s="1" t="n">
        <v>0</v>
      </c>
      <c r="U193" s="1" t="n">
        <v>1</v>
      </c>
      <c r="V193" s="1" t="n">
        <v>2</v>
      </c>
      <c r="W193" s="1" t="n">
        <v>0</v>
      </c>
      <c r="X193" s="1" t="n">
        <v>0</v>
      </c>
      <c r="Y193" s="1" t="n">
        <v>1</v>
      </c>
      <c r="Z193" s="1" t="n">
        <v>2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5</v>
      </c>
      <c r="AK193" s="1" t="n">
        <v>4</v>
      </c>
      <c r="AL193" s="1" t="n">
        <v>6</v>
      </c>
      <c r="AM193" s="1" t="n">
        <v>0</v>
      </c>
    </row>
    <row r="194">
      <c r="A194" s="1" t="inlineStr">
        <is>
          <t>swine influenza</t>
        </is>
      </c>
      <c r="B194" s="1" t="inlineStr">
        <is>
          <t>EFO_0005226</t>
        </is>
      </c>
      <c r="C194" s="1" t="inlineStr">
        <is>
          <t>name</t>
        </is>
      </c>
      <c r="D194" s="1" t="n">
        <v>0.05</v>
      </c>
      <c r="E194" s="15" t="n">
        <v>0</v>
      </c>
      <c r="F194" s="15" t="n">
        <v>310</v>
      </c>
      <c r="G194" s="15" t="n">
        <v>0</v>
      </c>
      <c r="H194" s="16">
        <f>G194/F194</f>
        <v/>
      </c>
      <c r="I194" s="16">
        <f>G194/E194</f>
        <v/>
      </c>
      <c r="J194" s="17" t="n">
        <v>0</v>
      </c>
      <c r="K194" s="17" t="n">
        <v>1</v>
      </c>
      <c r="L194" s="17" t="n">
        <v>0</v>
      </c>
      <c r="M194" s="16">
        <f>L194/K194</f>
        <v/>
      </c>
      <c r="N194" s="16">
        <f>L194/J194</f>
        <v/>
      </c>
      <c r="O194" s="18" t="n">
        <v>0</v>
      </c>
      <c r="P194" s="18" t="n">
        <v>0</v>
      </c>
      <c r="Q194" s="16">
        <f>P194/O194</f>
        <v/>
      </c>
      <c r="R194" s="1" t="n">
        <v>6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</row>
    <row r="195">
      <c r="A195" s="1" t="inlineStr">
        <is>
          <t>tendinitis</t>
        </is>
      </c>
      <c r="B195" s="1" t="inlineStr">
        <is>
          <t>MONDO_0004857</t>
        </is>
      </c>
      <c r="C195" s="1" t="inlineStr">
        <is>
          <t>name</t>
        </is>
      </c>
      <c r="D195" s="1" t="n">
        <v>0.05</v>
      </c>
      <c r="E195" s="15" t="n">
        <v>1</v>
      </c>
      <c r="F195" s="15" t="n">
        <v>73</v>
      </c>
      <c r="G195" s="15" t="n">
        <v>0</v>
      </c>
      <c r="H195" s="16">
        <f>G195/F195</f>
        <v/>
      </c>
      <c r="I195" s="16">
        <f>G195/E195</f>
        <v/>
      </c>
      <c r="J195" s="17" t="n">
        <v>2</v>
      </c>
      <c r="K195" s="17" t="n">
        <v>88</v>
      </c>
      <c r="L195" s="17" t="n">
        <v>0</v>
      </c>
      <c r="M195" s="16">
        <f>L195/K195</f>
        <v/>
      </c>
      <c r="N195" s="16">
        <f>L195/J195</f>
        <v/>
      </c>
      <c r="O195" s="18" t="n">
        <v>0</v>
      </c>
      <c r="P195" s="18" t="n">
        <v>0</v>
      </c>
      <c r="Q195" s="16">
        <f>P195/O195</f>
        <v/>
      </c>
      <c r="R195" s="1" t="n">
        <v>203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</row>
    <row r="196">
      <c r="A196" s="1" t="inlineStr">
        <is>
          <t>Turner syndrome</t>
        </is>
      </c>
      <c r="B196" s="1" t="inlineStr">
        <is>
          <t>MONDO_0019499</t>
        </is>
      </c>
      <c r="C196" s="1" t="inlineStr">
        <is>
          <t>name</t>
        </is>
      </c>
      <c r="D196" s="1" t="n">
        <v>0.05</v>
      </c>
      <c r="E196" s="15" t="n">
        <v>1</v>
      </c>
      <c r="F196" s="15" t="n">
        <v>147</v>
      </c>
      <c r="G196" s="15" t="n">
        <v>1</v>
      </c>
      <c r="H196" s="16">
        <f>G196/F196</f>
        <v/>
      </c>
      <c r="I196" s="16">
        <f>G196/E196</f>
        <v/>
      </c>
      <c r="J196" s="17" t="n">
        <v>1</v>
      </c>
      <c r="K196" s="17" t="n">
        <v>239</v>
      </c>
      <c r="L196" s="17" t="n">
        <v>1</v>
      </c>
      <c r="M196" s="16">
        <f>L196/K196</f>
        <v/>
      </c>
      <c r="N196" s="16">
        <f>L196/J196</f>
        <v/>
      </c>
      <c r="O196" s="18" t="n">
        <v>4</v>
      </c>
      <c r="P196" s="18" t="n">
        <v>0</v>
      </c>
      <c r="Q196" s="16">
        <f>P196/O196</f>
        <v/>
      </c>
      <c r="R196" s="1" t="n">
        <v>226</v>
      </c>
      <c r="S196" s="1" t="n">
        <v>2</v>
      </c>
      <c r="T196" s="1" t="n">
        <v>0</v>
      </c>
      <c r="U196" s="1" t="n">
        <v>1</v>
      </c>
      <c r="V196" s="1" t="n">
        <v>0</v>
      </c>
      <c r="W196" s="1" t="n">
        <v>2</v>
      </c>
      <c r="X196" s="1" t="n">
        <v>0</v>
      </c>
      <c r="Y196" s="1" t="n">
        <v>0</v>
      </c>
      <c r="Z196" s="1" t="n">
        <v>2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1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4</v>
      </c>
      <c r="AK196" s="1" t="n">
        <v>0</v>
      </c>
      <c r="AL196" s="1" t="n">
        <v>0</v>
      </c>
      <c r="AM196" s="1" t="n">
        <v>1</v>
      </c>
    </row>
    <row r="197">
      <c r="A197" s="1" t="inlineStr">
        <is>
          <t>type 1 diabetes mellitus</t>
        </is>
      </c>
      <c r="B197" s="1" t="inlineStr">
        <is>
          <t>MONDO_0005147</t>
        </is>
      </c>
      <c r="C197" s="1" t="inlineStr">
        <is>
          <t>name</t>
        </is>
      </c>
      <c r="D197" s="1" t="n">
        <v>0.05</v>
      </c>
      <c r="E197" s="15" t="n">
        <v>12</v>
      </c>
      <c r="F197" s="15" t="n">
        <v>178</v>
      </c>
      <c r="G197" s="15" t="n">
        <v>2</v>
      </c>
      <c r="H197" s="16">
        <f>G197/F197</f>
        <v/>
      </c>
      <c r="I197" s="16">
        <f>G197/E197</f>
        <v/>
      </c>
      <c r="J197" s="17" t="n">
        <v>31</v>
      </c>
      <c r="K197" s="17" t="n">
        <v>201</v>
      </c>
      <c r="L197" s="17" t="n">
        <v>8</v>
      </c>
      <c r="M197" s="16">
        <f>L197/K197</f>
        <v/>
      </c>
      <c r="N197" s="16">
        <f>L197/J197</f>
        <v/>
      </c>
      <c r="O197" s="18" t="n">
        <v>3</v>
      </c>
      <c r="P197" s="18" t="n">
        <v>0</v>
      </c>
      <c r="Q197" s="16">
        <f>P197/O197</f>
        <v/>
      </c>
      <c r="R197" s="1" t="n">
        <v>1788</v>
      </c>
      <c r="S197" s="1" t="n">
        <v>10</v>
      </c>
      <c r="T197" s="1" t="n">
        <v>1</v>
      </c>
      <c r="U197" s="1" t="n">
        <v>4</v>
      </c>
      <c r="V197" s="1" t="n">
        <v>13</v>
      </c>
      <c r="W197" s="1" t="n">
        <v>7</v>
      </c>
      <c r="X197" s="1" t="n">
        <v>0</v>
      </c>
      <c r="Y197" s="1" t="n">
        <v>0</v>
      </c>
      <c r="Z197" s="1" t="n">
        <v>16</v>
      </c>
      <c r="AA197" s="1" t="n">
        <v>1</v>
      </c>
      <c r="AB197" s="1" t="n">
        <v>1</v>
      </c>
      <c r="AC197" s="1" t="n">
        <v>2</v>
      </c>
      <c r="AD197" s="1" t="n">
        <v>0</v>
      </c>
      <c r="AE197" s="1" t="n">
        <v>3</v>
      </c>
      <c r="AF197" s="1" t="n">
        <v>0</v>
      </c>
      <c r="AG197" s="1" t="n">
        <v>0</v>
      </c>
      <c r="AH197" s="1" t="n">
        <v>2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</row>
    <row r="198">
      <c r="A198" s="1" t="inlineStr">
        <is>
          <t>ulcerative colitis</t>
        </is>
      </c>
      <c r="B198" s="1" t="inlineStr">
        <is>
          <t>EFO_0000729</t>
        </is>
      </c>
      <c r="C198" s="1" t="inlineStr">
        <is>
          <t>name</t>
        </is>
      </c>
      <c r="D198" s="1" t="n">
        <v>0.05</v>
      </c>
      <c r="E198" s="15" t="n">
        <v>10</v>
      </c>
      <c r="F198" s="15" t="n">
        <v>207</v>
      </c>
      <c r="G198" s="15" t="n">
        <v>5</v>
      </c>
      <c r="H198" s="16">
        <f>G198/F198</f>
        <v/>
      </c>
      <c r="I198" s="16">
        <f>G198/E198</f>
        <v/>
      </c>
      <c r="J198" s="17" t="n">
        <v>24</v>
      </c>
      <c r="K198" s="17" t="n">
        <v>68</v>
      </c>
      <c r="L198" s="17" t="n">
        <v>3</v>
      </c>
      <c r="M198" s="16">
        <f>L198/K198</f>
        <v/>
      </c>
      <c r="N198" s="16">
        <f>L198/J198</f>
        <v/>
      </c>
      <c r="O198" s="18" t="n">
        <v>1</v>
      </c>
      <c r="P198" s="18" t="n">
        <v>0</v>
      </c>
      <c r="Q198" s="16">
        <f>P198/O198</f>
        <v/>
      </c>
      <c r="R198" s="1" t="n">
        <v>1192</v>
      </c>
      <c r="S198" s="1" t="n">
        <v>8</v>
      </c>
      <c r="T198" s="1" t="n">
        <v>0</v>
      </c>
      <c r="U198" s="1" t="n">
        <v>6</v>
      </c>
      <c r="V198" s="1" t="n">
        <v>11</v>
      </c>
      <c r="W198" s="1" t="n">
        <v>9</v>
      </c>
      <c r="X198" s="1" t="n">
        <v>9</v>
      </c>
      <c r="Y198" s="1" t="n">
        <v>2</v>
      </c>
      <c r="Z198" s="1" t="n">
        <v>9</v>
      </c>
      <c r="AA198" s="1" t="n">
        <v>0</v>
      </c>
      <c r="AB198" s="1" t="n">
        <v>5</v>
      </c>
      <c r="AC198" s="1" t="n">
        <v>4</v>
      </c>
      <c r="AD198" s="1" t="n">
        <v>0</v>
      </c>
      <c r="AE198" s="1" t="n">
        <v>5</v>
      </c>
      <c r="AF198" s="1" t="n">
        <v>4</v>
      </c>
      <c r="AG198" s="1" t="n">
        <v>6</v>
      </c>
      <c r="AH198" s="1" t="n">
        <v>0</v>
      </c>
      <c r="AI198" s="1" t="n">
        <v>1</v>
      </c>
      <c r="AJ198" s="1" t="n">
        <v>4</v>
      </c>
      <c r="AK198" s="1" t="n">
        <v>4</v>
      </c>
      <c r="AL198" s="1" t="n">
        <v>3</v>
      </c>
      <c r="AM198" s="1" t="n">
        <v>2</v>
      </c>
    </row>
    <row r="199">
      <c r="A199" s="1" t="inlineStr">
        <is>
          <t>urticaria</t>
        </is>
      </c>
      <c r="B199" s="1" t="inlineStr">
        <is>
          <t>EFO_0005531</t>
        </is>
      </c>
      <c r="C199" s="1" t="inlineStr">
        <is>
          <t>name</t>
        </is>
      </c>
      <c r="D199" s="1" t="n">
        <v>0.05</v>
      </c>
      <c r="E199" s="15" t="n">
        <v>4</v>
      </c>
      <c r="F199" s="15" t="n">
        <v>76</v>
      </c>
      <c r="G199" s="15" t="n">
        <v>0</v>
      </c>
      <c r="H199" s="16">
        <f>G199/F199</f>
        <v/>
      </c>
      <c r="I199" s="16">
        <f>G199/E199</f>
        <v/>
      </c>
      <c r="J199" s="17" t="n">
        <v>9</v>
      </c>
      <c r="K199" s="17" t="n">
        <v>841</v>
      </c>
      <c r="L199" s="17" t="n">
        <v>6</v>
      </c>
      <c r="M199" s="16">
        <f>L199/K199</f>
        <v/>
      </c>
      <c r="N199" s="16">
        <f>L199/J199</f>
        <v/>
      </c>
      <c r="O199" s="18" t="n">
        <v>3</v>
      </c>
      <c r="P199" s="18" t="n">
        <v>0</v>
      </c>
      <c r="Q199" s="16">
        <f>P199/O199</f>
        <v/>
      </c>
      <c r="R199" s="1" t="n">
        <v>527</v>
      </c>
      <c r="S199" s="1" t="n">
        <v>6</v>
      </c>
      <c r="T199" s="1" t="n">
        <v>0</v>
      </c>
      <c r="U199" s="1" t="n">
        <v>4</v>
      </c>
      <c r="V199" s="1" t="n">
        <v>2</v>
      </c>
      <c r="W199" s="1" t="n">
        <v>5</v>
      </c>
      <c r="X199" s="1" t="n">
        <v>1</v>
      </c>
      <c r="Y199" s="1" t="n">
        <v>0</v>
      </c>
      <c r="Z199" s="1" t="n">
        <v>7</v>
      </c>
      <c r="AA199" s="1" t="n">
        <v>0</v>
      </c>
      <c r="AB199" s="1" t="n">
        <v>0</v>
      </c>
      <c r="AC199" s="1" t="n">
        <v>2</v>
      </c>
      <c r="AD199" s="1" t="n">
        <v>0</v>
      </c>
      <c r="AE199" s="1" t="n">
        <v>1</v>
      </c>
      <c r="AF199" s="1" t="n">
        <v>1</v>
      </c>
      <c r="AG199" s="1" t="n">
        <v>1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1</v>
      </c>
      <c r="AM199" s="1" t="n">
        <v>0</v>
      </c>
    </row>
    <row r="200">
      <c r="A200" s="1" t="inlineStr">
        <is>
          <t>uterine fibroid</t>
        </is>
      </c>
      <c r="B200" s="1" t="inlineStr">
        <is>
          <t>EFO_0000731</t>
        </is>
      </c>
      <c r="C200" s="1" t="inlineStr">
        <is>
          <t>name</t>
        </is>
      </c>
      <c r="D200" s="1" t="n">
        <v>0.05</v>
      </c>
      <c r="E200" s="15" t="n">
        <v>3</v>
      </c>
      <c r="F200" s="15" t="n">
        <v>116</v>
      </c>
      <c r="G200" s="15" t="n">
        <v>0</v>
      </c>
      <c r="H200" s="16">
        <f>G200/F200</f>
        <v/>
      </c>
      <c r="I200" s="16">
        <f>G200/E200</f>
        <v/>
      </c>
      <c r="J200" s="17" t="n">
        <v>7</v>
      </c>
      <c r="K200" s="17" t="n">
        <v>347</v>
      </c>
      <c r="L200" s="17" t="n">
        <v>3</v>
      </c>
      <c r="M200" s="16">
        <f>L200/K200</f>
        <v/>
      </c>
      <c r="N200" s="16">
        <f>L200/J200</f>
        <v/>
      </c>
      <c r="O200" s="18" t="n">
        <v>4</v>
      </c>
      <c r="P200" s="18" t="n">
        <v>0</v>
      </c>
      <c r="Q200" s="16">
        <f>P200/O200</f>
        <v/>
      </c>
      <c r="R200" s="1" t="n">
        <v>275</v>
      </c>
      <c r="S200" s="1" t="n">
        <v>3</v>
      </c>
      <c r="T200" s="1" t="n">
        <v>0</v>
      </c>
      <c r="U200" s="1" t="n">
        <v>2</v>
      </c>
      <c r="V200" s="1" t="n">
        <v>2</v>
      </c>
      <c r="W200" s="1" t="n">
        <v>1</v>
      </c>
      <c r="X200" s="1" t="n">
        <v>0</v>
      </c>
      <c r="Y200" s="1" t="n">
        <v>0</v>
      </c>
      <c r="Z200" s="1" t="n">
        <v>4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1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</row>
    <row r="201">
      <c r="A201" s="1" t="inlineStr">
        <is>
          <t>Venezuelan equine encephalitis</t>
        </is>
      </c>
      <c r="B201" s="1" t="inlineStr">
        <is>
          <t>EFO_0007534</t>
        </is>
      </c>
      <c r="C201" s="1" t="inlineStr">
        <is>
          <t>name</t>
        </is>
      </c>
      <c r="D201" s="1" t="n">
        <v>0.05</v>
      </c>
      <c r="E201" s="15" t="n">
        <v>0</v>
      </c>
      <c r="F201" s="15" t="n">
        <v>111</v>
      </c>
      <c r="G201" s="15" t="n">
        <v>0</v>
      </c>
      <c r="H201" s="16">
        <f>G201/F201</f>
        <v/>
      </c>
      <c r="I201" s="16">
        <f>G201/E201</f>
        <v/>
      </c>
      <c r="J201" s="17" t="n">
        <v>0</v>
      </c>
      <c r="K201" s="17" t="n">
        <v>0</v>
      </c>
      <c r="L201" s="17" t="n">
        <v>0</v>
      </c>
      <c r="M201" s="16">
        <f>L201/K201</f>
        <v/>
      </c>
      <c r="N201" s="16">
        <f>L201/J201</f>
        <v/>
      </c>
      <c r="O201" s="18" t="n">
        <v>0</v>
      </c>
      <c r="P201" s="18" t="n">
        <v>0</v>
      </c>
      <c r="Q201" s="16">
        <f>P201/O201</f>
        <v/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6</v>
      </c>
      <c r="AK201" s="1" t="n">
        <v>0</v>
      </c>
      <c r="AL201" s="1" t="n">
        <v>1</v>
      </c>
      <c r="AM201" s="1" t="n">
        <v>1</v>
      </c>
    </row>
    <row r="202">
      <c r="A202" s="1" t="inlineStr">
        <is>
          <t>Viral cardiomyopathy</t>
        </is>
      </c>
      <c r="B202" s="1" t="inlineStr">
        <is>
          <t>EFO_0002629</t>
        </is>
      </c>
      <c r="C202" s="1" t="inlineStr">
        <is>
          <t>name</t>
        </is>
      </c>
      <c r="D202" s="1" t="n">
        <v>0.05</v>
      </c>
      <c r="E202" s="15" t="n">
        <v>0</v>
      </c>
      <c r="F202" s="15" t="n">
        <v>33</v>
      </c>
      <c r="G202" s="15" t="n">
        <v>0</v>
      </c>
      <c r="H202" s="16">
        <f>G202/F202</f>
        <v/>
      </c>
      <c r="I202" s="16">
        <f>G202/E202</f>
        <v/>
      </c>
      <c r="J202" s="17" t="n">
        <v>0</v>
      </c>
      <c r="K202" s="17" t="n">
        <v>935</v>
      </c>
      <c r="L202" s="17" t="n">
        <v>0</v>
      </c>
      <c r="M202" s="16">
        <f>L202/K202</f>
        <v/>
      </c>
      <c r="N202" s="16">
        <f>L202/J202</f>
        <v/>
      </c>
      <c r="O202" s="18" t="n">
        <v>7</v>
      </c>
      <c r="P202" s="18" t="n">
        <v>0</v>
      </c>
      <c r="Q202" s="16">
        <f>P202/O202</f>
        <v/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4</v>
      </c>
      <c r="AK202" s="1" t="n">
        <v>1</v>
      </c>
      <c r="AL202" s="1" t="n">
        <v>3</v>
      </c>
      <c r="AM202" s="1" t="n">
        <v>2</v>
      </c>
    </row>
    <row r="203">
      <c r="A203" s="1" t="inlineStr">
        <is>
          <t>Waldenstrom Macroglobulinemia</t>
        </is>
      </c>
      <c r="B203" s="1" t="inlineStr">
        <is>
          <t>EFO_0009441</t>
        </is>
      </c>
      <c r="C203" s="1" t="inlineStr">
        <is>
          <t>name</t>
        </is>
      </c>
      <c r="D203" s="1" t="n">
        <v>0.05</v>
      </c>
      <c r="E203" s="15" t="n">
        <v>13</v>
      </c>
      <c r="F203" s="15" t="n">
        <v>275</v>
      </c>
      <c r="G203" s="15" t="n">
        <v>5</v>
      </c>
      <c r="H203" s="16">
        <f>G203/F203</f>
        <v/>
      </c>
      <c r="I203" s="16">
        <f>G203/E203</f>
        <v/>
      </c>
      <c r="J203" s="17" t="n">
        <v>8</v>
      </c>
      <c r="K203" s="17" t="n">
        <v>498</v>
      </c>
      <c r="L203" s="17" t="n">
        <v>3</v>
      </c>
      <c r="M203" s="16">
        <f>L203/K203</f>
        <v/>
      </c>
      <c r="N203" s="16">
        <f>L203/J203</f>
        <v/>
      </c>
      <c r="O203" s="18" t="n">
        <v>23</v>
      </c>
      <c r="P203" s="18" t="n">
        <v>0</v>
      </c>
      <c r="Q203" s="16">
        <f>P203/O203</f>
        <v/>
      </c>
      <c r="R203" s="1" t="n">
        <v>560</v>
      </c>
      <c r="S203" s="1" t="n">
        <v>8</v>
      </c>
      <c r="T203" s="1" t="n">
        <v>0</v>
      </c>
      <c r="U203" s="1" t="n">
        <v>4</v>
      </c>
      <c r="V203" s="1" t="n">
        <v>8</v>
      </c>
      <c r="W203" s="1" t="n">
        <v>1</v>
      </c>
      <c r="X203" s="1" t="n">
        <v>0</v>
      </c>
      <c r="Y203" s="1" t="n">
        <v>0</v>
      </c>
      <c r="Z203" s="1" t="n">
        <v>9</v>
      </c>
      <c r="AA203" s="1" t="n">
        <v>0</v>
      </c>
      <c r="AB203" s="1" t="n">
        <v>1</v>
      </c>
      <c r="AC203" s="1" t="n">
        <v>1</v>
      </c>
      <c r="AD203" s="1" t="n">
        <v>0</v>
      </c>
      <c r="AE203" s="1" t="n">
        <v>2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</row>
    <row r="204">
      <c r="A204" s="1" t="inlineStr">
        <is>
          <t>West Nile fever</t>
        </is>
      </c>
      <c r="B204" s="1" t="inlineStr">
        <is>
          <t>MONDO_0002282</t>
        </is>
      </c>
      <c r="C204" s="1" t="inlineStr">
        <is>
          <t>name</t>
        </is>
      </c>
      <c r="D204" s="1" t="n">
        <v>0.05</v>
      </c>
      <c r="E204" s="15" t="n">
        <v>0</v>
      </c>
      <c r="F204" s="15" t="n">
        <v>189</v>
      </c>
      <c r="G204" s="15" t="n">
        <v>0</v>
      </c>
      <c r="H204" s="16">
        <f>G204/F204</f>
        <v/>
      </c>
      <c r="I204" s="16">
        <f>G204/E204</f>
        <v/>
      </c>
      <c r="J204" s="17" t="n">
        <v>0</v>
      </c>
      <c r="K204" s="17" t="n">
        <v>4</v>
      </c>
      <c r="L204" s="17" t="n">
        <v>0</v>
      </c>
      <c r="M204" s="16">
        <f>L204/K204</f>
        <v/>
      </c>
      <c r="N204" s="16">
        <f>L204/J204</f>
        <v/>
      </c>
      <c r="O204" s="18" t="n">
        <v>0</v>
      </c>
      <c r="P204" s="18" t="n">
        <v>0</v>
      </c>
      <c r="Q204" s="16">
        <f>P204/O204</f>
        <v/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4</v>
      </c>
      <c r="AK204" s="1" t="n">
        <v>1</v>
      </c>
      <c r="AL204" s="1" t="n">
        <v>0</v>
      </c>
      <c r="AM204" s="1" t="n">
        <v>0</v>
      </c>
    </row>
    <row r="205">
      <c r="A205" s="14" t="inlineStr">
        <is>
          <t>Average</t>
        </is>
      </c>
      <c r="B205" s="14" t="n"/>
      <c r="C205" s="14" t="n"/>
      <c r="D205" s="14" t="n"/>
      <c r="E205" s="14">
        <f>AVERAGE(E2:E204)</f>
        <v/>
      </c>
      <c r="F205" s="14">
        <f>AVERAGE(F2:F204)</f>
        <v/>
      </c>
      <c r="G205" s="14">
        <f>AVERAGE(G2:G204)</f>
        <v/>
      </c>
      <c r="H205" s="14">
        <f>AVERAGE(H2:H204)</f>
        <v/>
      </c>
      <c r="I205" s="14">
        <f>AVERAGE(I2:I204)</f>
        <v/>
      </c>
      <c r="J205" s="14">
        <f>AVERAGE(J2:J204)</f>
        <v/>
      </c>
      <c r="K205" s="14">
        <f>AVERAGE(K2:K204)</f>
        <v/>
      </c>
      <c r="L205" s="14">
        <f>AVERAGE(L2:L204)</f>
        <v/>
      </c>
      <c r="M205" s="14">
        <f>AVERAGE(M2:M204)</f>
        <v/>
      </c>
      <c r="N205" s="14">
        <f>AVERAGE(N2:N204)</f>
        <v/>
      </c>
      <c r="O205" s="14">
        <f>AVERAGE(O2:O204)</f>
        <v/>
      </c>
      <c r="P205" s="14">
        <f>AVERAGE(P2:P204)</f>
        <v/>
      </c>
      <c r="Q205" s="14">
        <f>AVERAGE(Q2:Q204)</f>
        <v/>
      </c>
      <c r="R205" s="14">
        <f>AVERAGE(R2:R204)</f>
        <v/>
      </c>
      <c r="S205" s="14">
        <f>AVERAGE(S2:S204)</f>
        <v/>
      </c>
      <c r="T205" s="14">
        <f>AVERAGE(T2:T204)</f>
        <v/>
      </c>
      <c r="U205" s="14">
        <f>AVERAGE(U2:U204)</f>
        <v/>
      </c>
      <c r="V205" s="14">
        <f>AVERAGE(V2:V204)</f>
        <v/>
      </c>
      <c r="W205" s="14">
        <f>AVERAGE(W2:W204)</f>
        <v/>
      </c>
      <c r="X205" s="14">
        <f>AVERAGE(X2:X204)</f>
        <v/>
      </c>
      <c r="Y205" s="14">
        <f>AVERAGE(Y2:Y204)</f>
        <v/>
      </c>
      <c r="Z205" s="14">
        <f>AVERAGE(Z2:Z204)</f>
        <v/>
      </c>
      <c r="AA205" s="14">
        <f>AVERAGE(AA2:AA204)</f>
        <v/>
      </c>
      <c r="AB205" s="14">
        <f>AVERAGE(AB2:AB204)</f>
        <v/>
      </c>
      <c r="AC205" s="14">
        <f>AVERAGE(AC2:AC204)</f>
        <v/>
      </c>
      <c r="AD205" s="14">
        <f>AVERAGE(AD2:AD204)</f>
        <v/>
      </c>
      <c r="AE205" s="14">
        <f>AVERAGE(AE2:AE204)</f>
        <v/>
      </c>
      <c r="AF205" s="14">
        <f>AVERAGE(AF2:AF204)</f>
        <v/>
      </c>
      <c r="AG205" s="14">
        <f>AVERAGE(AG2:AG204)</f>
        <v/>
      </c>
      <c r="AH205" s="14">
        <f>AVERAGE(AH2:AH204)</f>
        <v/>
      </c>
      <c r="AI205" s="14">
        <f>AVERAGE(AI2:AI204)</f>
        <v/>
      </c>
      <c r="AJ205" s="14">
        <f>AVERAGE(AJ2:AJ204)</f>
        <v/>
      </c>
      <c r="AK205" s="14">
        <f>AVERAGE(AK2:AK204)</f>
        <v/>
      </c>
      <c r="AL205" s="14">
        <f>AVERAGE(AL2:AL204)</f>
        <v/>
      </c>
      <c r="AM205" s="14">
        <f>AVERAGE(AM2:AM204)</f>
        <v/>
      </c>
    </row>
    <row r="206">
      <c r="E206" s="15" t="n"/>
      <c r="F206" s="15" t="n"/>
      <c r="G206" s="15" t="n"/>
      <c r="H206" s="16" t="n"/>
      <c r="I206" s="16" t="n"/>
      <c r="J206" s="17" t="n"/>
      <c r="K206" s="17" t="n"/>
      <c r="L206" s="17" t="n"/>
      <c r="M206" s="16" t="n"/>
      <c r="N206" s="16" t="n"/>
      <c r="O206" s="18" t="n"/>
      <c r="P206" s="18" t="n"/>
      <c r="Q206" s="16" t="n"/>
    </row>
    <row r="207">
      <c r="E207" s="15" t="n"/>
      <c r="F207" s="15" t="n"/>
      <c r="G207" s="15" t="n"/>
      <c r="H207" s="16" t="n"/>
      <c r="I207" s="16" t="n"/>
      <c r="J207" s="17" t="n"/>
      <c r="K207" s="17" t="n"/>
      <c r="L207" s="17" t="n"/>
      <c r="M207" s="16" t="n"/>
      <c r="N207" s="16" t="n"/>
      <c r="O207" s="18" t="n"/>
      <c r="P207" s="18" t="n"/>
      <c r="Q207" s="16" t="n"/>
    </row>
    <row r="208">
      <c r="E208" s="15" t="n"/>
      <c r="F208" s="15" t="n"/>
      <c r="G208" s="15" t="n"/>
      <c r="H208" s="16" t="n"/>
      <c r="I208" s="16" t="n"/>
      <c r="J208" s="17" t="n"/>
      <c r="K208" s="17" t="n"/>
      <c r="L208" s="17" t="n"/>
      <c r="M208" s="16" t="n"/>
      <c r="N208" s="16" t="n"/>
      <c r="O208" s="18" t="n"/>
      <c r="P208" s="18" t="n"/>
      <c r="Q208" s="16" t="n"/>
    </row>
    <row r="209">
      <c r="E209" s="15" t="n"/>
      <c r="F209" s="15" t="n"/>
      <c r="G209" s="15" t="n"/>
      <c r="H209" s="16" t="n"/>
      <c r="I209" s="16" t="n"/>
      <c r="J209" s="17" t="n"/>
      <c r="K209" s="17" t="n"/>
      <c r="L209" s="17" t="n"/>
      <c r="M209" s="16" t="n"/>
      <c r="N209" s="16" t="n"/>
      <c r="O209" s="18" t="n"/>
      <c r="P209" s="18" t="n"/>
      <c r="Q209" s="16" t="n"/>
    </row>
    <row r="210">
      <c r="E210" s="15" t="n"/>
      <c r="F210" s="15" t="n"/>
      <c r="G210" s="15" t="n"/>
      <c r="H210" s="16" t="n"/>
      <c r="I210" s="16" t="n"/>
      <c r="J210" s="17" t="n"/>
      <c r="K210" s="17" t="n"/>
      <c r="L210" s="17" t="n"/>
      <c r="M210" s="16" t="n"/>
      <c r="N210" s="16" t="n"/>
      <c r="O210" s="18" t="n"/>
      <c r="P210" s="18" t="n"/>
      <c r="Q210" s="16" t="n"/>
    </row>
    <row r="211">
      <c r="E211" s="15" t="n"/>
      <c r="F211" s="15" t="n"/>
      <c r="G211" s="15" t="n"/>
      <c r="H211" s="16" t="n"/>
      <c r="I211" s="16" t="n"/>
      <c r="J211" s="17" t="n"/>
      <c r="K211" s="17" t="n"/>
      <c r="L211" s="17" t="n"/>
      <c r="M211" s="16" t="n"/>
      <c r="N211" s="16" t="n"/>
      <c r="O211" s="18" t="n"/>
      <c r="P211" s="18" t="n"/>
      <c r="Q211" s="16" t="n"/>
    </row>
    <row r="212">
      <c r="E212" s="15" t="n"/>
      <c r="F212" s="15" t="n"/>
      <c r="G212" s="15" t="n"/>
      <c r="H212" s="16" t="n"/>
      <c r="I212" s="16" t="n"/>
      <c r="J212" s="17" t="n"/>
      <c r="K212" s="17" t="n"/>
      <c r="L212" s="17" t="n"/>
      <c r="M212" s="16" t="n"/>
      <c r="N212" s="16" t="n"/>
      <c r="O212" s="18" t="n"/>
      <c r="P212" s="18" t="n"/>
      <c r="Q212" s="16" t="n"/>
    </row>
    <row r="213">
      <c r="E213" s="15" t="n"/>
      <c r="F213" s="15" t="n"/>
      <c r="G213" s="15" t="n"/>
      <c r="H213" s="16" t="n"/>
      <c r="I213" s="16" t="n"/>
      <c r="J213" s="17" t="n"/>
      <c r="K213" s="17" t="n"/>
      <c r="L213" s="17" t="n"/>
      <c r="M213" s="16" t="n"/>
      <c r="N213" s="16" t="n"/>
      <c r="O213" s="18" t="n"/>
      <c r="P213" s="18" t="n"/>
      <c r="Q213" s="16" t="n"/>
    </row>
    <row r="214">
      <c r="E214" s="15" t="n"/>
      <c r="F214" s="15" t="n"/>
      <c r="G214" s="15" t="n"/>
      <c r="H214" s="16" t="n"/>
      <c r="I214" s="16" t="n"/>
      <c r="J214" s="17" t="n"/>
      <c r="K214" s="17" t="n"/>
      <c r="L214" s="17" t="n"/>
      <c r="M214" s="16" t="n"/>
      <c r="N214" s="16" t="n"/>
      <c r="O214" s="18" t="n"/>
      <c r="P214" s="18" t="n"/>
      <c r="Q214" s="16" t="n"/>
    </row>
    <row r="215">
      <c r="E215" s="15" t="n"/>
      <c r="F215" s="15" t="n"/>
      <c r="G215" s="15" t="n"/>
      <c r="H215" s="16" t="n"/>
      <c r="I215" s="16" t="n"/>
      <c r="J215" s="17" t="n"/>
      <c r="K215" s="17" t="n"/>
      <c r="L215" s="17" t="n"/>
      <c r="M215" s="16" t="n"/>
      <c r="N215" s="16" t="n"/>
      <c r="O215" s="18" t="n"/>
      <c r="P215" s="18" t="n"/>
      <c r="Q215" s="16" t="n"/>
    </row>
    <row r="216">
      <c r="E216" s="15" t="n"/>
      <c r="F216" s="15" t="n"/>
      <c r="G216" s="15" t="n"/>
      <c r="H216" s="16" t="n"/>
      <c r="I216" s="16" t="n"/>
      <c r="J216" s="17" t="n"/>
      <c r="K216" s="17" t="n"/>
      <c r="L216" s="17" t="n"/>
      <c r="M216" s="16" t="n"/>
      <c r="N216" s="16" t="n"/>
      <c r="O216" s="18" t="n"/>
      <c r="P216" s="18" t="n"/>
      <c r="Q216" s="16" t="n"/>
    </row>
    <row r="217">
      <c r="E217" s="15" t="n"/>
      <c r="F217" s="15" t="n"/>
      <c r="G217" s="15" t="n"/>
      <c r="H217" s="16" t="n"/>
      <c r="I217" s="16" t="n"/>
      <c r="J217" s="17" t="n"/>
      <c r="K217" s="17" t="n"/>
      <c r="L217" s="17" t="n"/>
      <c r="M217" s="16" t="n"/>
      <c r="N217" s="16" t="n"/>
      <c r="O217" s="18" t="n"/>
      <c r="P217" s="18" t="n"/>
      <c r="Q217" s="16" t="n"/>
    </row>
    <row r="218">
      <c r="E218" s="15" t="n"/>
      <c r="F218" s="15" t="n"/>
      <c r="G218" s="15" t="n"/>
      <c r="H218" s="16" t="n"/>
      <c r="I218" s="16" t="n"/>
      <c r="J218" s="17" t="n"/>
      <c r="K218" s="17" t="n"/>
      <c r="L218" s="17" t="n"/>
      <c r="M218" s="16" t="n"/>
      <c r="N218" s="16" t="n"/>
      <c r="O218" s="18" t="n"/>
      <c r="P218" s="18" t="n"/>
      <c r="Q218" s="16" t="n"/>
    </row>
    <row r="219">
      <c r="E219" s="15" t="n"/>
      <c r="F219" s="15" t="n"/>
      <c r="G219" s="15" t="n"/>
      <c r="H219" s="16" t="n"/>
      <c r="I219" s="16" t="n"/>
      <c r="J219" s="17" t="n"/>
      <c r="K219" s="17" t="n"/>
      <c r="L219" s="17" t="n"/>
      <c r="M219" s="16" t="n"/>
      <c r="N219" s="16" t="n"/>
      <c r="O219" s="18" t="n"/>
      <c r="P219" s="18" t="n"/>
      <c r="Q219" s="16" t="n"/>
    </row>
    <row r="220">
      <c r="E220" s="15" t="n"/>
      <c r="F220" s="15" t="n"/>
      <c r="G220" s="15" t="n"/>
      <c r="H220" s="16" t="n"/>
      <c r="I220" s="16" t="n"/>
      <c r="J220" s="17" t="n"/>
      <c r="K220" s="17" t="n"/>
      <c r="L220" s="17" t="n"/>
      <c r="M220" s="16" t="n"/>
      <c r="N220" s="16" t="n"/>
      <c r="O220" s="18" t="n"/>
      <c r="P220" s="18" t="n"/>
      <c r="Q220" s="16" t="n"/>
    </row>
    <row r="221">
      <c r="E221" s="15" t="n"/>
      <c r="F221" s="15" t="n"/>
      <c r="G221" s="15" t="n"/>
      <c r="H221" s="16" t="n"/>
      <c r="I221" s="16" t="n"/>
      <c r="J221" s="17" t="n"/>
      <c r="K221" s="17" t="n"/>
      <c r="L221" s="17" t="n"/>
      <c r="M221" s="16" t="n"/>
      <c r="N221" s="16" t="n"/>
      <c r="O221" s="18" t="n"/>
      <c r="P221" s="18" t="n"/>
      <c r="Q221" s="16" t="n"/>
    </row>
    <row r="222">
      <c r="E222" s="15" t="n"/>
      <c r="F222" s="15" t="n"/>
      <c r="G222" s="15" t="n"/>
      <c r="H222" s="16" t="n"/>
      <c r="I222" s="16" t="n"/>
      <c r="J222" s="17" t="n"/>
      <c r="K222" s="17" t="n"/>
      <c r="L222" s="17" t="n"/>
      <c r="M222" s="16" t="n"/>
      <c r="N222" s="16" t="n"/>
      <c r="O222" s="18" t="n"/>
      <c r="P222" s="18" t="n"/>
      <c r="Q222" s="16" t="n"/>
    </row>
    <row r="223">
      <c r="E223" s="15" t="n"/>
      <c r="F223" s="15" t="n"/>
      <c r="G223" s="15" t="n"/>
      <c r="H223" s="16" t="n"/>
      <c r="I223" s="16" t="n"/>
      <c r="J223" s="17" t="n"/>
      <c r="K223" s="17" t="n"/>
      <c r="L223" s="17" t="n"/>
      <c r="M223" s="16" t="n"/>
      <c r="N223" s="16" t="n"/>
      <c r="O223" s="18" t="n"/>
      <c r="P223" s="18" t="n"/>
      <c r="Q223" s="16" t="n"/>
    </row>
    <row r="224">
      <c r="E224" s="15" t="n"/>
      <c r="F224" s="15" t="n"/>
      <c r="G224" s="15" t="n"/>
      <c r="H224" s="16" t="n"/>
      <c r="I224" s="16" t="n"/>
      <c r="J224" s="17" t="n"/>
      <c r="K224" s="17" t="n"/>
      <c r="L224" s="17" t="n"/>
      <c r="M224" s="16" t="n"/>
      <c r="N224" s="16" t="n"/>
      <c r="O224" s="18" t="n"/>
      <c r="P224" s="18" t="n"/>
      <c r="Q224" s="16" t="n"/>
    </row>
    <row r="225">
      <c r="E225" s="15" t="n"/>
      <c r="F225" s="15" t="n"/>
      <c r="G225" s="15" t="n"/>
      <c r="H225" s="16" t="n"/>
      <c r="I225" s="16" t="n"/>
      <c r="J225" s="17" t="n"/>
      <c r="K225" s="17" t="n"/>
      <c r="L225" s="17" t="n"/>
      <c r="M225" s="16" t="n"/>
      <c r="N225" s="16" t="n"/>
      <c r="O225" s="18" t="n"/>
      <c r="P225" s="18" t="n"/>
      <c r="Q225" s="16" t="n"/>
    </row>
    <row r="226">
      <c r="E226" s="15" t="n"/>
      <c r="F226" s="15" t="n"/>
      <c r="G226" s="15" t="n"/>
      <c r="H226" s="16" t="n"/>
      <c r="I226" s="16" t="n"/>
      <c r="J226" s="17" t="n"/>
      <c r="K226" s="17" t="n"/>
      <c r="L226" s="17" t="n"/>
      <c r="M226" s="16" t="n"/>
      <c r="N226" s="16" t="n"/>
      <c r="O226" s="18" t="n"/>
      <c r="P226" s="18" t="n"/>
      <c r="Q226" s="16" t="n"/>
    </row>
    <row r="227">
      <c r="E227" s="15" t="n"/>
      <c r="F227" s="15" t="n"/>
      <c r="G227" s="15" t="n"/>
      <c r="H227" s="16" t="n"/>
      <c r="I227" s="16" t="n"/>
      <c r="J227" s="17" t="n"/>
      <c r="K227" s="17" t="n"/>
      <c r="L227" s="17" t="n"/>
      <c r="M227" s="16" t="n"/>
      <c r="N227" s="16" t="n"/>
      <c r="O227" s="18" t="n"/>
      <c r="P227" s="18" t="n"/>
      <c r="Q227" s="16" t="n"/>
    </row>
    <row r="228">
      <c r="E228" s="15" t="n"/>
      <c r="F228" s="15" t="n"/>
      <c r="G228" s="15" t="n"/>
      <c r="H228" s="16" t="n"/>
      <c r="I228" s="16" t="n"/>
      <c r="J228" s="17" t="n"/>
      <c r="K228" s="17" t="n"/>
      <c r="L228" s="17" t="n"/>
      <c r="M228" s="16" t="n"/>
      <c r="N228" s="16" t="n"/>
      <c r="O228" s="18" t="n"/>
      <c r="P228" s="18" t="n"/>
      <c r="Q228" s="16" t="n"/>
    </row>
    <row r="229">
      <c r="E229" s="15" t="n"/>
      <c r="F229" s="15" t="n"/>
      <c r="G229" s="15" t="n"/>
      <c r="H229" s="16" t="n"/>
      <c r="I229" s="16" t="n"/>
      <c r="J229" s="17" t="n"/>
      <c r="K229" s="17" t="n"/>
      <c r="L229" s="17" t="n"/>
      <c r="M229" s="16" t="n"/>
      <c r="N229" s="16" t="n"/>
      <c r="O229" s="18" t="n"/>
      <c r="P229" s="18" t="n"/>
      <c r="Q229" s="16" t="n"/>
    </row>
    <row r="230">
      <c r="E230" s="15" t="n"/>
      <c r="F230" s="15" t="n"/>
      <c r="G230" s="15" t="n"/>
      <c r="H230" s="16" t="n"/>
      <c r="I230" s="16" t="n"/>
      <c r="J230" s="17" t="n"/>
      <c r="K230" s="17" t="n"/>
      <c r="L230" s="17" t="n"/>
      <c r="M230" s="16" t="n"/>
      <c r="N230" s="16" t="n"/>
      <c r="O230" s="18" t="n"/>
      <c r="P230" s="18" t="n"/>
      <c r="Q230" s="16" t="n"/>
    </row>
    <row r="231">
      <c r="E231" s="15" t="n"/>
      <c r="F231" s="15" t="n"/>
      <c r="G231" s="15" t="n"/>
      <c r="H231" s="16" t="n"/>
      <c r="I231" s="16" t="n"/>
      <c r="J231" s="17" t="n"/>
      <c r="K231" s="17" t="n"/>
      <c r="L231" s="17" t="n"/>
      <c r="M231" s="16" t="n"/>
      <c r="N231" s="16" t="n"/>
      <c r="O231" s="18" t="n"/>
      <c r="P231" s="18" t="n"/>
      <c r="Q231" s="16" t="n"/>
    </row>
    <row r="232">
      <c r="E232" s="15" t="n"/>
      <c r="F232" s="15" t="n"/>
      <c r="G232" s="15" t="n"/>
      <c r="H232" s="16" t="n"/>
      <c r="I232" s="16" t="n"/>
      <c r="J232" s="17" t="n"/>
      <c r="K232" s="17" t="n"/>
      <c r="L232" s="17" t="n"/>
      <c r="M232" s="16" t="n"/>
      <c r="N232" s="16" t="n"/>
      <c r="O232" s="18" t="n"/>
      <c r="P232" s="18" t="n"/>
      <c r="Q232" s="16" t="n"/>
    </row>
    <row r="233">
      <c r="E233" s="15" t="n"/>
      <c r="F233" s="15" t="n"/>
      <c r="G233" s="15" t="n"/>
      <c r="H233" s="16" t="n"/>
      <c r="I233" s="16" t="n"/>
      <c r="J233" s="17" t="n"/>
      <c r="K233" s="17" t="n"/>
      <c r="L233" s="17" t="n"/>
      <c r="M233" s="16" t="n"/>
      <c r="N233" s="16" t="n"/>
      <c r="O233" s="18" t="n"/>
      <c r="P233" s="18" t="n"/>
      <c r="Q233" s="16" t="n"/>
    </row>
    <row r="234">
      <c r="E234" s="15" t="n"/>
      <c r="F234" s="15" t="n"/>
      <c r="G234" s="15" t="n"/>
      <c r="H234" s="16" t="n"/>
      <c r="I234" s="16" t="n"/>
      <c r="J234" s="17" t="n"/>
      <c r="K234" s="17" t="n"/>
      <c r="L234" s="17" t="n"/>
      <c r="M234" s="16" t="n"/>
      <c r="N234" s="16" t="n"/>
      <c r="O234" s="18" t="n"/>
      <c r="P234" s="18" t="n"/>
      <c r="Q234" s="16" t="n"/>
    </row>
    <row r="235">
      <c r="E235" s="15" t="n"/>
      <c r="F235" s="15" t="n"/>
      <c r="G235" s="15" t="n"/>
      <c r="H235" s="16" t="n"/>
      <c r="I235" s="16" t="n"/>
      <c r="J235" s="17" t="n"/>
      <c r="K235" s="17" t="n"/>
      <c r="L235" s="17" t="n"/>
      <c r="M235" s="16" t="n"/>
      <c r="N235" s="16" t="n"/>
      <c r="O235" s="18" t="n"/>
      <c r="P235" s="18" t="n"/>
      <c r="Q235" s="16" t="n"/>
    </row>
    <row r="236">
      <c r="E236" s="15" t="n"/>
      <c r="F236" s="15" t="n"/>
      <c r="G236" s="15" t="n"/>
      <c r="H236" s="16" t="n"/>
      <c r="I236" s="16" t="n"/>
      <c r="J236" s="17" t="n"/>
      <c r="K236" s="17" t="n"/>
      <c r="L236" s="17" t="n"/>
      <c r="M236" s="16" t="n"/>
      <c r="N236" s="16" t="n"/>
      <c r="O236" s="18" t="n"/>
      <c r="P236" s="18" t="n"/>
      <c r="Q236" s="16" t="n"/>
    </row>
    <row r="237">
      <c r="E237" s="15" t="n"/>
      <c r="F237" s="15" t="n"/>
      <c r="G237" s="15" t="n"/>
      <c r="H237" s="16" t="n"/>
      <c r="I237" s="16" t="n"/>
      <c r="J237" s="17" t="n"/>
      <c r="K237" s="17" t="n"/>
      <c r="L237" s="17" t="n"/>
      <c r="M237" s="16" t="n"/>
      <c r="N237" s="16" t="n"/>
      <c r="O237" s="18" t="n"/>
      <c r="P237" s="18" t="n"/>
      <c r="Q237" s="16" t="n"/>
    </row>
    <row r="238">
      <c r="E238" s="15" t="n"/>
      <c r="F238" s="15" t="n"/>
      <c r="G238" s="15" t="n"/>
      <c r="H238" s="16" t="n"/>
      <c r="I238" s="16" t="n"/>
      <c r="J238" s="17" t="n"/>
      <c r="K238" s="17" t="n"/>
      <c r="L238" s="17" t="n"/>
      <c r="M238" s="16" t="n"/>
      <c r="N238" s="16" t="n"/>
      <c r="O238" s="18" t="n"/>
      <c r="P238" s="18" t="n"/>
      <c r="Q238" s="16" t="n"/>
    </row>
    <row r="239">
      <c r="E239" s="15" t="n"/>
      <c r="F239" s="15" t="n"/>
      <c r="G239" s="15" t="n"/>
      <c r="H239" s="16" t="n"/>
      <c r="I239" s="16" t="n"/>
      <c r="J239" s="17" t="n"/>
      <c r="K239" s="17" t="n"/>
      <c r="L239" s="17" t="n"/>
      <c r="M239" s="16" t="n"/>
      <c r="N239" s="16" t="n"/>
      <c r="O239" s="18" t="n"/>
      <c r="P239" s="18" t="n"/>
      <c r="Q239" s="16" t="n"/>
    </row>
    <row r="240">
      <c r="E240" s="15" t="n"/>
      <c r="F240" s="15" t="n"/>
      <c r="G240" s="15" t="n"/>
      <c r="H240" s="16" t="n"/>
      <c r="I240" s="16" t="n"/>
      <c r="J240" s="17" t="n"/>
      <c r="K240" s="17" t="n"/>
      <c r="L240" s="17" t="n"/>
      <c r="M240" s="16" t="n"/>
      <c r="N240" s="16" t="n"/>
      <c r="O240" s="18" t="n"/>
      <c r="P240" s="18" t="n"/>
      <c r="Q240" s="16" t="n"/>
    </row>
    <row r="241">
      <c r="E241" s="15" t="n"/>
      <c r="F241" s="15" t="n"/>
      <c r="G241" s="15" t="n"/>
      <c r="H241" s="16" t="n"/>
      <c r="I241" s="16" t="n"/>
      <c r="J241" s="17" t="n"/>
      <c r="K241" s="17" t="n"/>
      <c r="L241" s="17" t="n"/>
      <c r="M241" s="16" t="n"/>
      <c r="N241" s="16" t="n"/>
      <c r="O241" s="18" t="n"/>
      <c r="P241" s="18" t="n"/>
      <c r="Q241" s="16" t="n"/>
    </row>
    <row r="242">
      <c r="E242" s="15" t="n"/>
      <c r="F242" s="15" t="n"/>
      <c r="G242" s="15" t="n"/>
      <c r="H242" s="16" t="n"/>
      <c r="I242" s="16" t="n"/>
      <c r="J242" s="17" t="n"/>
      <c r="K242" s="17" t="n"/>
      <c r="L242" s="17" t="n"/>
      <c r="M242" s="16" t="n"/>
      <c r="N242" s="16" t="n"/>
      <c r="O242" s="18" t="n"/>
      <c r="P242" s="18" t="n"/>
      <c r="Q242" s="16" t="n"/>
    </row>
    <row r="243">
      <c r="E243" s="15" t="n"/>
      <c r="F243" s="15" t="n"/>
      <c r="G243" s="15" t="n"/>
      <c r="H243" s="16" t="n"/>
      <c r="I243" s="16" t="n"/>
      <c r="J243" s="17" t="n"/>
      <c r="K243" s="17" t="n"/>
      <c r="L243" s="17" t="n"/>
      <c r="M243" s="16" t="n"/>
      <c r="N243" s="16" t="n"/>
      <c r="O243" s="18" t="n"/>
      <c r="P243" s="18" t="n"/>
      <c r="Q243" s="16" t="n"/>
    </row>
    <row r="244">
      <c r="E244" s="15" t="n"/>
      <c r="F244" s="15" t="n"/>
      <c r="G244" s="15" t="n"/>
      <c r="H244" s="16" t="n"/>
      <c r="I244" s="16" t="n"/>
      <c r="J244" s="17" t="n"/>
      <c r="K244" s="17" t="n"/>
      <c r="L244" s="17" t="n"/>
      <c r="M244" s="16" t="n"/>
      <c r="N244" s="16" t="n"/>
      <c r="O244" s="18" t="n"/>
      <c r="P244" s="18" t="n"/>
      <c r="Q244" s="16" t="n"/>
    </row>
    <row r="245">
      <c r="E245" s="15" t="n"/>
      <c r="F245" s="15" t="n"/>
      <c r="G245" s="15" t="n"/>
      <c r="H245" s="16" t="n"/>
      <c r="I245" s="16" t="n"/>
      <c r="J245" s="17" t="n"/>
      <c r="K245" s="17" t="n"/>
      <c r="L245" s="17" t="n"/>
      <c r="M245" s="16" t="n"/>
      <c r="N245" s="16" t="n"/>
      <c r="O245" s="18" t="n"/>
      <c r="P245" s="18" t="n"/>
      <c r="Q245" s="16" t="n"/>
    </row>
    <row r="246">
      <c r="E246" s="15" t="n"/>
      <c r="F246" s="15" t="n"/>
      <c r="G246" s="15" t="n"/>
      <c r="H246" s="16" t="n"/>
      <c r="I246" s="16" t="n"/>
      <c r="J246" s="17" t="n"/>
      <c r="K246" s="17" t="n"/>
      <c r="L246" s="17" t="n"/>
      <c r="M246" s="16" t="n"/>
      <c r="N246" s="16" t="n"/>
      <c r="O246" s="18" t="n"/>
      <c r="P246" s="18" t="n"/>
      <c r="Q246" s="16" t="n"/>
    </row>
    <row r="247">
      <c r="E247" s="15" t="n"/>
      <c r="F247" s="15" t="n"/>
      <c r="G247" s="15" t="n"/>
      <c r="H247" s="16" t="n"/>
      <c r="I247" s="16" t="n"/>
      <c r="J247" s="17" t="n"/>
      <c r="K247" s="17" t="n"/>
      <c r="L247" s="17" t="n"/>
      <c r="M247" s="16" t="n"/>
      <c r="N247" s="16" t="n"/>
      <c r="O247" s="18" t="n"/>
      <c r="P247" s="18" t="n"/>
      <c r="Q247" s="16" t="n"/>
    </row>
    <row r="248">
      <c r="E248" s="15" t="n"/>
      <c r="F248" s="15" t="n"/>
      <c r="G248" s="15" t="n"/>
      <c r="H248" s="16" t="n"/>
      <c r="I248" s="16" t="n"/>
      <c r="J248" s="17" t="n"/>
      <c r="K248" s="17" t="n"/>
      <c r="L248" s="17" t="n"/>
      <c r="M248" s="16" t="n"/>
      <c r="N248" s="16" t="n"/>
      <c r="O248" s="18" t="n"/>
      <c r="P248" s="18" t="n"/>
      <c r="Q248" s="16" t="n"/>
    </row>
    <row r="249">
      <c r="E249" s="15" t="n"/>
      <c r="F249" s="15" t="n"/>
      <c r="G249" s="15" t="n"/>
      <c r="H249" s="16" t="n"/>
      <c r="I249" s="16" t="n"/>
      <c r="J249" s="17" t="n"/>
      <c r="K249" s="17" t="n"/>
      <c r="L249" s="17" t="n"/>
      <c r="M249" s="16" t="n"/>
      <c r="N249" s="16" t="n"/>
      <c r="O249" s="18" t="n"/>
      <c r="P249" s="18" t="n"/>
      <c r="Q249" s="16" t="n"/>
    </row>
    <row r="250">
      <c r="E250" s="15" t="n"/>
      <c r="F250" s="15" t="n"/>
      <c r="G250" s="15" t="n"/>
      <c r="H250" s="16" t="n"/>
      <c r="I250" s="16" t="n"/>
      <c r="J250" s="17" t="n"/>
      <c r="K250" s="17" t="n"/>
      <c r="L250" s="17" t="n"/>
      <c r="M250" s="16" t="n"/>
      <c r="N250" s="16" t="n"/>
      <c r="O250" s="18" t="n"/>
      <c r="P250" s="18" t="n"/>
      <c r="Q250" s="16" t="n"/>
    </row>
    <row r="251">
      <c r="E251" s="15" t="n"/>
      <c r="F251" s="15" t="n"/>
      <c r="G251" s="15" t="n"/>
      <c r="H251" s="16" t="n"/>
      <c r="I251" s="16" t="n"/>
      <c r="J251" s="17" t="n"/>
      <c r="K251" s="17" t="n"/>
      <c r="L251" s="17" t="n"/>
      <c r="M251" s="16" t="n"/>
      <c r="N251" s="16" t="n"/>
      <c r="O251" s="18" t="n"/>
      <c r="P251" s="18" t="n"/>
      <c r="Q251" s="16" t="n"/>
    </row>
    <row r="252">
      <c r="E252" s="15" t="n"/>
      <c r="F252" s="15" t="n"/>
      <c r="G252" s="15" t="n"/>
      <c r="H252" s="16" t="n"/>
      <c r="I252" s="16" t="n"/>
      <c r="J252" s="17" t="n"/>
      <c r="K252" s="17" t="n"/>
      <c r="L252" s="17" t="n"/>
      <c r="M252" s="16" t="n"/>
      <c r="N252" s="16" t="n"/>
      <c r="O252" s="18" t="n"/>
      <c r="P252" s="18" t="n"/>
      <c r="Q252" s="16" t="n"/>
    </row>
    <row r="253">
      <c r="E253" s="15" t="n"/>
      <c r="F253" s="15" t="n"/>
      <c r="G253" s="15" t="n"/>
      <c r="H253" s="16" t="n"/>
      <c r="I253" s="16" t="n"/>
      <c r="J253" s="17" t="n"/>
      <c r="K253" s="17" t="n"/>
      <c r="L253" s="17" t="n"/>
      <c r="M253" s="16" t="n"/>
      <c r="N253" s="16" t="n"/>
      <c r="O253" s="18" t="n"/>
      <c r="P253" s="18" t="n"/>
      <c r="Q253" s="16" t="n"/>
    </row>
    <row r="254">
      <c r="E254" s="15" t="n"/>
      <c r="F254" s="15" t="n"/>
      <c r="G254" s="15" t="n"/>
      <c r="H254" s="16" t="n"/>
      <c r="I254" s="16" t="n"/>
      <c r="J254" s="17" t="n"/>
      <c r="K254" s="17" t="n"/>
      <c r="L254" s="17" t="n"/>
      <c r="M254" s="16" t="n"/>
      <c r="N254" s="16" t="n"/>
      <c r="O254" s="18" t="n"/>
      <c r="P254" s="18" t="n"/>
      <c r="Q254" s="16" t="n"/>
    </row>
    <row r="255">
      <c r="E255" s="15" t="n"/>
      <c r="F255" s="15" t="n"/>
      <c r="G255" s="15" t="n"/>
      <c r="H255" s="16" t="n"/>
      <c r="I255" s="16" t="n"/>
      <c r="J255" s="17" t="n"/>
      <c r="K255" s="17" t="n"/>
      <c r="L255" s="17" t="n"/>
      <c r="M255" s="16" t="n"/>
      <c r="N255" s="16" t="n"/>
      <c r="O255" s="18" t="n"/>
      <c r="P255" s="18" t="n"/>
      <c r="Q255" s="16" t="n"/>
    </row>
    <row r="256">
      <c r="E256" s="15" t="n"/>
      <c r="F256" s="15" t="n"/>
      <c r="G256" s="15" t="n"/>
      <c r="H256" s="16" t="n"/>
      <c r="I256" s="16" t="n"/>
      <c r="J256" s="17" t="n"/>
      <c r="K256" s="17" t="n"/>
      <c r="L256" s="17" t="n"/>
      <c r="M256" s="16" t="n"/>
      <c r="N256" s="16" t="n"/>
      <c r="O256" s="18" t="n"/>
      <c r="P256" s="18" t="n"/>
      <c r="Q256" s="16" t="n"/>
    </row>
    <row r="257">
      <c r="E257" s="15" t="n"/>
      <c r="F257" s="15" t="n"/>
      <c r="G257" s="15" t="n"/>
      <c r="H257" s="16" t="n"/>
      <c r="I257" s="16" t="n"/>
      <c r="J257" s="17" t="n"/>
      <c r="K257" s="17" t="n"/>
      <c r="L257" s="17" t="n"/>
      <c r="M257" s="16" t="n"/>
      <c r="N257" s="16" t="n"/>
      <c r="O257" s="18" t="n"/>
      <c r="P257" s="18" t="n"/>
      <c r="Q257" s="16" t="n"/>
    </row>
    <row r="258">
      <c r="E258" s="15" t="n"/>
      <c r="F258" s="15" t="n"/>
      <c r="G258" s="15" t="n"/>
      <c r="H258" s="16" t="n"/>
      <c r="I258" s="16" t="n"/>
      <c r="J258" s="17" t="n"/>
      <c r="K258" s="17" t="n"/>
      <c r="L258" s="17" t="n"/>
      <c r="M258" s="16" t="n"/>
      <c r="N258" s="16" t="n"/>
      <c r="O258" s="18" t="n"/>
      <c r="P258" s="18" t="n"/>
      <c r="Q258" s="16" t="n"/>
    </row>
    <row r="259">
      <c r="E259" s="15" t="n"/>
      <c r="F259" s="15" t="n"/>
      <c r="G259" s="15" t="n"/>
      <c r="H259" s="16" t="n"/>
      <c r="I259" s="16" t="n"/>
      <c r="J259" s="17" t="n"/>
      <c r="K259" s="17" t="n"/>
      <c r="L259" s="17" t="n"/>
      <c r="M259" s="16" t="n"/>
      <c r="N259" s="16" t="n"/>
      <c r="O259" s="18" t="n"/>
      <c r="P259" s="18" t="n"/>
      <c r="Q259" s="16" t="n"/>
    </row>
    <row r="260">
      <c r="E260" s="15" t="n"/>
      <c r="F260" s="15" t="n"/>
      <c r="G260" s="15" t="n"/>
      <c r="H260" s="16" t="n"/>
      <c r="I260" s="16" t="n"/>
      <c r="J260" s="17" t="n"/>
      <c r="K260" s="17" t="n"/>
      <c r="L260" s="17" t="n"/>
      <c r="M260" s="16" t="n"/>
      <c r="N260" s="16" t="n"/>
      <c r="O260" s="18" t="n"/>
      <c r="P260" s="18" t="n"/>
      <c r="Q260" s="16" t="n"/>
    </row>
    <row r="261">
      <c r="E261" s="15" t="n"/>
      <c r="F261" s="15" t="n"/>
      <c r="G261" s="15" t="n"/>
      <c r="H261" s="16" t="n"/>
      <c r="I261" s="16" t="n"/>
      <c r="J261" s="17" t="n"/>
      <c r="K261" s="17" t="n"/>
      <c r="L261" s="17" t="n"/>
      <c r="M261" s="16" t="n"/>
      <c r="N261" s="16" t="n"/>
      <c r="O261" s="18" t="n"/>
      <c r="P261" s="18" t="n"/>
      <c r="Q261" s="16" t="n"/>
    </row>
    <row r="262">
      <c r="E262" s="15" t="n"/>
      <c r="F262" s="15" t="n"/>
      <c r="G262" s="15" t="n"/>
      <c r="H262" s="16" t="n"/>
      <c r="I262" s="16" t="n"/>
      <c r="J262" s="17" t="n"/>
      <c r="K262" s="17" t="n"/>
      <c r="L262" s="17" t="n"/>
      <c r="M262" s="16" t="n"/>
      <c r="N262" s="16" t="n"/>
      <c r="O262" s="18" t="n"/>
      <c r="P262" s="18" t="n"/>
      <c r="Q262" s="16" t="n"/>
    </row>
    <row r="263">
      <c r="E263" s="15" t="n"/>
      <c r="F263" s="15" t="n"/>
      <c r="G263" s="15" t="n"/>
      <c r="H263" s="16" t="n"/>
      <c r="I263" s="16" t="n"/>
      <c r="J263" s="17" t="n"/>
      <c r="K263" s="17" t="n"/>
      <c r="L263" s="17" t="n"/>
      <c r="M263" s="16" t="n"/>
      <c r="N263" s="16" t="n"/>
      <c r="O263" s="18" t="n"/>
      <c r="P263" s="18" t="n"/>
      <c r="Q263" s="16" t="n"/>
    </row>
    <row r="264">
      <c r="E264" s="15" t="n"/>
      <c r="F264" s="15" t="n"/>
      <c r="G264" s="15" t="n"/>
      <c r="H264" s="16" t="n"/>
      <c r="I264" s="16" t="n"/>
      <c r="J264" s="17" t="n"/>
      <c r="K264" s="17" t="n"/>
      <c r="L264" s="17" t="n"/>
      <c r="M264" s="16" t="n"/>
      <c r="N264" s="16" t="n"/>
      <c r="O264" s="18" t="n"/>
      <c r="P264" s="18" t="n"/>
      <c r="Q264" s="16" t="n"/>
    </row>
    <row r="265">
      <c r="E265" s="15" t="n"/>
      <c r="F265" s="15" t="n"/>
      <c r="G265" s="15" t="n"/>
      <c r="H265" s="16" t="n"/>
      <c r="I265" s="16" t="n"/>
      <c r="J265" s="17" t="n"/>
      <c r="K265" s="17" t="n"/>
      <c r="L265" s="17" t="n"/>
      <c r="M265" s="16" t="n"/>
      <c r="N265" s="16" t="n"/>
      <c r="O265" s="18" t="n"/>
      <c r="P265" s="18" t="n"/>
      <c r="Q265" s="16" t="n"/>
    </row>
    <row r="266">
      <c r="E266" s="15" t="n"/>
      <c r="F266" s="15" t="n"/>
      <c r="G266" s="15" t="n"/>
      <c r="H266" s="16" t="n"/>
      <c r="I266" s="16" t="n"/>
      <c r="J266" s="17" t="n"/>
      <c r="K266" s="17" t="n"/>
      <c r="L266" s="17" t="n"/>
      <c r="M266" s="16" t="n"/>
      <c r="N266" s="16" t="n"/>
      <c r="O266" s="18" t="n"/>
      <c r="P266" s="18" t="n"/>
      <c r="Q266" s="16" t="n"/>
    </row>
    <row r="267">
      <c r="E267" s="15" t="n"/>
      <c r="F267" s="15" t="n"/>
      <c r="G267" s="15" t="n"/>
      <c r="H267" s="16" t="n"/>
      <c r="I267" s="16" t="n"/>
      <c r="J267" s="17" t="n"/>
      <c r="K267" s="17" t="n"/>
      <c r="L267" s="17" t="n"/>
      <c r="M267" s="16" t="n"/>
      <c r="N267" s="16" t="n"/>
      <c r="O267" s="18" t="n"/>
      <c r="P267" s="18" t="n"/>
      <c r="Q267" s="16" t="n"/>
    </row>
    <row r="268">
      <c r="E268" s="15" t="n"/>
      <c r="F268" s="15" t="n"/>
      <c r="G268" s="15" t="n"/>
      <c r="H268" s="16" t="n"/>
      <c r="I268" s="16" t="n"/>
      <c r="J268" s="17" t="n"/>
      <c r="K268" s="17" t="n"/>
      <c r="L268" s="17" t="n"/>
      <c r="M268" s="16" t="n"/>
      <c r="N268" s="16" t="n"/>
      <c r="O268" s="18" t="n"/>
      <c r="P268" s="18" t="n"/>
      <c r="Q268" s="16" t="n"/>
    </row>
    <row r="269">
      <c r="E269" s="15" t="n"/>
      <c r="F269" s="15" t="n"/>
      <c r="G269" s="15" t="n"/>
      <c r="H269" s="16" t="n"/>
      <c r="I269" s="16" t="n"/>
      <c r="J269" s="17" t="n"/>
      <c r="K269" s="17" t="n"/>
      <c r="L269" s="17" t="n"/>
      <c r="M269" s="16" t="n"/>
      <c r="N269" s="16" t="n"/>
      <c r="O269" s="18" t="n"/>
      <c r="P269" s="18" t="n"/>
      <c r="Q269" s="16" t="n"/>
    </row>
    <row r="270">
      <c r="E270" s="15" t="n"/>
      <c r="F270" s="15" t="n"/>
      <c r="G270" s="15" t="n"/>
      <c r="H270" s="16" t="n"/>
      <c r="I270" s="16" t="n"/>
      <c r="J270" s="17" t="n"/>
      <c r="K270" s="17" t="n"/>
      <c r="L270" s="17" t="n"/>
      <c r="M270" s="16" t="n"/>
      <c r="N270" s="16" t="n"/>
      <c r="O270" s="18" t="n"/>
      <c r="P270" s="18" t="n"/>
      <c r="Q270" s="16" t="n"/>
    </row>
    <row r="271">
      <c r="E271" s="15" t="n"/>
      <c r="F271" s="15" t="n"/>
      <c r="G271" s="15" t="n"/>
      <c r="H271" s="16" t="n"/>
      <c r="I271" s="16" t="n"/>
      <c r="J271" s="17" t="n"/>
      <c r="K271" s="17" t="n"/>
      <c r="L271" s="17" t="n"/>
      <c r="M271" s="16" t="n"/>
      <c r="N271" s="16" t="n"/>
      <c r="O271" s="18" t="n"/>
      <c r="P271" s="18" t="n"/>
      <c r="Q271" s="16" t="n"/>
    </row>
    <row r="272">
      <c r="E272" s="15" t="n"/>
      <c r="F272" s="15" t="n"/>
      <c r="G272" s="15" t="n"/>
      <c r="H272" s="16" t="n"/>
      <c r="I272" s="16" t="n"/>
      <c r="J272" s="17" t="n"/>
      <c r="K272" s="17" t="n"/>
      <c r="L272" s="17" t="n"/>
      <c r="M272" s="16" t="n"/>
      <c r="N272" s="16" t="n"/>
      <c r="O272" s="18" t="n"/>
      <c r="P272" s="18" t="n"/>
      <c r="Q272" s="16" t="n"/>
    </row>
    <row r="273">
      <c r="E273" s="15" t="n"/>
      <c r="F273" s="15" t="n"/>
      <c r="G273" s="15" t="n"/>
      <c r="H273" s="16" t="n"/>
      <c r="I273" s="16" t="n"/>
      <c r="J273" s="17" t="n"/>
      <c r="K273" s="17" t="n"/>
      <c r="L273" s="17" t="n"/>
      <c r="M273" s="16" t="n"/>
      <c r="N273" s="16" t="n"/>
      <c r="O273" s="18" t="n"/>
      <c r="P273" s="18" t="n"/>
      <c r="Q273" s="16" t="n"/>
    </row>
    <row r="274">
      <c r="E274" s="15" t="n"/>
      <c r="F274" s="15" t="n"/>
      <c r="G274" s="15" t="n"/>
      <c r="H274" s="16" t="n"/>
      <c r="I274" s="16" t="n"/>
      <c r="J274" s="17" t="n"/>
      <c r="K274" s="17" t="n"/>
      <c r="L274" s="17" t="n"/>
      <c r="M274" s="16" t="n"/>
      <c r="N274" s="16" t="n"/>
      <c r="O274" s="18" t="n"/>
      <c r="P274" s="18" t="n"/>
      <c r="Q274" s="16" t="n"/>
    </row>
    <row r="275">
      <c r="E275" s="15" t="n"/>
      <c r="F275" s="15" t="n"/>
      <c r="G275" s="15" t="n"/>
      <c r="H275" s="16" t="n"/>
      <c r="I275" s="16" t="n"/>
      <c r="J275" s="17" t="n"/>
      <c r="K275" s="17" t="n"/>
      <c r="L275" s="17" t="n"/>
      <c r="M275" s="16" t="n"/>
      <c r="N275" s="16" t="n"/>
      <c r="O275" s="18" t="n"/>
      <c r="P275" s="18" t="n"/>
      <c r="Q275" s="16" t="n"/>
    </row>
    <row r="276">
      <c r="E276" s="15" t="n"/>
      <c r="F276" s="15" t="n"/>
      <c r="G276" s="15" t="n"/>
      <c r="H276" s="16" t="n"/>
      <c r="I276" s="16" t="n"/>
      <c r="J276" s="17" t="n"/>
      <c r="K276" s="17" t="n"/>
      <c r="L276" s="17" t="n"/>
      <c r="M276" s="16" t="n"/>
      <c r="N276" s="16" t="n"/>
      <c r="O276" s="18" t="n"/>
      <c r="P276" s="18" t="n"/>
      <c r="Q276" s="16" t="n"/>
    </row>
    <row r="277">
      <c r="E277" s="15" t="n"/>
      <c r="F277" s="15" t="n"/>
      <c r="G277" s="15" t="n"/>
      <c r="H277" s="16" t="n"/>
      <c r="I277" s="16" t="n"/>
      <c r="J277" s="17" t="n"/>
      <c r="K277" s="17" t="n"/>
      <c r="L277" s="17" t="n"/>
      <c r="M277" s="16" t="n"/>
      <c r="N277" s="16" t="n"/>
      <c r="O277" s="18" t="n"/>
      <c r="P277" s="18" t="n"/>
      <c r="Q277" s="16" t="n"/>
    </row>
    <row r="278">
      <c r="E278" s="15" t="n"/>
      <c r="F278" s="15" t="n"/>
      <c r="G278" s="15" t="n"/>
      <c r="H278" s="16" t="n"/>
      <c r="I278" s="16" t="n"/>
      <c r="J278" s="17" t="n"/>
      <c r="K278" s="17" t="n"/>
      <c r="L278" s="17" t="n"/>
      <c r="M278" s="16" t="n"/>
      <c r="N278" s="16" t="n"/>
      <c r="O278" s="18" t="n"/>
      <c r="P278" s="18" t="n"/>
      <c r="Q278" s="16" t="n"/>
    </row>
    <row r="279">
      <c r="E279" s="15" t="n"/>
      <c r="F279" s="15" t="n"/>
      <c r="G279" s="15" t="n"/>
      <c r="H279" s="16" t="n"/>
      <c r="I279" s="16" t="n"/>
      <c r="J279" s="17" t="n"/>
      <c r="K279" s="17" t="n"/>
      <c r="L279" s="17" t="n"/>
      <c r="M279" s="16" t="n"/>
      <c r="N279" s="16" t="n"/>
      <c r="O279" s="18" t="n"/>
      <c r="P279" s="18" t="n"/>
      <c r="Q279" s="16" t="n"/>
    </row>
    <row r="280">
      <c r="E280" s="15" t="n"/>
      <c r="F280" s="15" t="n"/>
      <c r="G280" s="15" t="n"/>
      <c r="H280" s="16" t="n"/>
      <c r="I280" s="16" t="n"/>
      <c r="J280" s="17" t="n"/>
      <c r="K280" s="17" t="n"/>
      <c r="L280" s="17" t="n"/>
      <c r="M280" s="16" t="n"/>
      <c r="N280" s="16" t="n"/>
      <c r="O280" s="18" t="n"/>
      <c r="P280" s="18" t="n"/>
      <c r="Q280" s="16" t="n"/>
    </row>
    <row r="281">
      <c r="E281" s="15" t="n"/>
      <c r="F281" s="15" t="n"/>
      <c r="G281" s="15" t="n"/>
      <c r="H281" s="16" t="n"/>
      <c r="I281" s="16" t="n"/>
      <c r="J281" s="17" t="n"/>
      <c r="K281" s="17" t="n"/>
      <c r="L281" s="17" t="n"/>
      <c r="M281" s="16" t="n"/>
      <c r="N281" s="16" t="n"/>
      <c r="O281" s="18" t="n"/>
      <c r="P281" s="18" t="n"/>
      <c r="Q281" s="16" t="n"/>
    </row>
    <row r="282">
      <c r="E282" s="15" t="n"/>
      <c r="F282" s="15" t="n"/>
      <c r="G282" s="15" t="n"/>
      <c r="H282" s="16" t="n"/>
      <c r="I282" s="16" t="n"/>
      <c r="J282" s="17" t="n"/>
      <c r="K282" s="17" t="n"/>
      <c r="L282" s="17" t="n"/>
      <c r="M282" s="16" t="n"/>
      <c r="N282" s="16" t="n"/>
      <c r="O282" s="18" t="n"/>
      <c r="P282" s="18" t="n"/>
      <c r="Q282" s="16" t="n"/>
    </row>
    <row r="283">
      <c r="E283" s="15" t="n"/>
      <c r="F283" s="15" t="n"/>
      <c r="G283" s="15" t="n"/>
      <c r="H283" s="16" t="n"/>
      <c r="I283" s="16" t="n"/>
      <c r="J283" s="17" t="n"/>
      <c r="K283" s="17" t="n"/>
      <c r="L283" s="17" t="n"/>
      <c r="M283" s="16" t="n"/>
      <c r="N283" s="16" t="n"/>
      <c r="O283" s="18" t="n"/>
      <c r="P283" s="18" t="n"/>
      <c r="Q283" s="16" t="n"/>
    </row>
    <row r="284">
      <c r="E284" s="15" t="n"/>
      <c r="F284" s="15" t="n"/>
      <c r="G284" s="15" t="n"/>
      <c r="H284" s="16" t="n"/>
      <c r="I284" s="16" t="n"/>
      <c r="J284" s="17" t="n"/>
      <c r="K284" s="17" t="n"/>
      <c r="L284" s="17" t="n"/>
      <c r="M284" s="16" t="n"/>
      <c r="N284" s="16" t="n"/>
      <c r="O284" s="18" t="n"/>
      <c r="P284" s="18" t="n"/>
      <c r="Q284" s="16" t="n"/>
    </row>
    <row r="285">
      <c r="E285" s="15" t="n"/>
      <c r="F285" s="15" t="n"/>
      <c r="G285" s="15" t="n"/>
      <c r="H285" s="16" t="n"/>
      <c r="I285" s="16" t="n"/>
      <c r="J285" s="17" t="n"/>
      <c r="K285" s="17" t="n"/>
      <c r="L285" s="17" t="n"/>
      <c r="M285" s="16" t="n"/>
      <c r="N285" s="16" t="n"/>
      <c r="O285" s="18" t="n"/>
      <c r="P285" s="18" t="n"/>
      <c r="Q285" s="16" t="n"/>
    </row>
    <row r="286">
      <c r="E286" s="15" t="n"/>
      <c r="F286" s="15" t="n"/>
      <c r="G286" s="15" t="n"/>
      <c r="H286" s="16" t="n"/>
      <c r="I286" s="16" t="n"/>
      <c r="J286" s="17" t="n"/>
      <c r="K286" s="17" t="n"/>
      <c r="L286" s="17" t="n"/>
      <c r="M286" s="16" t="n"/>
      <c r="N286" s="16" t="n"/>
      <c r="O286" s="18" t="n"/>
      <c r="P286" s="18" t="n"/>
      <c r="Q286" s="16" t="n"/>
    </row>
    <row r="287">
      <c r="E287" s="15" t="n"/>
      <c r="F287" s="15" t="n"/>
      <c r="G287" s="15" t="n"/>
      <c r="H287" s="16" t="n"/>
      <c r="I287" s="16" t="n"/>
      <c r="J287" s="17" t="n"/>
      <c r="K287" s="17" t="n"/>
      <c r="L287" s="17" t="n"/>
      <c r="M287" s="16" t="n"/>
      <c r="N287" s="16" t="n"/>
      <c r="O287" s="18" t="n"/>
      <c r="P287" s="18" t="n"/>
      <c r="Q287" s="16" t="n"/>
    </row>
    <row r="288">
      <c r="E288" s="15" t="n"/>
      <c r="F288" s="15" t="n"/>
      <c r="G288" s="15" t="n"/>
      <c r="H288" s="16" t="n"/>
      <c r="I288" s="16" t="n"/>
      <c r="J288" s="17" t="n"/>
      <c r="K288" s="17" t="n"/>
      <c r="L288" s="17" t="n"/>
      <c r="M288" s="16" t="n"/>
      <c r="N288" s="16" t="n"/>
      <c r="O288" s="18" t="n"/>
      <c r="P288" s="18" t="n"/>
      <c r="Q288" s="16" t="n"/>
    </row>
    <row r="289">
      <c r="E289" s="15" t="n"/>
      <c r="F289" s="15" t="n"/>
      <c r="G289" s="15" t="n"/>
      <c r="H289" s="16" t="n"/>
      <c r="I289" s="16" t="n"/>
      <c r="J289" s="17" t="n"/>
      <c r="K289" s="17" t="n"/>
      <c r="L289" s="17" t="n"/>
      <c r="M289" s="16" t="n"/>
      <c r="N289" s="16" t="n"/>
      <c r="O289" s="18" t="n"/>
      <c r="P289" s="18" t="n"/>
      <c r="Q289" s="16" t="n"/>
    </row>
    <row r="290">
      <c r="E290" s="15" t="n"/>
      <c r="F290" s="15" t="n"/>
      <c r="G290" s="15" t="n"/>
      <c r="H290" s="16" t="n"/>
      <c r="I290" s="16" t="n"/>
      <c r="J290" s="17" t="n"/>
      <c r="K290" s="17" t="n"/>
      <c r="L290" s="17" t="n"/>
      <c r="M290" s="16" t="n"/>
      <c r="N290" s="16" t="n"/>
      <c r="O290" s="18" t="n"/>
      <c r="P290" s="18" t="n"/>
      <c r="Q290" s="16" t="n"/>
    </row>
    <row r="291">
      <c r="E291" s="15" t="n"/>
      <c r="F291" s="15" t="n"/>
      <c r="G291" s="15" t="n"/>
      <c r="H291" s="16" t="n"/>
      <c r="I291" s="16" t="n"/>
      <c r="J291" s="17" t="n"/>
      <c r="K291" s="17" t="n"/>
      <c r="L291" s="17" t="n"/>
      <c r="M291" s="16" t="n"/>
      <c r="N291" s="16" t="n"/>
      <c r="O291" s="18" t="n"/>
      <c r="P291" s="18" t="n"/>
      <c r="Q291" s="16" t="n"/>
    </row>
    <row r="292">
      <c r="E292" s="15" t="n"/>
      <c r="F292" s="15" t="n"/>
      <c r="G292" s="15" t="n"/>
      <c r="H292" s="16" t="n"/>
      <c r="I292" s="16" t="n"/>
      <c r="J292" s="17" t="n"/>
      <c r="K292" s="17" t="n"/>
      <c r="L292" s="17" t="n"/>
      <c r="M292" s="16" t="n"/>
      <c r="N292" s="16" t="n"/>
      <c r="O292" s="18" t="n"/>
      <c r="P292" s="18" t="n"/>
      <c r="Q292" s="16" t="n"/>
    </row>
    <row r="293">
      <c r="E293" s="15" t="n"/>
      <c r="F293" s="15" t="n"/>
      <c r="G293" s="15" t="n"/>
      <c r="H293" s="16" t="n"/>
      <c r="I293" s="16" t="n"/>
      <c r="J293" s="17" t="n"/>
      <c r="K293" s="17" t="n"/>
      <c r="L293" s="17" t="n"/>
      <c r="M293" s="16" t="n"/>
      <c r="N293" s="16" t="n"/>
      <c r="O293" s="18" t="n"/>
      <c r="P293" s="18" t="n"/>
      <c r="Q293" s="16" t="n"/>
    </row>
    <row r="294">
      <c r="E294" s="15" t="n"/>
      <c r="F294" s="15" t="n"/>
      <c r="G294" s="15" t="n"/>
      <c r="H294" s="16" t="n"/>
      <c r="I294" s="16" t="n"/>
      <c r="J294" s="17" t="n"/>
      <c r="K294" s="17" t="n"/>
      <c r="L294" s="17" t="n"/>
      <c r="M294" s="16" t="n"/>
      <c r="N294" s="16" t="n"/>
      <c r="O294" s="18" t="n"/>
      <c r="P294" s="18" t="n"/>
      <c r="Q294" s="16" t="n"/>
    </row>
    <row r="295">
      <c r="E295" s="15" t="n"/>
      <c r="F295" s="15" t="n"/>
      <c r="G295" s="15" t="n"/>
      <c r="H295" s="16" t="n"/>
      <c r="I295" s="16" t="n"/>
      <c r="J295" s="17" t="n"/>
      <c r="K295" s="17" t="n"/>
      <c r="L295" s="17" t="n"/>
      <c r="M295" s="16" t="n"/>
      <c r="N295" s="16" t="n"/>
      <c r="O295" s="18" t="n"/>
      <c r="P295" s="18" t="n"/>
      <c r="Q295" s="16" t="n"/>
    </row>
    <row r="296">
      <c r="E296" s="15" t="n"/>
      <c r="F296" s="15" t="n"/>
      <c r="G296" s="15" t="n"/>
      <c r="H296" s="16" t="n"/>
      <c r="I296" s="16" t="n"/>
      <c r="J296" s="17" t="n"/>
      <c r="K296" s="17" t="n"/>
      <c r="L296" s="17" t="n"/>
      <c r="M296" s="16" t="n"/>
      <c r="N296" s="16" t="n"/>
      <c r="O296" s="18" t="n"/>
      <c r="P296" s="18" t="n"/>
      <c r="Q296" s="16" t="n"/>
    </row>
    <row r="297">
      <c r="E297" s="15" t="n"/>
      <c r="F297" s="15" t="n"/>
      <c r="G297" s="15" t="n"/>
      <c r="H297" s="16" t="n"/>
      <c r="I297" s="16" t="n"/>
      <c r="J297" s="17" t="n"/>
      <c r="K297" s="17" t="n"/>
      <c r="L297" s="17" t="n"/>
      <c r="M297" s="16" t="n"/>
      <c r="N297" s="16" t="n"/>
      <c r="O297" s="18" t="n"/>
      <c r="P297" s="18" t="n"/>
      <c r="Q297" s="16" t="n"/>
    </row>
    <row r="298">
      <c r="E298" s="15" t="n"/>
      <c r="F298" s="15" t="n"/>
      <c r="G298" s="15" t="n"/>
      <c r="H298" s="16" t="n"/>
      <c r="I298" s="16" t="n"/>
      <c r="J298" s="17" t="n"/>
      <c r="K298" s="17" t="n"/>
      <c r="L298" s="17" t="n"/>
      <c r="M298" s="16" t="n"/>
      <c r="N298" s="16" t="n"/>
      <c r="O298" s="18" t="n"/>
      <c r="P298" s="18" t="n"/>
      <c r="Q298" s="16" t="n"/>
    </row>
    <row r="299">
      <c r="E299" s="15" t="n"/>
      <c r="F299" s="15" t="n"/>
      <c r="G299" s="15" t="n"/>
      <c r="H299" s="16" t="n"/>
      <c r="I299" s="16" t="n"/>
      <c r="J299" s="17" t="n"/>
      <c r="K299" s="17" t="n"/>
      <c r="L299" s="17" t="n"/>
      <c r="M299" s="16" t="n"/>
      <c r="N299" s="16" t="n"/>
      <c r="O299" s="18" t="n"/>
      <c r="P299" s="18" t="n"/>
      <c r="Q299" s="16" t="n"/>
    </row>
    <row r="300">
      <c r="E300" s="15" t="n"/>
      <c r="F300" s="15" t="n"/>
      <c r="G300" s="15" t="n"/>
      <c r="H300" s="16" t="n"/>
      <c r="I300" s="16" t="n"/>
      <c r="J300" s="17" t="n"/>
      <c r="K300" s="17" t="n"/>
      <c r="L300" s="17" t="n"/>
      <c r="M300" s="16" t="n"/>
      <c r="N300" s="16" t="n"/>
      <c r="O300" s="18" t="n"/>
      <c r="P300" s="18" t="n"/>
      <c r="Q300" s="16" t="n"/>
    </row>
    <row r="301">
      <c r="E301" s="15" t="n"/>
      <c r="F301" s="15" t="n"/>
      <c r="G301" s="15" t="n"/>
      <c r="H301" s="16" t="n"/>
      <c r="I301" s="16" t="n"/>
      <c r="J301" s="17" t="n"/>
      <c r="K301" s="17" t="n"/>
      <c r="L301" s="17" t="n"/>
      <c r="M301" s="16" t="n"/>
      <c r="N301" s="16" t="n"/>
      <c r="O301" s="18" t="n"/>
      <c r="P301" s="18" t="n"/>
      <c r="Q301" s="16" t="n"/>
    </row>
    <row r="302">
      <c r="E302" s="15" t="n"/>
      <c r="F302" s="15" t="n"/>
      <c r="G302" s="15" t="n"/>
      <c r="H302" s="16" t="n"/>
      <c r="I302" s="16" t="n"/>
      <c r="J302" s="17" t="n"/>
      <c r="K302" s="17" t="n"/>
      <c r="L302" s="17" t="n"/>
      <c r="M302" s="16" t="n"/>
      <c r="N302" s="16" t="n"/>
      <c r="O302" s="18" t="n"/>
      <c r="P302" s="18" t="n"/>
      <c r="Q302" s="16" t="n"/>
    </row>
    <row r="303">
      <c r="E303" s="15" t="n"/>
      <c r="F303" s="15" t="n"/>
      <c r="G303" s="15" t="n"/>
      <c r="H303" s="16" t="n"/>
      <c r="I303" s="16" t="n"/>
      <c r="J303" s="17" t="n"/>
      <c r="K303" s="17" t="n"/>
      <c r="L303" s="17" t="n"/>
      <c r="M303" s="16" t="n"/>
      <c r="N303" s="16" t="n"/>
      <c r="O303" s="18" t="n"/>
      <c r="P303" s="18" t="n"/>
      <c r="Q303" s="16" t="n"/>
    </row>
    <row r="304">
      <c r="E304" s="15" t="n"/>
      <c r="F304" s="15" t="n"/>
      <c r="G304" s="15" t="n"/>
      <c r="H304" s="16" t="n"/>
      <c r="I304" s="16" t="n"/>
      <c r="J304" s="17" t="n"/>
      <c r="K304" s="17" t="n"/>
      <c r="L304" s="17" t="n"/>
      <c r="M304" s="16" t="n"/>
      <c r="N304" s="16" t="n"/>
      <c r="O304" s="18" t="n"/>
      <c r="P304" s="18" t="n"/>
      <c r="Q304" s="16" t="n"/>
    </row>
    <row r="305">
      <c r="E305" s="15" t="n"/>
      <c r="F305" s="15" t="n"/>
      <c r="G305" s="15" t="n"/>
      <c r="H305" s="16" t="n"/>
      <c r="I305" s="16" t="n"/>
      <c r="J305" s="17" t="n"/>
      <c r="K305" s="17" t="n"/>
      <c r="L305" s="17" t="n"/>
      <c r="M305" s="16" t="n"/>
      <c r="N305" s="16" t="n"/>
      <c r="O305" s="18" t="n"/>
      <c r="P305" s="18" t="n"/>
      <c r="Q305" s="16" t="n"/>
    </row>
    <row r="306">
      <c r="E306" s="15" t="n"/>
      <c r="F306" s="15" t="n"/>
      <c r="G306" s="15" t="n"/>
      <c r="H306" s="16" t="n"/>
      <c r="I306" s="16" t="n"/>
      <c r="J306" s="17" t="n"/>
      <c r="K306" s="17" t="n"/>
      <c r="L306" s="17" t="n"/>
      <c r="M306" s="16" t="n"/>
      <c r="N306" s="16" t="n"/>
      <c r="O306" s="18" t="n"/>
      <c r="P306" s="18" t="n"/>
      <c r="Q306" s="16" t="n"/>
    </row>
    <row r="307">
      <c r="E307" s="15" t="n"/>
      <c r="F307" s="15" t="n"/>
      <c r="G307" s="15" t="n"/>
      <c r="H307" s="16" t="n"/>
      <c r="I307" s="16" t="n"/>
      <c r="J307" s="17" t="n"/>
      <c r="K307" s="17" t="n"/>
      <c r="L307" s="17" t="n"/>
      <c r="M307" s="16" t="n"/>
      <c r="N307" s="16" t="n"/>
      <c r="O307" s="18" t="n"/>
      <c r="P307" s="18" t="n"/>
      <c r="Q307" s="16" t="n"/>
    </row>
    <row r="308">
      <c r="E308" s="15" t="n"/>
      <c r="F308" s="15" t="n"/>
      <c r="G308" s="15" t="n"/>
      <c r="H308" s="16" t="n"/>
      <c r="I308" s="16" t="n"/>
      <c r="J308" s="17" t="n"/>
      <c r="K308" s="17" t="n"/>
      <c r="L308" s="17" t="n"/>
      <c r="M308" s="16" t="n"/>
      <c r="N308" s="16" t="n"/>
      <c r="O308" s="18" t="n"/>
      <c r="P308" s="18" t="n"/>
      <c r="Q308" s="16" t="n"/>
    </row>
    <row r="309">
      <c r="E309" s="15" t="n"/>
      <c r="F309" s="15" t="n"/>
      <c r="G309" s="15" t="n"/>
      <c r="H309" s="16" t="n"/>
      <c r="I309" s="16" t="n"/>
      <c r="J309" s="17" t="n"/>
      <c r="K309" s="17" t="n"/>
      <c r="L309" s="17" t="n"/>
      <c r="M309" s="16" t="n"/>
      <c r="N309" s="16" t="n"/>
      <c r="O309" s="18" t="n"/>
      <c r="P309" s="18" t="n"/>
      <c r="Q309" s="16" t="n"/>
    </row>
    <row r="310">
      <c r="E310" s="15" t="n"/>
      <c r="F310" s="15" t="n"/>
      <c r="G310" s="15" t="n"/>
      <c r="H310" s="16" t="n"/>
      <c r="I310" s="16" t="n"/>
      <c r="J310" s="17" t="n"/>
      <c r="K310" s="17" t="n"/>
      <c r="L310" s="17" t="n"/>
      <c r="M310" s="16" t="n"/>
      <c r="N310" s="16" t="n"/>
      <c r="O310" s="18" t="n"/>
      <c r="P310" s="18" t="n"/>
      <c r="Q310" s="16" t="n"/>
    </row>
    <row r="311">
      <c r="E311" s="15" t="n"/>
      <c r="F311" s="15" t="n"/>
      <c r="G311" s="15" t="n"/>
      <c r="H311" s="16" t="n"/>
      <c r="I311" s="16" t="n"/>
      <c r="J311" s="17" t="n"/>
      <c r="K311" s="17" t="n"/>
      <c r="L311" s="17" t="n"/>
      <c r="M311" s="16" t="n"/>
      <c r="N311" s="16" t="n"/>
      <c r="O311" s="18" t="n"/>
      <c r="P311" s="18" t="n"/>
      <c r="Q311" s="16" t="n"/>
    </row>
    <row r="312">
      <c r="E312" s="15" t="n"/>
      <c r="F312" s="15" t="n"/>
      <c r="G312" s="15" t="n"/>
      <c r="H312" s="16" t="n"/>
      <c r="I312" s="16" t="n"/>
      <c r="J312" s="17" t="n"/>
      <c r="K312" s="17" t="n"/>
      <c r="L312" s="17" t="n"/>
      <c r="M312" s="16" t="n"/>
      <c r="N312" s="16" t="n"/>
      <c r="O312" s="18" t="n"/>
      <c r="P312" s="18" t="n"/>
      <c r="Q312" s="16" t="n"/>
    </row>
    <row r="313">
      <c r="E313" s="15" t="n"/>
      <c r="F313" s="15" t="n"/>
      <c r="G313" s="15" t="n"/>
      <c r="H313" s="16" t="n"/>
      <c r="I313" s="16" t="n"/>
      <c r="J313" s="17" t="n"/>
      <c r="K313" s="17" t="n"/>
      <c r="L313" s="17" t="n"/>
      <c r="M313" s="16" t="n"/>
      <c r="N313" s="16" t="n"/>
      <c r="O313" s="18" t="n"/>
      <c r="P313" s="18" t="n"/>
      <c r="Q313" s="16" t="n"/>
    </row>
    <row r="314">
      <c r="E314" s="15" t="n"/>
      <c r="F314" s="15" t="n"/>
      <c r="G314" s="15" t="n"/>
      <c r="H314" s="16" t="n"/>
      <c r="I314" s="16" t="n"/>
      <c r="J314" s="17" t="n"/>
      <c r="K314" s="17" t="n"/>
      <c r="L314" s="17" t="n"/>
      <c r="M314" s="16" t="n"/>
      <c r="N314" s="16" t="n"/>
      <c r="O314" s="18" t="n"/>
      <c r="P314" s="18" t="n"/>
      <c r="Q314" s="16" t="n"/>
    </row>
    <row r="315">
      <c r="E315" s="15" t="n"/>
      <c r="F315" s="15" t="n"/>
      <c r="G315" s="15" t="n"/>
      <c r="H315" s="16" t="n"/>
      <c r="I315" s="16" t="n"/>
      <c r="J315" s="17" t="n"/>
      <c r="K315" s="17" t="n"/>
      <c r="L315" s="17" t="n"/>
      <c r="M315" s="16" t="n"/>
      <c r="N315" s="16" t="n"/>
      <c r="O315" s="18" t="n"/>
      <c r="P315" s="18" t="n"/>
      <c r="Q315" s="16" t="n"/>
    </row>
    <row r="316">
      <c r="E316" s="15" t="n"/>
      <c r="F316" s="15" t="n"/>
      <c r="G316" s="15" t="n"/>
      <c r="H316" s="16" t="n"/>
      <c r="I316" s="16" t="n"/>
      <c r="J316" s="17" t="n"/>
      <c r="K316" s="17" t="n"/>
      <c r="L316" s="17" t="n"/>
      <c r="M316" s="16" t="n"/>
      <c r="N316" s="16" t="n"/>
      <c r="O316" s="18" t="n"/>
      <c r="P316" s="18" t="n"/>
      <c r="Q316" s="16" t="n"/>
    </row>
    <row r="317">
      <c r="E317" s="15" t="n"/>
      <c r="F317" s="15" t="n"/>
      <c r="G317" s="15" t="n"/>
      <c r="H317" s="16" t="n"/>
      <c r="I317" s="16" t="n"/>
      <c r="J317" s="17" t="n"/>
      <c r="K317" s="17" t="n"/>
      <c r="L317" s="17" t="n"/>
      <c r="M317" s="16" t="n"/>
      <c r="N317" s="16" t="n"/>
      <c r="O317" s="18" t="n"/>
      <c r="P317" s="18" t="n"/>
      <c r="Q317" s="16" t="n"/>
    </row>
    <row r="318">
      <c r="E318" s="15" t="n"/>
      <c r="F318" s="15" t="n"/>
      <c r="G318" s="15" t="n"/>
      <c r="H318" s="16" t="n"/>
      <c r="I318" s="16" t="n"/>
      <c r="J318" s="17" t="n"/>
      <c r="K318" s="17" t="n"/>
      <c r="L318" s="17" t="n"/>
      <c r="M318" s="16" t="n"/>
      <c r="N318" s="16" t="n"/>
      <c r="O318" s="18" t="n"/>
      <c r="P318" s="18" t="n"/>
      <c r="Q318" s="16" t="n"/>
    </row>
    <row r="319">
      <c r="E319" s="15" t="n"/>
      <c r="F319" s="15" t="n"/>
      <c r="G319" s="15" t="n"/>
      <c r="H319" s="16" t="n"/>
      <c r="I319" s="16" t="n"/>
      <c r="J319" s="17" t="n"/>
      <c r="K319" s="17" t="n"/>
      <c r="L319" s="17" t="n"/>
      <c r="M319" s="16" t="n"/>
      <c r="N319" s="16" t="n"/>
      <c r="O319" s="18" t="n"/>
      <c r="P319" s="18" t="n"/>
      <c r="Q319" s="16" t="n"/>
    </row>
    <row r="320">
      <c r="E320" s="15" t="n"/>
      <c r="F320" s="15" t="n"/>
      <c r="G320" s="15" t="n"/>
      <c r="H320" s="16" t="n"/>
      <c r="I320" s="16" t="n"/>
      <c r="J320" s="17" t="n"/>
      <c r="K320" s="17" t="n"/>
      <c r="L320" s="17" t="n"/>
      <c r="M320" s="16" t="n"/>
      <c r="N320" s="16" t="n"/>
      <c r="O320" s="18" t="n"/>
      <c r="P320" s="18" t="n"/>
      <c r="Q320" s="16" t="n"/>
    </row>
    <row r="321">
      <c r="E321" s="15" t="n"/>
      <c r="F321" s="15" t="n"/>
      <c r="G321" s="15" t="n"/>
      <c r="H321" s="16" t="n"/>
      <c r="I321" s="16" t="n"/>
      <c r="J321" s="17" t="n"/>
      <c r="K321" s="17" t="n"/>
      <c r="L321" s="17" t="n"/>
      <c r="M321" s="16" t="n"/>
      <c r="N321" s="16" t="n"/>
      <c r="O321" s="18" t="n"/>
      <c r="P321" s="18" t="n"/>
      <c r="Q321" s="16" t="n"/>
    </row>
    <row r="322">
      <c r="E322" s="15" t="n"/>
      <c r="F322" s="15" t="n"/>
      <c r="G322" s="15" t="n"/>
      <c r="H322" s="16" t="n"/>
      <c r="I322" s="16" t="n"/>
      <c r="J322" s="17" t="n"/>
      <c r="K322" s="17" t="n"/>
      <c r="L322" s="17" t="n"/>
      <c r="M322" s="16" t="n"/>
      <c r="N322" s="16" t="n"/>
      <c r="O322" s="18" t="n"/>
      <c r="P322" s="18" t="n"/>
      <c r="Q322" s="16" t="n"/>
    </row>
    <row r="323">
      <c r="E323" s="15" t="n"/>
      <c r="F323" s="15" t="n"/>
      <c r="G323" s="15" t="n"/>
      <c r="H323" s="16" t="n"/>
      <c r="I323" s="16" t="n"/>
      <c r="J323" s="17" t="n"/>
      <c r="K323" s="17" t="n"/>
      <c r="L323" s="17" t="n"/>
      <c r="M323" s="16" t="n"/>
      <c r="N323" s="16" t="n"/>
      <c r="O323" s="18" t="n"/>
      <c r="P323" s="18" t="n"/>
      <c r="Q323" s="16" t="n"/>
    </row>
    <row r="324">
      <c r="E324" s="15" t="n"/>
      <c r="F324" s="15" t="n"/>
      <c r="G324" s="15" t="n"/>
      <c r="H324" s="16" t="n"/>
      <c r="I324" s="16" t="n"/>
      <c r="J324" s="17" t="n"/>
      <c r="K324" s="17" t="n"/>
      <c r="L324" s="17" t="n"/>
      <c r="M324" s="16" t="n"/>
      <c r="N324" s="16" t="n"/>
      <c r="O324" s="18" t="n"/>
      <c r="P324" s="18" t="n"/>
      <c r="Q324" s="16" t="n"/>
    </row>
    <row r="325">
      <c r="E325" s="15" t="n"/>
      <c r="F325" s="15" t="n"/>
      <c r="G325" s="15" t="n"/>
      <c r="H325" s="16" t="n"/>
      <c r="I325" s="16" t="n"/>
      <c r="J325" s="17" t="n"/>
      <c r="K325" s="17" t="n"/>
      <c r="L325" s="17" t="n"/>
      <c r="M325" s="16" t="n"/>
      <c r="N325" s="16" t="n"/>
      <c r="O325" s="18" t="n"/>
      <c r="P325" s="18" t="n"/>
      <c r="Q325" s="16" t="n"/>
    </row>
    <row r="326">
      <c r="E326" s="15" t="n"/>
      <c r="F326" s="15" t="n"/>
      <c r="G326" s="15" t="n"/>
      <c r="H326" s="16" t="n"/>
      <c r="I326" s="16" t="n"/>
      <c r="J326" s="17" t="n"/>
      <c r="K326" s="17" t="n"/>
      <c r="L326" s="17" t="n"/>
      <c r="M326" s="16" t="n"/>
      <c r="N326" s="16" t="n"/>
      <c r="O326" s="18" t="n"/>
      <c r="P326" s="18" t="n"/>
      <c r="Q326" s="16" t="n"/>
    </row>
    <row r="327">
      <c r="E327" s="15" t="n"/>
      <c r="F327" s="15" t="n"/>
      <c r="G327" s="15" t="n"/>
      <c r="H327" s="16" t="n"/>
      <c r="I327" s="16" t="n"/>
      <c r="J327" s="17" t="n"/>
      <c r="K327" s="17" t="n"/>
      <c r="L327" s="17" t="n"/>
      <c r="M327" s="16" t="n"/>
      <c r="N327" s="16" t="n"/>
      <c r="O327" s="18" t="n"/>
      <c r="P327" s="18" t="n"/>
      <c r="Q327" s="16" t="n"/>
    </row>
    <row r="328">
      <c r="E328" s="15" t="n"/>
      <c r="F328" s="15" t="n"/>
      <c r="G328" s="15" t="n"/>
      <c r="H328" s="16" t="n"/>
      <c r="I328" s="16" t="n"/>
      <c r="J328" s="17" t="n"/>
      <c r="K328" s="17" t="n"/>
      <c r="L328" s="17" t="n"/>
      <c r="M328" s="16" t="n"/>
      <c r="N328" s="16" t="n"/>
      <c r="O328" s="18" t="n"/>
      <c r="P328" s="18" t="n"/>
      <c r="Q328" s="16" t="n"/>
    </row>
    <row r="329">
      <c r="E329" s="15" t="n"/>
      <c r="F329" s="15" t="n"/>
      <c r="G329" s="15" t="n"/>
      <c r="H329" s="16" t="n"/>
      <c r="I329" s="16" t="n"/>
      <c r="J329" s="17" t="n"/>
      <c r="K329" s="17" t="n"/>
      <c r="L329" s="17" t="n"/>
      <c r="M329" s="16" t="n"/>
      <c r="N329" s="16" t="n"/>
      <c r="O329" s="18" t="n"/>
      <c r="P329" s="18" t="n"/>
      <c r="Q329" s="16" t="n"/>
    </row>
    <row r="330">
      <c r="E330" s="15" t="n"/>
      <c r="F330" s="15" t="n"/>
      <c r="G330" s="15" t="n"/>
      <c r="H330" s="16" t="n"/>
      <c r="I330" s="16" t="n"/>
      <c r="J330" s="17" t="n"/>
      <c r="K330" s="17" t="n"/>
      <c r="L330" s="17" t="n"/>
      <c r="M330" s="16" t="n"/>
      <c r="N330" s="16" t="n"/>
      <c r="O330" s="18" t="n"/>
      <c r="P330" s="18" t="n"/>
      <c r="Q330" s="16" t="n"/>
    </row>
    <row r="331">
      <c r="E331" s="15" t="n"/>
      <c r="F331" s="15" t="n"/>
      <c r="G331" s="15" t="n"/>
      <c r="H331" s="16" t="n"/>
      <c r="I331" s="16" t="n"/>
      <c r="J331" s="17" t="n"/>
      <c r="K331" s="17" t="n"/>
      <c r="L331" s="17" t="n"/>
      <c r="M331" s="16" t="n"/>
      <c r="N331" s="16" t="n"/>
      <c r="O331" s="18" t="n"/>
      <c r="P331" s="18" t="n"/>
      <c r="Q331" s="16" t="n"/>
    </row>
    <row r="332">
      <c r="E332" s="15" t="n"/>
      <c r="F332" s="15" t="n"/>
      <c r="G332" s="15" t="n"/>
      <c r="H332" s="16" t="n"/>
      <c r="I332" s="16" t="n"/>
      <c r="J332" s="17" t="n"/>
      <c r="K332" s="17" t="n"/>
      <c r="L332" s="17" t="n"/>
      <c r="M332" s="16" t="n"/>
      <c r="N332" s="16" t="n"/>
      <c r="O332" s="18" t="n"/>
      <c r="P332" s="18" t="n"/>
      <c r="Q332" s="16" t="n"/>
    </row>
    <row r="333">
      <c r="E333" s="15" t="n"/>
      <c r="F333" s="15" t="n"/>
      <c r="G333" s="15" t="n"/>
      <c r="H333" s="16" t="n"/>
      <c r="I333" s="16" t="n"/>
      <c r="J333" s="17" t="n"/>
      <c r="K333" s="17" t="n"/>
      <c r="L333" s="17" t="n"/>
      <c r="M333" s="16" t="n"/>
      <c r="N333" s="16" t="n"/>
      <c r="O333" s="18" t="n"/>
      <c r="P333" s="18" t="n"/>
      <c r="Q333" s="16" t="n"/>
    </row>
    <row r="334">
      <c r="E334" s="15" t="n"/>
      <c r="F334" s="15" t="n"/>
      <c r="G334" s="15" t="n"/>
      <c r="H334" s="16" t="n"/>
      <c r="I334" s="16" t="n"/>
      <c r="J334" s="17" t="n"/>
      <c r="K334" s="17" t="n"/>
      <c r="L334" s="17" t="n"/>
      <c r="M334" s="16" t="n"/>
      <c r="N334" s="16" t="n"/>
      <c r="O334" s="18" t="n"/>
      <c r="P334" s="18" t="n"/>
      <c r="Q334" s="16" t="n"/>
    </row>
    <row r="335">
      <c r="E335" s="15" t="n"/>
      <c r="F335" s="15" t="n"/>
      <c r="G335" s="15" t="n"/>
      <c r="H335" s="16" t="n"/>
      <c r="I335" s="16" t="n"/>
      <c r="J335" s="17" t="n"/>
      <c r="K335" s="17" t="n"/>
      <c r="L335" s="17" t="n"/>
      <c r="M335" s="16" t="n"/>
      <c r="N335" s="16" t="n"/>
      <c r="O335" s="18" t="n"/>
      <c r="P335" s="18" t="n"/>
      <c r="Q335" s="16" t="n"/>
    </row>
    <row r="336">
      <c r="E336" s="15" t="n"/>
      <c r="F336" s="15" t="n"/>
      <c r="G336" s="15" t="n"/>
      <c r="H336" s="16" t="n"/>
      <c r="I336" s="16" t="n"/>
      <c r="J336" s="17" t="n"/>
      <c r="K336" s="17" t="n"/>
      <c r="L336" s="17" t="n"/>
      <c r="M336" s="16" t="n"/>
      <c r="N336" s="16" t="n"/>
      <c r="O336" s="18" t="n"/>
      <c r="P336" s="18" t="n"/>
      <c r="Q336" s="16" t="n"/>
    </row>
    <row r="337">
      <c r="E337" s="15" t="n"/>
      <c r="F337" s="15" t="n"/>
      <c r="G337" s="15" t="n"/>
      <c r="H337" s="16" t="n"/>
      <c r="I337" s="16" t="n"/>
      <c r="J337" s="17" t="n"/>
      <c r="K337" s="17" t="n"/>
      <c r="L337" s="17" t="n"/>
      <c r="M337" s="16" t="n"/>
      <c r="N337" s="16" t="n"/>
      <c r="O337" s="18" t="n"/>
      <c r="P337" s="18" t="n"/>
      <c r="Q337" s="16" t="n"/>
    </row>
    <row r="338">
      <c r="E338" s="15" t="n"/>
      <c r="F338" s="15" t="n"/>
      <c r="G338" s="15" t="n"/>
      <c r="H338" s="16" t="n"/>
      <c r="I338" s="16" t="n"/>
      <c r="J338" s="17" t="n"/>
      <c r="K338" s="17" t="n"/>
      <c r="L338" s="17" t="n"/>
      <c r="M338" s="16" t="n"/>
      <c r="N338" s="16" t="n"/>
      <c r="O338" s="18" t="n"/>
      <c r="P338" s="18" t="n"/>
      <c r="Q338" s="16" t="n"/>
    </row>
    <row r="339">
      <c r="E339" s="15" t="n"/>
      <c r="F339" s="15" t="n"/>
      <c r="G339" s="15" t="n"/>
      <c r="H339" s="16" t="n"/>
      <c r="I339" s="16" t="n"/>
      <c r="J339" s="17" t="n"/>
      <c r="K339" s="17" t="n"/>
      <c r="L339" s="17" t="n"/>
      <c r="M339" s="16" t="n"/>
      <c r="N339" s="16" t="n"/>
      <c r="O339" s="18" t="n"/>
      <c r="P339" s="18" t="n"/>
      <c r="Q339" s="16" t="n"/>
    </row>
    <row r="340">
      <c r="E340" s="15" t="n"/>
      <c r="F340" s="15" t="n"/>
      <c r="G340" s="15" t="n"/>
      <c r="H340" s="16" t="n"/>
      <c r="I340" s="16" t="n"/>
      <c r="J340" s="17" t="n"/>
      <c r="K340" s="17" t="n"/>
      <c r="L340" s="17" t="n"/>
      <c r="M340" s="16" t="n"/>
      <c r="N340" s="16" t="n"/>
      <c r="O340" s="18" t="n"/>
      <c r="P340" s="18" t="n"/>
      <c r="Q340" s="16" t="n"/>
    </row>
    <row r="341">
      <c r="E341" s="15" t="n"/>
      <c r="F341" s="15" t="n"/>
      <c r="G341" s="15" t="n"/>
      <c r="H341" s="16" t="n"/>
      <c r="I341" s="16" t="n"/>
      <c r="J341" s="17" t="n"/>
      <c r="K341" s="17" t="n"/>
      <c r="L341" s="17" t="n"/>
      <c r="M341" s="16" t="n"/>
      <c r="N341" s="16" t="n"/>
      <c r="O341" s="18" t="n"/>
      <c r="P341" s="18" t="n"/>
      <c r="Q341" s="16" t="n"/>
    </row>
    <row r="342">
      <c r="E342" s="15" t="n"/>
      <c r="F342" s="15" t="n"/>
      <c r="G342" s="15" t="n"/>
      <c r="H342" s="16" t="n"/>
      <c r="I342" s="16" t="n"/>
      <c r="J342" s="17" t="n"/>
      <c r="K342" s="17" t="n"/>
      <c r="L342" s="17" t="n"/>
      <c r="M342" s="16" t="n"/>
      <c r="N342" s="16" t="n"/>
      <c r="O342" s="18" t="n"/>
      <c r="P342" s="18" t="n"/>
      <c r="Q342" s="16" t="n"/>
    </row>
    <row r="343">
      <c r="E343" s="15" t="n"/>
      <c r="F343" s="15" t="n"/>
      <c r="G343" s="15" t="n"/>
      <c r="H343" s="16" t="n"/>
      <c r="I343" s="16" t="n"/>
      <c r="J343" s="17" t="n"/>
      <c r="K343" s="17" t="n"/>
      <c r="L343" s="17" t="n"/>
      <c r="M343" s="16" t="n"/>
      <c r="N343" s="16" t="n"/>
      <c r="O343" s="18" t="n"/>
      <c r="P343" s="18" t="n"/>
      <c r="Q343" s="16" t="n"/>
    </row>
    <row r="344">
      <c r="E344" s="15" t="n"/>
      <c r="F344" s="15" t="n"/>
      <c r="G344" s="15" t="n"/>
      <c r="H344" s="16" t="n"/>
      <c r="I344" s="16" t="n"/>
      <c r="J344" s="17" t="n"/>
      <c r="K344" s="17" t="n"/>
      <c r="L344" s="17" t="n"/>
      <c r="M344" s="16" t="n"/>
      <c r="N344" s="16" t="n"/>
      <c r="O344" s="18" t="n"/>
      <c r="P344" s="18" t="n"/>
      <c r="Q344" s="16" t="n"/>
    </row>
    <row r="345">
      <c r="E345" s="15" t="n"/>
      <c r="F345" s="15" t="n"/>
      <c r="G345" s="15" t="n"/>
      <c r="H345" s="16" t="n"/>
      <c r="I345" s="16" t="n"/>
      <c r="J345" s="17" t="n"/>
      <c r="K345" s="17" t="n"/>
      <c r="L345" s="17" t="n"/>
      <c r="M345" s="16" t="n"/>
      <c r="N345" s="16" t="n"/>
      <c r="O345" s="18" t="n"/>
      <c r="P345" s="18" t="n"/>
      <c r="Q345" s="16" t="n"/>
    </row>
    <row r="346">
      <c r="E346" s="15" t="n"/>
      <c r="F346" s="15" t="n"/>
      <c r="G346" s="15" t="n"/>
      <c r="H346" s="16" t="n"/>
      <c r="I346" s="16" t="n"/>
      <c r="J346" s="17" t="n"/>
      <c r="K346" s="17" t="n"/>
      <c r="L346" s="17" t="n"/>
      <c r="M346" s="16" t="n"/>
      <c r="N346" s="16" t="n"/>
      <c r="O346" s="18" t="n"/>
      <c r="P346" s="18" t="n"/>
      <c r="Q346" s="16" t="n"/>
    </row>
    <row r="347">
      <c r="E347" s="15" t="n"/>
      <c r="F347" s="15" t="n"/>
      <c r="G347" s="15" t="n"/>
      <c r="H347" s="16" t="n"/>
      <c r="I347" s="16" t="n"/>
      <c r="J347" s="17" t="n"/>
      <c r="K347" s="17" t="n"/>
      <c r="L347" s="17" t="n"/>
      <c r="M347" s="16" t="n"/>
      <c r="N347" s="16" t="n"/>
      <c r="O347" s="18" t="n"/>
      <c r="P347" s="18" t="n"/>
      <c r="Q347" s="16" t="n"/>
    </row>
    <row r="348">
      <c r="E348" s="15" t="n"/>
      <c r="F348" s="15" t="n"/>
      <c r="G348" s="15" t="n"/>
      <c r="H348" s="16" t="n"/>
      <c r="I348" s="16" t="n"/>
      <c r="J348" s="17" t="n"/>
      <c r="K348" s="17" t="n"/>
      <c r="L348" s="17" t="n"/>
      <c r="M348" s="16" t="n"/>
      <c r="N348" s="16" t="n"/>
      <c r="O348" s="18" t="n"/>
      <c r="P348" s="18" t="n"/>
      <c r="Q348" s="16" t="n"/>
    </row>
    <row r="349">
      <c r="E349" s="15" t="n"/>
      <c r="F349" s="15" t="n"/>
      <c r="G349" s="15" t="n"/>
      <c r="H349" s="16" t="n"/>
      <c r="I349" s="16" t="n"/>
      <c r="J349" s="17" t="n"/>
      <c r="K349" s="17" t="n"/>
      <c r="L349" s="17" t="n"/>
      <c r="M349" s="16" t="n"/>
      <c r="N349" s="16" t="n"/>
      <c r="O349" s="18" t="n"/>
      <c r="P349" s="18" t="n"/>
      <c r="Q349" s="16" t="n"/>
    </row>
    <row r="350">
      <c r="E350" s="15" t="n"/>
      <c r="F350" s="15" t="n"/>
      <c r="G350" s="15" t="n"/>
      <c r="H350" s="16" t="n"/>
      <c r="I350" s="16" t="n"/>
      <c r="J350" s="17" t="n"/>
      <c r="K350" s="17" t="n"/>
      <c r="L350" s="17" t="n"/>
      <c r="M350" s="16" t="n"/>
      <c r="N350" s="16" t="n"/>
      <c r="O350" s="18" t="n"/>
      <c r="P350" s="18" t="n"/>
      <c r="Q350" s="16" t="n"/>
    </row>
    <row r="351">
      <c r="E351" s="15" t="n"/>
      <c r="F351" s="15" t="n"/>
      <c r="G351" s="15" t="n"/>
      <c r="H351" s="16" t="n"/>
      <c r="I351" s="16" t="n"/>
      <c r="J351" s="17" t="n"/>
      <c r="K351" s="17" t="n"/>
      <c r="L351" s="17" t="n"/>
      <c r="M351" s="16" t="n"/>
      <c r="N351" s="16" t="n"/>
      <c r="O351" s="18" t="n"/>
      <c r="P351" s="18" t="n"/>
      <c r="Q351" s="16" t="n"/>
    </row>
    <row r="352">
      <c r="E352" s="15" t="n"/>
      <c r="F352" s="15" t="n"/>
      <c r="G352" s="15" t="n"/>
      <c r="H352" s="16" t="n"/>
      <c r="I352" s="16" t="n"/>
      <c r="J352" s="17" t="n"/>
      <c r="K352" s="17" t="n"/>
      <c r="L352" s="17" t="n"/>
      <c r="M352" s="16" t="n"/>
      <c r="N352" s="16" t="n"/>
      <c r="O352" s="18" t="n"/>
      <c r="P352" s="18" t="n"/>
      <c r="Q352" s="16" t="n"/>
    </row>
    <row r="353">
      <c r="E353" s="15" t="n"/>
      <c r="F353" s="15" t="n"/>
      <c r="G353" s="15" t="n"/>
      <c r="H353" s="16" t="n"/>
      <c r="I353" s="16" t="n"/>
      <c r="J353" s="17" t="n"/>
      <c r="K353" s="17" t="n"/>
      <c r="L353" s="17" t="n"/>
      <c r="M353" s="16" t="n"/>
      <c r="N353" s="16" t="n"/>
      <c r="O353" s="18" t="n"/>
      <c r="P353" s="18" t="n"/>
      <c r="Q353" s="16" t="n"/>
    </row>
    <row r="354">
      <c r="E354" s="15" t="n"/>
      <c r="F354" s="15" t="n"/>
      <c r="G354" s="15" t="n"/>
      <c r="H354" s="16" t="n"/>
      <c r="I354" s="16" t="n"/>
      <c r="J354" s="17" t="n"/>
      <c r="K354" s="17" t="n"/>
      <c r="L354" s="17" t="n"/>
      <c r="M354" s="16" t="n"/>
      <c r="N354" s="16" t="n"/>
      <c r="O354" s="18" t="n"/>
      <c r="P354" s="18" t="n"/>
      <c r="Q354" s="16" t="n"/>
    </row>
    <row r="355">
      <c r="E355" s="15" t="n"/>
      <c r="F355" s="15" t="n"/>
      <c r="G355" s="15" t="n"/>
      <c r="H355" s="16" t="n"/>
      <c r="I355" s="16" t="n"/>
      <c r="J355" s="17" t="n"/>
      <c r="K355" s="17" t="n"/>
      <c r="L355" s="17" t="n"/>
      <c r="M355" s="16" t="n"/>
      <c r="N355" s="16" t="n"/>
      <c r="O355" s="18" t="n"/>
      <c r="P355" s="18" t="n"/>
      <c r="Q355" s="16" t="n"/>
    </row>
    <row r="356">
      <c r="E356" s="15" t="n"/>
      <c r="F356" s="15" t="n"/>
      <c r="G356" s="15" t="n"/>
      <c r="H356" s="16" t="n"/>
      <c r="I356" s="16" t="n"/>
      <c r="J356" s="17" t="n"/>
      <c r="K356" s="17" t="n"/>
      <c r="L356" s="17" t="n"/>
      <c r="M356" s="16" t="n"/>
      <c r="N356" s="16" t="n"/>
      <c r="O356" s="18" t="n"/>
      <c r="P356" s="18" t="n"/>
      <c r="Q356" s="16" t="n"/>
    </row>
    <row r="357">
      <c r="E357" s="15" t="n"/>
      <c r="F357" s="15" t="n"/>
      <c r="G357" s="15" t="n"/>
      <c r="H357" s="16" t="n"/>
      <c r="I357" s="16" t="n"/>
      <c r="J357" s="17" t="n"/>
      <c r="K357" s="17" t="n"/>
      <c r="L357" s="17" t="n"/>
      <c r="M357" s="16" t="n"/>
      <c r="N357" s="16" t="n"/>
      <c r="O357" s="18" t="n"/>
      <c r="P357" s="18" t="n"/>
      <c r="Q357" s="16" t="n"/>
    </row>
    <row r="358">
      <c r="E358" s="15" t="n"/>
      <c r="F358" s="15" t="n"/>
      <c r="G358" s="15" t="n"/>
      <c r="H358" s="16" t="n"/>
      <c r="I358" s="16" t="n"/>
      <c r="J358" s="17" t="n"/>
      <c r="K358" s="17" t="n"/>
      <c r="L358" s="17" t="n"/>
      <c r="M358" s="16" t="n"/>
      <c r="N358" s="16" t="n"/>
      <c r="O358" s="18" t="n"/>
      <c r="P358" s="18" t="n"/>
      <c r="Q358" s="16" t="n"/>
    </row>
    <row r="359">
      <c r="E359" s="15" t="n"/>
      <c r="F359" s="15" t="n"/>
      <c r="G359" s="15" t="n"/>
      <c r="H359" s="16" t="n"/>
      <c r="I359" s="16" t="n"/>
      <c r="J359" s="17" t="n"/>
      <c r="K359" s="17" t="n"/>
      <c r="L359" s="17" t="n"/>
      <c r="M359" s="16" t="n"/>
      <c r="N359" s="16" t="n"/>
      <c r="O359" s="18" t="n"/>
      <c r="P359" s="18" t="n"/>
      <c r="Q359" s="16" t="n"/>
    </row>
    <row r="360">
      <c r="E360" s="15" t="n"/>
      <c r="F360" s="15" t="n"/>
      <c r="G360" s="15" t="n"/>
      <c r="H360" s="16" t="n"/>
      <c r="I360" s="16" t="n"/>
      <c r="J360" s="17" t="n"/>
      <c r="K360" s="17" t="n"/>
      <c r="L360" s="17" t="n"/>
      <c r="M360" s="16" t="n"/>
      <c r="N360" s="16" t="n"/>
      <c r="O360" s="18" t="n"/>
      <c r="P360" s="18" t="n"/>
      <c r="Q360" s="16" t="n"/>
    </row>
    <row r="361">
      <c r="E361" s="15" t="n"/>
      <c r="F361" s="15" t="n"/>
      <c r="G361" s="15" t="n"/>
      <c r="H361" s="16" t="n"/>
      <c r="I361" s="16" t="n"/>
      <c r="J361" s="17" t="n"/>
      <c r="K361" s="17" t="n"/>
      <c r="L361" s="17" t="n"/>
      <c r="M361" s="16" t="n"/>
      <c r="N361" s="16" t="n"/>
      <c r="O361" s="18" t="n"/>
      <c r="P361" s="18" t="n"/>
      <c r="Q361" s="16" t="n"/>
    </row>
    <row r="362">
      <c r="E362" s="15" t="n"/>
      <c r="F362" s="15" t="n"/>
      <c r="G362" s="15" t="n"/>
      <c r="H362" s="16" t="n"/>
      <c r="I362" s="16" t="n"/>
      <c r="J362" s="17" t="n"/>
      <c r="K362" s="17" t="n"/>
      <c r="L362" s="17" t="n"/>
      <c r="M362" s="16" t="n"/>
      <c r="N362" s="16" t="n"/>
      <c r="O362" s="18" t="n"/>
      <c r="P362" s="18" t="n"/>
      <c r="Q362" s="16" t="n"/>
    </row>
    <row r="363">
      <c r="E363" s="15" t="n"/>
      <c r="F363" s="15" t="n"/>
      <c r="G363" s="15" t="n"/>
      <c r="H363" s="16" t="n"/>
      <c r="I363" s="16" t="n"/>
      <c r="J363" s="17" t="n"/>
      <c r="K363" s="17" t="n"/>
      <c r="L363" s="17" t="n"/>
      <c r="M363" s="16" t="n"/>
      <c r="N363" s="16" t="n"/>
      <c r="O363" s="18" t="n"/>
      <c r="P363" s="18" t="n"/>
      <c r="Q363" s="16" t="n"/>
    </row>
    <row r="364">
      <c r="E364" s="15" t="n"/>
      <c r="F364" s="15" t="n"/>
      <c r="G364" s="15" t="n"/>
      <c r="H364" s="16" t="n"/>
      <c r="I364" s="16" t="n"/>
      <c r="J364" s="17" t="n"/>
      <c r="K364" s="17" t="n"/>
      <c r="L364" s="17" t="n"/>
      <c r="M364" s="16" t="n"/>
      <c r="N364" s="16" t="n"/>
      <c r="O364" s="18" t="n"/>
      <c r="P364" s="18" t="n"/>
      <c r="Q364" s="16" t="n"/>
    </row>
    <row r="365">
      <c r="E365" s="15" t="n"/>
      <c r="F365" s="15" t="n"/>
      <c r="G365" s="15" t="n"/>
      <c r="H365" s="16" t="n"/>
      <c r="I365" s="16" t="n"/>
      <c r="J365" s="17" t="n"/>
      <c r="K365" s="17" t="n"/>
      <c r="L365" s="17" t="n"/>
      <c r="M365" s="16" t="n"/>
      <c r="N365" s="16" t="n"/>
      <c r="O365" s="18" t="n"/>
      <c r="P365" s="18" t="n"/>
      <c r="Q365" s="16" t="n"/>
    </row>
    <row r="366">
      <c r="E366" s="15" t="n"/>
      <c r="F366" s="15" t="n"/>
      <c r="G366" s="15" t="n"/>
      <c r="H366" s="16" t="n"/>
      <c r="I366" s="16" t="n"/>
      <c r="J366" s="17" t="n"/>
      <c r="K366" s="17" t="n"/>
      <c r="L366" s="17" t="n"/>
      <c r="M366" s="16" t="n"/>
      <c r="N366" s="16" t="n"/>
      <c r="O366" s="18" t="n"/>
      <c r="P366" s="18" t="n"/>
      <c r="Q366" s="16" t="n"/>
    </row>
    <row r="367">
      <c r="E367" s="15" t="n"/>
      <c r="F367" s="15" t="n"/>
      <c r="G367" s="15" t="n"/>
      <c r="H367" s="16" t="n"/>
      <c r="I367" s="16" t="n"/>
      <c r="J367" s="17" t="n"/>
      <c r="K367" s="17" t="n"/>
      <c r="L367" s="17" t="n"/>
      <c r="M367" s="16" t="n"/>
      <c r="N367" s="16" t="n"/>
      <c r="O367" s="18" t="n"/>
      <c r="P367" s="18" t="n"/>
      <c r="Q367" s="16" t="n"/>
    </row>
    <row r="368">
      <c r="E368" s="15" t="n"/>
      <c r="F368" s="15" t="n"/>
      <c r="G368" s="15" t="n"/>
      <c r="H368" s="16" t="n"/>
      <c r="I368" s="16" t="n"/>
      <c r="J368" s="17" t="n"/>
      <c r="K368" s="17" t="n"/>
      <c r="L368" s="17" t="n"/>
      <c r="M368" s="16" t="n"/>
      <c r="N368" s="16" t="n"/>
      <c r="O368" s="18" t="n"/>
      <c r="P368" s="18" t="n"/>
      <c r="Q368" s="16" t="n"/>
    </row>
    <row r="369">
      <c r="E369" s="15" t="n"/>
      <c r="F369" s="15" t="n"/>
      <c r="G369" s="15" t="n"/>
      <c r="H369" s="16" t="n"/>
      <c r="I369" s="16" t="n"/>
      <c r="J369" s="17" t="n"/>
      <c r="K369" s="17" t="n"/>
      <c r="L369" s="17" t="n"/>
      <c r="M369" s="16" t="n"/>
      <c r="N369" s="16" t="n"/>
      <c r="O369" s="18" t="n"/>
      <c r="P369" s="18" t="n"/>
      <c r="Q369" s="16" t="n"/>
    </row>
    <row r="370">
      <c r="E370" s="15" t="n"/>
      <c r="F370" s="15" t="n"/>
      <c r="G370" s="15" t="n"/>
      <c r="H370" s="16" t="n"/>
      <c r="I370" s="16" t="n"/>
      <c r="J370" s="17" t="n"/>
      <c r="K370" s="17" t="n"/>
      <c r="L370" s="17" t="n"/>
      <c r="M370" s="16" t="n"/>
      <c r="N370" s="16" t="n"/>
      <c r="O370" s="18" t="n"/>
      <c r="P370" s="18" t="n"/>
      <c r="Q370" s="16" t="n"/>
    </row>
    <row r="371">
      <c r="E371" s="15" t="n"/>
      <c r="F371" s="15" t="n"/>
      <c r="G371" s="15" t="n"/>
      <c r="H371" s="16" t="n"/>
      <c r="I371" s="16" t="n"/>
      <c r="J371" s="17" t="n"/>
      <c r="K371" s="17" t="n"/>
      <c r="L371" s="17" t="n"/>
      <c r="M371" s="16" t="n"/>
      <c r="N371" s="16" t="n"/>
      <c r="O371" s="18" t="n"/>
      <c r="P371" s="18" t="n"/>
      <c r="Q371" s="16" t="n"/>
    </row>
    <row r="372">
      <c r="E372" s="15" t="n"/>
      <c r="F372" s="15" t="n"/>
      <c r="G372" s="15" t="n"/>
      <c r="H372" s="16" t="n"/>
      <c r="I372" s="16" t="n"/>
      <c r="J372" s="17" t="n"/>
      <c r="K372" s="17" t="n"/>
      <c r="L372" s="17" t="n"/>
      <c r="M372" s="16" t="n"/>
      <c r="N372" s="16" t="n"/>
      <c r="O372" s="18" t="n"/>
      <c r="P372" s="18" t="n"/>
      <c r="Q372" s="16" t="n"/>
    </row>
    <row r="373">
      <c r="E373" s="15" t="n"/>
      <c r="F373" s="15" t="n"/>
      <c r="G373" s="15" t="n"/>
      <c r="H373" s="16" t="n"/>
      <c r="I373" s="16" t="n"/>
      <c r="J373" s="17" t="n"/>
      <c r="K373" s="17" t="n"/>
      <c r="L373" s="17" t="n"/>
      <c r="M373" s="16" t="n"/>
      <c r="N373" s="16" t="n"/>
      <c r="O373" s="18" t="n"/>
      <c r="P373" s="18" t="n"/>
      <c r="Q373" s="16" t="n"/>
    </row>
    <row r="374">
      <c r="E374" s="15" t="n"/>
      <c r="F374" s="15" t="n"/>
      <c r="G374" s="15" t="n"/>
      <c r="H374" s="16" t="n"/>
      <c r="I374" s="16" t="n"/>
      <c r="J374" s="17" t="n"/>
      <c r="K374" s="17" t="n"/>
      <c r="L374" s="17" t="n"/>
      <c r="M374" s="16" t="n"/>
      <c r="N374" s="16" t="n"/>
      <c r="O374" s="18" t="n"/>
      <c r="P374" s="18" t="n"/>
      <c r="Q374" s="16" t="n"/>
    </row>
    <row r="375">
      <c r="E375" s="15" t="n"/>
      <c r="F375" s="15" t="n"/>
      <c r="G375" s="15" t="n"/>
      <c r="H375" s="16" t="n"/>
      <c r="I375" s="16" t="n"/>
      <c r="J375" s="17" t="n"/>
      <c r="K375" s="17" t="n"/>
      <c r="L375" s="17" t="n"/>
      <c r="M375" s="16" t="n"/>
      <c r="N375" s="16" t="n"/>
      <c r="O375" s="18" t="n"/>
      <c r="P375" s="18" t="n"/>
      <c r="Q375" s="16" t="n"/>
    </row>
    <row r="376">
      <c r="E376" s="15" t="n"/>
      <c r="F376" s="15" t="n"/>
      <c r="G376" s="15" t="n"/>
      <c r="H376" s="16" t="n"/>
      <c r="I376" s="16" t="n"/>
      <c r="J376" s="17" t="n"/>
      <c r="K376" s="17" t="n"/>
      <c r="L376" s="17" t="n"/>
      <c r="M376" s="16" t="n"/>
      <c r="N376" s="16" t="n"/>
      <c r="O376" s="18" t="n"/>
      <c r="P376" s="18" t="n"/>
      <c r="Q376" s="16" t="n"/>
    </row>
    <row r="377">
      <c r="E377" s="15" t="n"/>
      <c r="F377" s="15" t="n"/>
      <c r="G377" s="15" t="n"/>
      <c r="H377" s="16" t="n"/>
      <c r="I377" s="16" t="n"/>
      <c r="J377" s="17" t="n"/>
      <c r="K377" s="17" t="n"/>
      <c r="L377" s="17" t="n"/>
      <c r="M377" s="16" t="n"/>
      <c r="N377" s="16" t="n"/>
      <c r="O377" s="18" t="n"/>
      <c r="P377" s="18" t="n"/>
      <c r="Q377" s="16" t="n"/>
    </row>
    <row r="378">
      <c r="E378" s="15" t="n"/>
      <c r="F378" s="15" t="n"/>
      <c r="G378" s="15" t="n"/>
      <c r="H378" s="16" t="n"/>
      <c r="I378" s="16" t="n"/>
      <c r="J378" s="17" t="n"/>
      <c r="K378" s="17" t="n"/>
      <c r="L378" s="17" t="n"/>
      <c r="M378" s="16" t="n"/>
      <c r="N378" s="16" t="n"/>
      <c r="O378" s="18" t="n"/>
      <c r="P378" s="18" t="n"/>
      <c r="Q378" s="16" t="n"/>
    </row>
    <row r="379">
      <c r="E379" s="15" t="n"/>
      <c r="F379" s="15" t="n"/>
      <c r="G379" s="15" t="n"/>
      <c r="H379" s="16" t="n"/>
      <c r="I379" s="16" t="n"/>
      <c r="J379" s="17" t="n"/>
      <c r="K379" s="17" t="n"/>
      <c r="L379" s="17" t="n"/>
      <c r="M379" s="16" t="n"/>
      <c r="N379" s="16" t="n"/>
      <c r="O379" s="18" t="n"/>
      <c r="P379" s="18" t="n"/>
      <c r="Q379" s="16" t="n"/>
    </row>
    <row r="380">
      <c r="E380" s="15" t="n"/>
      <c r="F380" s="15" t="n"/>
      <c r="G380" s="15" t="n"/>
      <c r="H380" s="16" t="n"/>
      <c r="I380" s="16" t="n"/>
      <c r="J380" s="17" t="n"/>
      <c r="K380" s="17" t="n"/>
      <c r="L380" s="17" t="n"/>
      <c r="M380" s="16" t="n"/>
      <c r="N380" s="16" t="n"/>
      <c r="O380" s="18" t="n"/>
      <c r="P380" s="18" t="n"/>
      <c r="Q380" s="16" t="n"/>
    </row>
    <row r="381">
      <c r="E381" s="15" t="n"/>
      <c r="F381" s="15" t="n"/>
      <c r="G381" s="15" t="n"/>
      <c r="H381" s="16" t="n"/>
      <c r="I381" s="16" t="n"/>
      <c r="J381" s="17" t="n"/>
      <c r="K381" s="17" t="n"/>
      <c r="L381" s="17" t="n"/>
      <c r="M381" s="16" t="n"/>
      <c r="N381" s="16" t="n"/>
      <c r="O381" s="18" t="n"/>
      <c r="P381" s="18" t="n"/>
      <c r="Q381" s="16" t="n"/>
    </row>
    <row r="382">
      <c r="E382" s="15" t="n"/>
      <c r="F382" s="15" t="n"/>
      <c r="G382" s="15" t="n"/>
      <c r="H382" s="16" t="n"/>
      <c r="I382" s="16" t="n"/>
      <c r="J382" s="17" t="n"/>
      <c r="K382" s="17" t="n"/>
      <c r="L382" s="17" t="n"/>
      <c r="M382" s="16" t="n"/>
      <c r="N382" s="16" t="n"/>
      <c r="O382" s="18" t="n"/>
      <c r="P382" s="18" t="n"/>
      <c r="Q382" s="16" t="n"/>
    </row>
    <row r="383">
      <c r="E383" s="15" t="n"/>
      <c r="F383" s="15" t="n"/>
      <c r="G383" s="15" t="n"/>
      <c r="H383" s="16" t="n"/>
      <c r="I383" s="16" t="n"/>
      <c r="J383" s="17" t="n"/>
      <c r="K383" s="17" t="n"/>
      <c r="L383" s="17" t="n"/>
      <c r="M383" s="16" t="n"/>
      <c r="N383" s="16" t="n"/>
      <c r="O383" s="18" t="n"/>
      <c r="P383" s="18" t="n"/>
      <c r="Q383" s="16" t="n"/>
    </row>
    <row r="384">
      <c r="E384" s="15" t="n"/>
      <c r="F384" s="15" t="n"/>
      <c r="G384" s="15" t="n"/>
      <c r="H384" s="16" t="n"/>
      <c r="I384" s="16" t="n"/>
      <c r="J384" s="17" t="n"/>
      <c r="K384" s="17" t="n"/>
      <c r="L384" s="17" t="n"/>
      <c r="M384" s="16" t="n"/>
      <c r="N384" s="16" t="n"/>
      <c r="O384" s="18" t="n"/>
      <c r="P384" s="18" t="n"/>
      <c r="Q384" s="16" t="n"/>
    </row>
    <row r="385">
      <c r="E385" s="15" t="n"/>
      <c r="F385" s="15" t="n"/>
      <c r="G385" s="15" t="n"/>
      <c r="H385" s="16" t="n"/>
      <c r="I385" s="16" t="n"/>
      <c r="J385" s="17" t="n"/>
      <c r="K385" s="17" t="n"/>
      <c r="L385" s="17" t="n"/>
      <c r="M385" s="16" t="n"/>
      <c r="N385" s="16" t="n"/>
      <c r="O385" s="18" t="n"/>
      <c r="P385" s="18" t="n"/>
      <c r="Q385" s="16" t="n"/>
    </row>
    <row r="386">
      <c r="E386" s="15" t="n"/>
      <c r="F386" s="15" t="n"/>
      <c r="G386" s="15" t="n"/>
      <c r="H386" s="16" t="n"/>
      <c r="I386" s="16" t="n"/>
      <c r="J386" s="17" t="n"/>
      <c r="K386" s="17" t="n"/>
      <c r="L386" s="17" t="n"/>
      <c r="M386" s="16" t="n"/>
      <c r="N386" s="16" t="n"/>
      <c r="O386" s="18" t="n"/>
      <c r="P386" s="18" t="n"/>
      <c r="Q386" s="16" t="n"/>
    </row>
    <row r="387">
      <c r="E387" s="15" t="n"/>
      <c r="F387" s="15" t="n"/>
      <c r="G387" s="15" t="n"/>
      <c r="H387" s="16" t="n"/>
      <c r="I387" s="16" t="n"/>
      <c r="J387" s="17" t="n"/>
      <c r="K387" s="17" t="n"/>
      <c r="L387" s="17" t="n"/>
      <c r="M387" s="16" t="n"/>
      <c r="N387" s="16" t="n"/>
      <c r="O387" s="18" t="n"/>
      <c r="P387" s="18" t="n"/>
      <c r="Q387" s="16" t="n"/>
    </row>
    <row r="388">
      <c r="E388" s="15" t="n"/>
      <c r="F388" s="15" t="n"/>
      <c r="G388" s="15" t="n"/>
      <c r="H388" s="16" t="n"/>
      <c r="I388" s="16" t="n"/>
      <c r="J388" s="17" t="n"/>
      <c r="K388" s="17" t="n"/>
      <c r="L388" s="17" t="n"/>
      <c r="M388" s="16" t="n"/>
      <c r="N388" s="16" t="n"/>
      <c r="O388" s="18" t="n"/>
      <c r="P388" s="18" t="n"/>
      <c r="Q388" s="16" t="n"/>
    </row>
    <row r="389">
      <c r="E389" s="15" t="n"/>
      <c r="F389" s="15" t="n"/>
      <c r="G389" s="15" t="n"/>
      <c r="H389" s="16" t="n"/>
      <c r="I389" s="16" t="n"/>
      <c r="J389" s="17" t="n"/>
      <c r="K389" s="17" t="n"/>
      <c r="L389" s="17" t="n"/>
      <c r="M389" s="16" t="n"/>
      <c r="N389" s="16" t="n"/>
      <c r="O389" s="18" t="n"/>
      <c r="P389" s="18" t="n"/>
      <c r="Q389" s="16" t="n"/>
    </row>
    <row r="390">
      <c r="E390" s="15" t="n"/>
      <c r="F390" s="15" t="n"/>
      <c r="G390" s="15" t="n"/>
      <c r="H390" s="16" t="n"/>
      <c r="I390" s="16" t="n"/>
      <c r="J390" s="17" t="n"/>
      <c r="K390" s="17" t="n"/>
      <c r="L390" s="17" t="n"/>
      <c r="M390" s="16" t="n"/>
      <c r="N390" s="16" t="n"/>
      <c r="O390" s="18" t="n"/>
      <c r="P390" s="18" t="n"/>
      <c r="Q390" s="16" t="n"/>
    </row>
    <row r="391">
      <c r="E391" s="15" t="n"/>
      <c r="F391" s="15" t="n"/>
      <c r="G391" s="15" t="n"/>
      <c r="H391" s="16" t="n"/>
      <c r="I391" s="16" t="n"/>
      <c r="J391" s="17" t="n"/>
      <c r="K391" s="17" t="n"/>
      <c r="L391" s="17" t="n"/>
      <c r="M391" s="16" t="n"/>
      <c r="N391" s="16" t="n"/>
      <c r="O391" s="18" t="n"/>
      <c r="P391" s="18" t="n"/>
      <c r="Q391" s="16" t="n"/>
    </row>
    <row r="392">
      <c r="E392" s="15" t="n"/>
      <c r="F392" s="15" t="n"/>
      <c r="G392" s="15" t="n"/>
      <c r="H392" s="16" t="n"/>
      <c r="I392" s="16" t="n"/>
      <c r="J392" s="17" t="n"/>
      <c r="K392" s="17" t="n"/>
      <c r="L392" s="17" t="n"/>
      <c r="M392" s="16" t="n"/>
      <c r="N392" s="16" t="n"/>
      <c r="O392" s="18" t="n"/>
      <c r="P392" s="18" t="n"/>
      <c r="Q392" s="16" t="n"/>
    </row>
    <row r="393">
      <c r="E393" s="15" t="n"/>
      <c r="F393" s="15" t="n"/>
      <c r="G393" s="15" t="n"/>
      <c r="H393" s="16" t="n"/>
      <c r="I393" s="16" t="n"/>
      <c r="J393" s="17" t="n"/>
      <c r="K393" s="17" t="n"/>
      <c r="L393" s="17" t="n"/>
      <c r="M393" s="16" t="n"/>
      <c r="N393" s="16" t="n"/>
      <c r="O393" s="18" t="n"/>
      <c r="P393" s="18" t="n"/>
      <c r="Q393" s="16" t="n"/>
    </row>
    <row r="394">
      <c r="E394" s="15" t="n"/>
      <c r="F394" s="15" t="n"/>
      <c r="G394" s="15" t="n"/>
      <c r="H394" s="16" t="n"/>
      <c r="I394" s="16" t="n"/>
      <c r="J394" s="17" t="n"/>
      <c r="K394" s="17" t="n"/>
      <c r="L394" s="17" t="n"/>
      <c r="M394" s="16" t="n"/>
      <c r="N394" s="16" t="n"/>
      <c r="O394" s="18" t="n"/>
      <c r="P394" s="18" t="n"/>
      <c r="Q394" s="16" t="n"/>
    </row>
    <row r="395">
      <c r="E395" s="15" t="n"/>
      <c r="F395" s="15" t="n"/>
      <c r="G395" s="15" t="n"/>
      <c r="H395" s="16" t="n"/>
      <c r="I395" s="16" t="n"/>
      <c r="J395" s="17" t="n"/>
      <c r="K395" s="17" t="n"/>
      <c r="L395" s="17" t="n"/>
      <c r="M395" s="16" t="n"/>
      <c r="N395" s="16" t="n"/>
      <c r="O395" s="18" t="n"/>
      <c r="P395" s="18" t="n"/>
      <c r="Q395" s="16" t="n"/>
    </row>
    <row r="396">
      <c r="E396" s="15" t="n"/>
      <c r="F396" s="15" t="n"/>
      <c r="G396" s="15" t="n"/>
      <c r="H396" s="16" t="n"/>
      <c r="I396" s="16" t="n"/>
      <c r="J396" s="17" t="n"/>
      <c r="K396" s="17" t="n"/>
      <c r="L396" s="17" t="n"/>
      <c r="M396" s="16" t="n"/>
      <c r="N396" s="16" t="n"/>
      <c r="O396" s="18" t="n"/>
      <c r="P396" s="18" t="n"/>
      <c r="Q396" s="16" t="n"/>
    </row>
    <row r="397">
      <c r="E397" s="15" t="n"/>
      <c r="F397" s="15" t="n"/>
      <c r="G397" s="15" t="n"/>
      <c r="H397" s="16" t="n"/>
      <c r="I397" s="16" t="n"/>
      <c r="J397" s="17" t="n"/>
      <c r="K397" s="17" t="n"/>
      <c r="L397" s="17" t="n"/>
      <c r="M397" s="16" t="n"/>
      <c r="N397" s="16" t="n"/>
      <c r="O397" s="18" t="n"/>
      <c r="P397" s="18" t="n"/>
      <c r="Q397" s="16" t="n"/>
    </row>
    <row r="398">
      <c r="E398" s="15" t="n"/>
      <c r="F398" s="15" t="n"/>
      <c r="G398" s="15" t="n"/>
      <c r="H398" s="16" t="n"/>
      <c r="I398" s="16" t="n"/>
      <c r="J398" s="17" t="n"/>
      <c r="K398" s="17" t="n"/>
      <c r="L398" s="17" t="n"/>
      <c r="M398" s="16" t="n"/>
      <c r="N398" s="16" t="n"/>
      <c r="O398" s="18" t="n"/>
      <c r="P398" s="18" t="n"/>
      <c r="Q398" s="16" t="n"/>
    </row>
    <row r="399">
      <c r="E399" s="15" t="n"/>
      <c r="F399" s="15" t="n"/>
      <c r="G399" s="15" t="n"/>
      <c r="H399" s="16" t="n"/>
      <c r="I399" s="16" t="n"/>
      <c r="J399" s="17" t="n"/>
      <c r="K399" s="17" t="n"/>
      <c r="L399" s="17" t="n"/>
      <c r="M399" s="16" t="n"/>
      <c r="N399" s="16" t="n"/>
      <c r="O399" s="18" t="n"/>
      <c r="P399" s="18" t="n"/>
      <c r="Q399" s="16" t="n"/>
    </row>
    <row r="400">
      <c r="E400" s="15" t="n"/>
      <c r="F400" s="15" t="n"/>
      <c r="G400" s="15" t="n"/>
      <c r="H400" s="16" t="n"/>
      <c r="I400" s="16" t="n"/>
      <c r="J400" s="17" t="n"/>
      <c r="K400" s="17" t="n"/>
      <c r="L400" s="17" t="n"/>
      <c r="M400" s="16" t="n"/>
      <c r="N400" s="16" t="n"/>
      <c r="O400" s="18" t="n"/>
      <c r="P400" s="18" t="n"/>
      <c r="Q400" s="16" t="n"/>
    </row>
    <row r="401">
      <c r="E401" s="15" t="n"/>
      <c r="F401" s="15" t="n"/>
      <c r="G401" s="15" t="n"/>
      <c r="H401" s="16" t="n"/>
      <c r="I401" s="16" t="n"/>
      <c r="J401" s="17" t="n"/>
      <c r="K401" s="17" t="n"/>
      <c r="L401" s="17" t="n"/>
      <c r="M401" s="16" t="n"/>
      <c r="N401" s="16" t="n"/>
      <c r="O401" s="18" t="n"/>
      <c r="P401" s="18" t="n"/>
      <c r="Q401" s="16" t="n"/>
    </row>
    <row r="402">
      <c r="E402" s="15" t="n"/>
      <c r="F402" s="15" t="n"/>
      <c r="G402" s="15" t="n"/>
      <c r="H402" s="16" t="n"/>
      <c r="I402" s="16" t="n"/>
      <c r="J402" s="17" t="n"/>
      <c r="K402" s="17" t="n"/>
      <c r="L402" s="17" t="n"/>
      <c r="M402" s="16" t="n"/>
      <c r="N402" s="16" t="n"/>
      <c r="O402" s="18" t="n"/>
      <c r="P402" s="18" t="n"/>
      <c r="Q402" s="16" t="n"/>
    </row>
    <row r="403">
      <c r="E403" s="15" t="n"/>
      <c r="F403" s="15" t="n"/>
      <c r="G403" s="15" t="n"/>
      <c r="H403" s="16" t="n"/>
      <c r="I403" s="16" t="n"/>
      <c r="J403" s="17" t="n"/>
      <c r="K403" s="17" t="n"/>
      <c r="L403" s="17" t="n"/>
      <c r="M403" s="16" t="n"/>
      <c r="N403" s="16" t="n"/>
      <c r="O403" s="18" t="n"/>
      <c r="P403" s="18" t="n"/>
      <c r="Q403" s="16" t="n"/>
    </row>
    <row r="404">
      <c r="E404" s="15" t="n"/>
      <c r="F404" s="15" t="n"/>
      <c r="G404" s="15" t="n"/>
      <c r="H404" s="16" t="n"/>
      <c r="I404" s="16" t="n"/>
      <c r="J404" s="17" t="n"/>
      <c r="K404" s="17" t="n"/>
      <c r="L404" s="17" t="n"/>
      <c r="M404" s="16" t="n"/>
      <c r="N404" s="16" t="n"/>
      <c r="O404" s="18" t="n"/>
      <c r="P404" s="18" t="n"/>
      <c r="Q404" s="16" t="n"/>
    </row>
    <row r="405">
      <c r="E405" s="15" t="n"/>
      <c r="F405" s="15" t="n"/>
      <c r="G405" s="15" t="n"/>
      <c r="H405" s="16" t="n"/>
      <c r="I405" s="16" t="n"/>
      <c r="J405" s="17" t="n"/>
      <c r="K405" s="17" t="n"/>
      <c r="L405" s="17" t="n"/>
      <c r="M405" s="16" t="n"/>
      <c r="N405" s="16" t="n"/>
      <c r="O405" s="18" t="n"/>
      <c r="P405" s="18" t="n"/>
      <c r="Q405" s="16" t="n"/>
    </row>
    <row r="406">
      <c r="E406" s="15" t="n"/>
      <c r="F406" s="15" t="n"/>
      <c r="G406" s="15" t="n"/>
      <c r="H406" s="16" t="n"/>
      <c r="I406" s="16" t="n"/>
      <c r="J406" s="17" t="n"/>
      <c r="K406" s="17" t="n"/>
      <c r="L406" s="17" t="n"/>
      <c r="M406" s="16" t="n"/>
      <c r="N406" s="16" t="n"/>
      <c r="O406" s="18" t="n"/>
      <c r="P406" s="18" t="n"/>
      <c r="Q406" s="16" t="n"/>
    </row>
    <row r="407">
      <c r="E407" s="15" t="n"/>
      <c r="F407" s="15" t="n"/>
      <c r="G407" s="15" t="n"/>
      <c r="H407" s="16" t="n"/>
      <c r="I407" s="16" t="n"/>
      <c r="J407" s="17" t="n"/>
      <c r="K407" s="17" t="n"/>
      <c r="L407" s="17" t="n"/>
      <c r="M407" s="16" t="n"/>
      <c r="N407" s="16" t="n"/>
      <c r="O407" s="18" t="n"/>
      <c r="P407" s="18" t="n"/>
      <c r="Q407" s="16" t="n"/>
    </row>
    <row r="408">
      <c r="E408" s="15" t="n"/>
      <c r="F408" s="15" t="n"/>
      <c r="G408" s="15" t="n"/>
      <c r="H408" s="16" t="n"/>
      <c r="I408" s="16" t="n"/>
      <c r="J408" s="17" t="n"/>
      <c r="K408" s="17" t="n"/>
      <c r="L408" s="17" t="n"/>
      <c r="M408" s="16" t="n"/>
      <c r="N408" s="16" t="n"/>
      <c r="O408" s="18" t="n"/>
      <c r="P408" s="18" t="n"/>
      <c r="Q408" s="16" t="n"/>
    </row>
    <row r="409">
      <c r="E409" s="15" t="n"/>
      <c r="F409" s="15" t="n"/>
      <c r="G409" s="15" t="n"/>
      <c r="H409" s="16" t="n"/>
      <c r="I409" s="16" t="n"/>
      <c r="J409" s="17" t="n"/>
      <c r="K409" s="17" t="n"/>
      <c r="L409" s="17" t="n"/>
      <c r="M409" s="16" t="n"/>
      <c r="N409" s="16" t="n"/>
      <c r="O409" s="18" t="n"/>
      <c r="P409" s="18" t="n"/>
      <c r="Q409" s="16" t="n"/>
    </row>
    <row r="410">
      <c r="E410" s="15" t="n"/>
      <c r="F410" s="15" t="n"/>
      <c r="G410" s="15" t="n"/>
      <c r="H410" s="16" t="n"/>
      <c r="I410" s="16" t="n"/>
      <c r="J410" s="17" t="n"/>
      <c r="K410" s="17" t="n"/>
      <c r="L410" s="17" t="n"/>
      <c r="M410" s="16" t="n"/>
      <c r="N410" s="16" t="n"/>
      <c r="O410" s="18" t="n"/>
      <c r="P410" s="18" t="n"/>
      <c r="Q410" s="16" t="n"/>
    </row>
    <row r="411">
      <c r="E411" s="15" t="n"/>
      <c r="F411" s="15" t="n"/>
      <c r="G411" s="15" t="n"/>
      <c r="H411" s="16" t="n"/>
      <c r="I411" s="16" t="n"/>
      <c r="J411" s="17" t="n"/>
      <c r="K411" s="17" t="n"/>
      <c r="L411" s="17" t="n"/>
      <c r="M411" s="16" t="n"/>
      <c r="N411" s="16" t="n"/>
      <c r="O411" s="18" t="n"/>
      <c r="P411" s="18" t="n"/>
      <c r="Q411" s="16" t="n"/>
    </row>
    <row r="412">
      <c r="E412" s="15" t="n"/>
      <c r="F412" s="15" t="n"/>
      <c r="G412" s="15" t="n"/>
      <c r="H412" s="16" t="n"/>
      <c r="I412" s="16" t="n"/>
      <c r="J412" s="17" t="n"/>
      <c r="K412" s="17" t="n"/>
      <c r="L412" s="17" t="n"/>
      <c r="M412" s="16" t="n"/>
      <c r="N412" s="16" t="n"/>
      <c r="O412" s="18" t="n"/>
      <c r="P412" s="18" t="n"/>
      <c r="Q412" s="16" t="n"/>
    </row>
    <row r="413">
      <c r="E413" s="15" t="n"/>
      <c r="F413" s="15" t="n"/>
      <c r="G413" s="15" t="n"/>
      <c r="H413" s="16" t="n"/>
      <c r="I413" s="16" t="n"/>
      <c r="J413" s="17" t="n"/>
      <c r="K413" s="17" t="n"/>
      <c r="L413" s="17" t="n"/>
      <c r="M413" s="16" t="n"/>
      <c r="N413" s="16" t="n"/>
      <c r="O413" s="18" t="n"/>
      <c r="P413" s="18" t="n"/>
      <c r="Q413" s="16" t="n"/>
    </row>
    <row r="414">
      <c r="E414" s="15" t="n"/>
      <c r="F414" s="15" t="n"/>
      <c r="G414" s="15" t="n"/>
      <c r="H414" s="16" t="n"/>
      <c r="I414" s="16" t="n"/>
      <c r="J414" s="17" t="n"/>
      <c r="K414" s="17" t="n"/>
      <c r="L414" s="17" t="n"/>
      <c r="M414" s="16" t="n"/>
      <c r="N414" s="16" t="n"/>
      <c r="O414" s="18" t="n"/>
      <c r="P414" s="18" t="n"/>
      <c r="Q414" s="16" t="n"/>
    </row>
    <row r="415">
      <c r="E415" s="15" t="n"/>
      <c r="F415" s="15" t="n"/>
      <c r="G415" s="15" t="n"/>
      <c r="H415" s="16" t="n"/>
      <c r="I415" s="16" t="n"/>
      <c r="J415" s="17" t="n"/>
      <c r="K415" s="17" t="n"/>
      <c r="L415" s="17" t="n"/>
      <c r="M415" s="16" t="n"/>
      <c r="N415" s="16" t="n"/>
      <c r="O415" s="18" t="n"/>
      <c r="P415" s="18" t="n"/>
      <c r="Q415" s="16" t="n"/>
    </row>
    <row r="416">
      <c r="E416" s="15" t="n"/>
      <c r="F416" s="15" t="n"/>
      <c r="G416" s="15" t="n"/>
      <c r="H416" s="16" t="n"/>
      <c r="I416" s="16" t="n"/>
      <c r="J416" s="17" t="n"/>
      <c r="K416" s="17" t="n"/>
      <c r="L416" s="17" t="n"/>
      <c r="M416" s="16" t="n"/>
      <c r="N416" s="16" t="n"/>
      <c r="O416" s="18" t="n"/>
      <c r="P416" s="18" t="n"/>
      <c r="Q416" s="16" t="n"/>
    </row>
    <row r="417">
      <c r="E417" s="15" t="n"/>
      <c r="F417" s="15" t="n"/>
      <c r="G417" s="15" t="n"/>
      <c r="H417" s="16" t="n"/>
      <c r="I417" s="16" t="n"/>
      <c r="J417" s="17" t="n"/>
      <c r="K417" s="17" t="n"/>
      <c r="L417" s="17" t="n"/>
      <c r="M417" s="16" t="n"/>
      <c r="N417" s="16" t="n"/>
      <c r="O417" s="18" t="n"/>
      <c r="P417" s="18" t="n"/>
      <c r="Q417" s="16" t="n"/>
    </row>
    <row r="418">
      <c r="E418" s="15" t="n"/>
      <c r="F418" s="15" t="n"/>
      <c r="G418" s="15" t="n"/>
      <c r="H418" s="16" t="n"/>
      <c r="I418" s="16" t="n"/>
      <c r="J418" s="17" t="n"/>
      <c r="K418" s="17" t="n"/>
      <c r="L418" s="17" t="n"/>
      <c r="M418" s="16" t="n"/>
      <c r="N418" s="16" t="n"/>
      <c r="O418" s="18" t="n"/>
      <c r="P418" s="18" t="n"/>
      <c r="Q418" s="16" t="n"/>
    </row>
    <row r="419">
      <c r="E419" s="15" t="n"/>
      <c r="F419" s="15" t="n"/>
      <c r="G419" s="15" t="n"/>
      <c r="H419" s="16" t="n"/>
      <c r="I419" s="16" t="n"/>
      <c r="J419" s="17" t="n"/>
      <c r="K419" s="17" t="n"/>
      <c r="L419" s="17" t="n"/>
      <c r="M419" s="16" t="n"/>
      <c r="N419" s="16" t="n"/>
      <c r="O419" s="18" t="n"/>
      <c r="P419" s="18" t="n"/>
      <c r="Q419" s="16" t="n"/>
    </row>
    <row r="420">
      <c r="E420" s="15" t="n"/>
      <c r="F420" s="15" t="n"/>
      <c r="G420" s="15" t="n"/>
      <c r="H420" s="16" t="n"/>
      <c r="I420" s="16" t="n"/>
      <c r="J420" s="17" t="n"/>
      <c r="K420" s="17" t="n"/>
      <c r="L420" s="17" t="n"/>
      <c r="M420" s="16" t="n"/>
      <c r="N420" s="16" t="n"/>
      <c r="O420" s="18" t="n"/>
      <c r="P420" s="18" t="n"/>
      <c r="Q420" s="16" t="n"/>
    </row>
    <row r="421">
      <c r="E421" s="15" t="n"/>
      <c r="F421" s="15" t="n"/>
      <c r="G421" s="15" t="n"/>
      <c r="H421" s="16" t="n"/>
      <c r="I421" s="16" t="n"/>
      <c r="J421" s="17" t="n"/>
      <c r="K421" s="17" t="n"/>
      <c r="L421" s="17" t="n"/>
      <c r="M421" s="16" t="n"/>
      <c r="N421" s="16" t="n"/>
      <c r="O421" s="18" t="n"/>
      <c r="P421" s="18" t="n"/>
      <c r="Q421" s="16" t="n"/>
    </row>
    <row r="422">
      <c r="E422" s="15" t="n"/>
      <c r="F422" s="15" t="n"/>
      <c r="G422" s="15" t="n"/>
      <c r="H422" s="16" t="n"/>
      <c r="I422" s="16" t="n"/>
      <c r="J422" s="17" t="n"/>
      <c r="K422" s="17" t="n"/>
      <c r="L422" s="17" t="n"/>
      <c r="M422" s="16" t="n"/>
      <c r="N422" s="16" t="n"/>
      <c r="O422" s="18" t="n"/>
      <c r="P422" s="18" t="n"/>
      <c r="Q422" s="16" t="n"/>
    </row>
    <row r="423">
      <c r="E423" s="15" t="n"/>
      <c r="F423" s="15" t="n"/>
      <c r="G423" s="15" t="n"/>
      <c r="H423" s="16" t="n"/>
      <c r="I423" s="16" t="n"/>
      <c r="J423" s="17" t="n"/>
      <c r="K423" s="17" t="n"/>
      <c r="L423" s="17" t="n"/>
      <c r="M423" s="16" t="n"/>
      <c r="N423" s="16" t="n"/>
      <c r="O423" s="18" t="n"/>
      <c r="P423" s="18" t="n"/>
      <c r="Q423" s="16" t="n"/>
    </row>
    <row r="424">
      <c r="E424" s="15" t="n"/>
      <c r="F424" s="15" t="n"/>
      <c r="G424" s="15" t="n"/>
      <c r="H424" s="16" t="n"/>
      <c r="I424" s="16" t="n"/>
      <c r="J424" s="17" t="n"/>
      <c r="K424" s="17" t="n"/>
      <c r="L424" s="17" t="n"/>
      <c r="M424" s="16" t="n"/>
      <c r="N424" s="16" t="n"/>
      <c r="O424" s="18" t="n"/>
      <c r="P424" s="18" t="n"/>
      <c r="Q424" s="16" t="n"/>
    </row>
    <row r="425">
      <c r="E425" s="15" t="n"/>
      <c r="F425" s="15" t="n"/>
      <c r="G425" s="15" t="n"/>
      <c r="H425" s="16" t="n"/>
      <c r="I425" s="16" t="n"/>
      <c r="J425" s="17" t="n"/>
      <c r="K425" s="17" t="n"/>
      <c r="L425" s="17" t="n"/>
      <c r="M425" s="16" t="n"/>
      <c r="N425" s="16" t="n"/>
      <c r="O425" s="18" t="n"/>
      <c r="P425" s="18" t="n"/>
      <c r="Q425" s="16" t="n"/>
    </row>
    <row r="426">
      <c r="E426" s="15" t="n"/>
      <c r="F426" s="15" t="n"/>
      <c r="G426" s="15" t="n"/>
      <c r="H426" s="16" t="n"/>
      <c r="I426" s="16" t="n"/>
      <c r="J426" s="17" t="n"/>
      <c r="K426" s="17" t="n"/>
      <c r="L426" s="17" t="n"/>
      <c r="M426" s="16" t="n"/>
      <c r="N426" s="16" t="n"/>
      <c r="O426" s="18" t="n"/>
      <c r="P426" s="18" t="n"/>
      <c r="Q426" s="16" t="n"/>
    </row>
    <row r="427">
      <c r="E427" s="15" t="n"/>
      <c r="F427" s="15" t="n"/>
      <c r="G427" s="15" t="n"/>
      <c r="H427" s="16" t="n"/>
      <c r="I427" s="16" t="n"/>
      <c r="J427" s="17" t="n"/>
      <c r="K427" s="17" t="n"/>
      <c r="L427" s="17" t="n"/>
      <c r="M427" s="16" t="n"/>
      <c r="N427" s="16" t="n"/>
      <c r="O427" s="18" t="n"/>
      <c r="P427" s="18" t="n"/>
      <c r="Q427" s="16" t="n"/>
    </row>
    <row r="428">
      <c r="E428" s="15" t="n"/>
      <c r="F428" s="15" t="n"/>
      <c r="G428" s="15" t="n"/>
      <c r="H428" s="16" t="n"/>
      <c r="I428" s="16" t="n"/>
      <c r="J428" s="17" t="n"/>
      <c r="K428" s="17" t="n"/>
      <c r="L428" s="17" t="n"/>
      <c r="M428" s="16" t="n"/>
      <c r="N428" s="16" t="n"/>
      <c r="O428" s="18" t="n"/>
      <c r="P428" s="18" t="n"/>
      <c r="Q428" s="16" t="n"/>
    </row>
    <row r="429">
      <c r="E429" s="15" t="n"/>
      <c r="F429" s="15" t="n"/>
      <c r="G429" s="15" t="n"/>
      <c r="H429" s="16" t="n"/>
      <c r="I429" s="16" t="n"/>
      <c r="J429" s="17" t="n"/>
      <c r="K429" s="17" t="n"/>
      <c r="L429" s="17" t="n"/>
      <c r="M429" s="16" t="n"/>
      <c r="N429" s="16" t="n"/>
      <c r="O429" s="18" t="n"/>
      <c r="P429" s="18" t="n"/>
      <c r="Q429" s="16" t="n"/>
    </row>
    <row r="430">
      <c r="E430" s="15" t="n"/>
      <c r="F430" s="15" t="n"/>
      <c r="G430" s="15" t="n"/>
      <c r="H430" s="16" t="n"/>
      <c r="I430" s="16" t="n"/>
      <c r="J430" s="17" t="n"/>
      <c r="K430" s="17" t="n"/>
      <c r="L430" s="17" t="n"/>
      <c r="M430" s="16" t="n"/>
      <c r="N430" s="16" t="n"/>
      <c r="O430" s="18" t="n"/>
      <c r="P430" s="18" t="n"/>
      <c r="Q430" s="16" t="n"/>
    </row>
    <row r="431">
      <c r="E431" s="15" t="n"/>
      <c r="F431" s="15" t="n"/>
      <c r="G431" s="15" t="n"/>
      <c r="H431" s="16" t="n"/>
      <c r="I431" s="16" t="n"/>
      <c r="J431" s="17" t="n"/>
      <c r="K431" s="17" t="n"/>
      <c r="L431" s="17" t="n"/>
      <c r="M431" s="16" t="n"/>
      <c r="N431" s="16" t="n"/>
      <c r="O431" s="18" t="n"/>
      <c r="P431" s="18" t="n"/>
      <c r="Q431" s="16" t="n"/>
    </row>
    <row r="432">
      <c r="E432" s="15" t="n"/>
      <c r="F432" s="15" t="n"/>
      <c r="G432" s="15" t="n"/>
      <c r="H432" s="16" t="n"/>
      <c r="I432" s="16" t="n"/>
      <c r="J432" s="17" t="n"/>
      <c r="K432" s="17" t="n"/>
      <c r="L432" s="17" t="n"/>
      <c r="M432" s="16" t="n"/>
      <c r="N432" s="16" t="n"/>
      <c r="O432" s="18" t="n"/>
      <c r="P432" s="18" t="n"/>
      <c r="Q432" s="16" t="n"/>
    </row>
    <row r="433">
      <c r="E433" s="15" t="n"/>
      <c r="F433" s="15" t="n"/>
      <c r="G433" s="15" t="n"/>
      <c r="H433" s="16" t="n"/>
      <c r="I433" s="16" t="n"/>
      <c r="J433" s="17" t="n"/>
      <c r="K433" s="17" t="n"/>
      <c r="L433" s="17" t="n"/>
      <c r="M433" s="16" t="n"/>
      <c r="N433" s="16" t="n"/>
      <c r="O433" s="18" t="n"/>
      <c r="P433" s="18" t="n"/>
      <c r="Q433" s="16" t="n"/>
    </row>
    <row r="434">
      <c r="E434" s="15" t="n"/>
      <c r="F434" s="15" t="n"/>
      <c r="G434" s="15" t="n"/>
      <c r="H434" s="16" t="n"/>
      <c r="I434" s="16" t="n"/>
      <c r="J434" s="17" t="n"/>
      <c r="K434" s="17" t="n"/>
      <c r="L434" s="17" t="n"/>
      <c r="M434" s="16" t="n"/>
      <c r="N434" s="16" t="n"/>
      <c r="O434" s="18" t="n"/>
      <c r="P434" s="18" t="n"/>
      <c r="Q434" s="16" t="n"/>
    </row>
    <row r="435">
      <c r="E435" s="15" t="n"/>
      <c r="F435" s="15" t="n"/>
      <c r="G435" s="15" t="n"/>
      <c r="H435" s="16" t="n"/>
      <c r="I435" s="16" t="n"/>
      <c r="J435" s="17" t="n"/>
      <c r="K435" s="17" t="n"/>
      <c r="L435" s="17" t="n"/>
      <c r="M435" s="16" t="n"/>
      <c r="N435" s="16" t="n"/>
      <c r="O435" s="18" t="n"/>
      <c r="P435" s="18" t="n"/>
      <c r="Q435" s="16" t="n"/>
    </row>
    <row r="436">
      <c r="E436" s="15" t="n"/>
      <c r="F436" s="15" t="n"/>
      <c r="G436" s="15" t="n"/>
      <c r="H436" s="16" t="n"/>
      <c r="I436" s="16" t="n"/>
      <c r="J436" s="17" t="n"/>
      <c r="K436" s="17" t="n"/>
      <c r="L436" s="17" t="n"/>
      <c r="M436" s="16" t="n"/>
      <c r="N436" s="16" t="n"/>
      <c r="O436" s="18" t="n"/>
      <c r="P436" s="18" t="n"/>
      <c r="Q436" s="16" t="n"/>
    </row>
    <row r="437">
      <c r="E437" s="15" t="n"/>
      <c r="F437" s="15" t="n"/>
      <c r="G437" s="15" t="n"/>
      <c r="H437" s="16" t="n"/>
      <c r="I437" s="16" t="n"/>
      <c r="J437" s="17" t="n"/>
      <c r="K437" s="17" t="n"/>
      <c r="L437" s="17" t="n"/>
      <c r="M437" s="16" t="n"/>
      <c r="N437" s="16" t="n"/>
      <c r="O437" s="18" t="n"/>
      <c r="P437" s="18" t="n"/>
      <c r="Q437" s="16" t="n"/>
    </row>
    <row r="438">
      <c r="E438" s="15" t="n"/>
      <c r="F438" s="15" t="n"/>
      <c r="G438" s="15" t="n"/>
      <c r="H438" s="16" t="n"/>
      <c r="I438" s="16" t="n"/>
      <c r="J438" s="17" t="n"/>
      <c r="K438" s="17" t="n"/>
      <c r="L438" s="17" t="n"/>
      <c r="M438" s="16" t="n"/>
      <c r="N438" s="16" t="n"/>
      <c r="O438" s="18" t="n"/>
      <c r="P438" s="18" t="n"/>
      <c r="Q438" s="16" t="n"/>
    </row>
    <row r="439">
      <c r="E439" s="15" t="n"/>
      <c r="F439" s="15" t="n"/>
      <c r="G439" s="15" t="n"/>
      <c r="H439" s="16" t="n"/>
      <c r="I439" s="16" t="n"/>
      <c r="J439" s="17" t="n"/>
      <c r="K439" s="17" t="n"/>
      <c r="L439" s="17" t="n"/>
      <c r="M439" s="16" t="n"/>
      <c r="N439" s="16" t="n"/>
      <c r="O439" s="18" t="n"/>
      <c r="P439" s="18" t="n"/>
      <c r="Q439" s="16" t="n"/>
    </row>
    <row r="440">
      <c r="E440" s="15" t="n"/>
      <c r="F440" s="15" t="n"/>
      <c r="G440" s="15" t="n"/>
      <c r="H440" s="16" t="n"/>
      <c r="I440" s="16" t="n"/>
      <c r="J440" s="17" t="n"/>
      <c r="K440" s="17" t="n"/>
      <c r="L440" s="17" t="n"/>
      <c r="M440" s="16" t="n"/>
      <c r="N440" s="16" t="n"/>
      <c r="O440" s="18" t="n"/>
      <c r="P440" s="18" t="n"/>
      <c r="Q440" s="16" t="n"/>
    </row>
    <row r="441">
      <c r="E441" s="15" t="n"/>
      <c r="F441" s="15" t="n"/>
      <c r="G441" s="15" t="n"/>
      <c r="H441" s="16" t="n"/>
      <c r="I441" s="16" t="n"/>
      <c r="J441" s="17" t="n"/>
      <c r="K441" s="17" t="n"/>
      <c r="L441" s="17" t="n"/>
      <c r="M441" s="16" t="n"/>
      <c r="N441" s="16" t="n"/>
      <c r="O441" s="18" t="n"/>
      <c r="P441" s="18" t="n"/>
      <c r="Q441" s="16" t="n"/>
    </row>
    <row r="442">
      <c r="E442" s="15" t="n"/>
      <c r="F442" s="15" t="n"/>
      <c r="G442" s="15" t="n"/>
      <c r="H442" s="16" t="n"/>
      <c r="I442" s="16" t="n"/>
      <c r="J442" s="17" t="n"/>
      <c r="K442" s="17" t="n"/>
      <c r="L442" s="17" t="n"/>
      <c r="M442" s="16" t="n"/>
      <c r="N442" s="16" t="n"/>
      <c r="O442" s="18" t="n"/>
      <c r="P442" s="18" t="n"/>
      <c r="Q442" s="16" t="n"/>
    </row>
    <row r="443">
      <c r="E443" s="15" t="n"/>
      <c r="F443" s="15" t="n"/>
      <c r="G443" s="15" t="n"/>
      <c r="H443" s="16" t="n"/>
      <c r="I443" s="16" t="n"/>
      <c r="J443" s="17" t="n"/>
      <c r="K443" s="17" t="n"/>
      <c r="L443" s="17" t="n"/>
      <c r="M443" s="16" t="n"/>
      <c r="N443" s="16" t="n"/>
      <c r="O443" s="18" t="n"/>
      <c r="P443" s="18" t="n"/>
      <c r="Q443" s="16" t="n"/>
    </row>
    <row r="444">
      <c r="E444" s="15" t="n"/>
      <c r="F444" s="15" t="n"/>
      <c r="G444" s="15" t="n"/>
      <c r="H444" s="16" t="n"/>
      <c r="I444" s="16" t="n"/>
      <c r="J444" s="17" t="n"/>
      <c r="K444" s="17" t="n"/>
      <c r="L444" s="17" t="n"/>
      <c r="M444" s="16" t="n"/>
      <c r="N444" s="16" t="n"/>
      <c r="O444" s="18" t="n"/>
      <c r="P444" s="18" t="n"/>
      <c r="Q444" s="16" t="n"/>
    </row>
    <row r="445">
      <c r="E445" s="15" t="n"/>
      <c r="F445" s="15" t="n"/>
      <c r="G445" s="15" t="n"/>
      <c r="H445" s="16" t="n"/>
      <c r="I445" s="16" t="n"/>
      <c r="J445" s="17" t="n"/>
      <c r="K445" s="17" t="n"/>
      <c r="L445" s="17" t="n"/>
      <c r="M445" s="16" t="n"/>
      <c r="N445" s="16" t="n"/>
      <c r="O445" s="18" t="n"/>
      <c r="P445" s="18" t="n"/>
      <c r="Q445" s="16" t="n"/>
    </row>
    <row r="446">
      <c r="E446" s="15" t="n"/>
      <c r="F446" s="15" t="n"/>
      <c r="G446" s="15" t="n"/>
      <c r="H446" s="16" t="n"/>
      <c r="I446" s="16" t="n"/>
      <c r="J446" s="17" t="n"/>
      <c r="K446" s="17" t="n"/>
      <c r="L446" s="17" t="n"/>
      <c r="M446" s="16" t="n"/>
      <c r="N446" s="16" t="n"/>
      <c r="O446" s="18" t="n"/>
      <c r="P446" s="18" t="n"/>
      <c r="Q446" s="16" t="n"/>
    </row>
    <row r="447">
      <c r="E447" s="15" t="n"/>
      <c r="F447" s="15" t="n"/>
      <c r="G447" s="15" t="n"/>
      <c r="H447" s="16" t="n"/>
      <c r="I447" s="16" t="n"/>
      <c r="J447" s="17" t="n"/>
      <c r="K447" s="17" t="n"/>
      <c r="L447" s="17" t="n"/>
      <c r="M447" s="16" t="n"/>
      <c r="N447" s="16" t="n"/>
      <c r="O447" s="18" t="n"/>
      <c r="P447" s="18" t="n"/>
      <c r="Q447" s="16" t="n"/>
    </row>
    <row r="448">
      <c r="E448" s="15" t="n"/>
      <c r="F448" s="15" t="n"/>
      <c r="G448" s="15" t="n"/>
      <c r="H448" s="16" t="n"/>
      <c r="I448" s="16" t="n"/>
      <c r="J448" s="17" t="n"/>
      <c r="K448" s="17" t="n"/>
      <c r="L448" s="17" t="n"/>
      <c r="M448" s="16" t="n"/>
      <c r="N448" s="16" t="n"/>
      <c r="O448" s="18" t="n"/>
      <c r="P448" s="18" t="n"/>
      <c r="Q448" s="16" t="n"/>
    </row>
    <row r="449">
      <c r="E449" s="15" t="n"/>
      <c r="F449" s="15" t="n"/>
      <c r="G449" s="15" t="n"/>
      <c r="H449" s="16" t="n"/>
      <c r="I449" s="16" t="n"/>
      <c r="J449" s="17" t="n"/>
      <c r="K449" s="17" t="n"/>
      <c r="L449" s="17" t="n"/>
      <c r="M449" s="16" t="n"/>
      <c r="N449" s="16" t="n"/>
      <c r="O449" s="18" t="n"/>
      <c r="P449" s="18" t="n"/>
      <c r="Q449" s="16" t="n"/>
    </row>
    <row r="450">
      <c r="E450" s="15" t="n"/>
      <c r="F450" s="15" t="n"/>
      <c r="G450" s="15" t="n"/>
      <c r="H450" s="16" t="n"/>
      <c r="I450" s="16" t="n"/>
      <c r="J450" s="17" t="n"/>
      <c r="K450" s="17" t="n"/>
      <c r="L450" s="17" t="n"/>
      <c r="M450" s="16" t="n"/>
      <c r="N450" s="16" t="n"/>
      <c r="O450" s="18" t="n"/>
      <c r="P450" s="18" t="n"/>
      <c r="Q450" s="16" t="n"/>
    </row>
    <row r="451">
      <c r="E451" s="15" t="n"/>
      <c r="F451" s="15" t="n"/>
      <c r="G451" s="15" t="n"/>
      <c r="H451" s="16" t="n"/>
      <c r="I451" s="16" t="n"/>
      <c r="J451" s="17" t="n"/>
      <c r="K451" s="17" t="n"/>
      <c r="L451" s="17" t="n"/>
      <c r="M451" s="16" t="n"/>
      <c r="N451" s="16" t="n"/>
      <c r="O451" s="18" t="n"/>
      <c r="P451" s="18" t="n"/>
      <c r="Q451" s="16" t="n"/>
    </row>
    <row r="452">
      <c r="E452" s="15" t="n"/>
      <c r="F452" s="15" t="n"/>
      <c r="G452" s="15" t="n"/>
      <c r="H452" s="16" t="n"/>
      <c r="I452" s="16" t="n"/>
      <c r="J452" s="17" t="n"/>
      <c r="K452" s="17" t="n"/>
      <c r="L452" s="17" t="n"/>
      <c r="M452" s="16" t="n"/>
      <c r="N452" s="16" t="n"/>
      <c r="O452" s="18" t="n"/>
      <c r="P452" s="18" t="n"/>
      <c r="Q452" s="16" t="n"/>
    </row>
    <row r="453">
      <c r="E453" s="15" t="n"/>
      <c r="F453" s="15" t="n"/>
      <c r="G453" s="15" t="n"/>
      <c r="H453" s="16" t="n"/>
      <c r="I453" s="16" t="n"/>
      <c r="J453" s="17" t="n"/>
      <c r="K453" s="17" t="n"/>
      <c r="L453" s="17" t="n"/>
      <c r="M453" s="16" t="n"/>
      <c r="N453" s="16" t="n"/>
      <c r="O453" s="18" t="n"/>
      <c r="P453" s="18" t="n"/>
      <c r="Q453" s="16" t="n"/>
    </row>
    <row r="454">
      <c r="E454" s="15" t="n"/>
      <c r="F454" s="15" t="n"/>
      <c r="G454" s="15" t="n"/>
      <c r="H454" s="16" t="n"/>
      <c r="I454" s="16" t="n"/>
      <c r="J454" s="17" t="n"/>
      <c r="K454" s="17" t="n"/>
      <c r="L454" s="17" t="n"/>
      <c r="M454" s="16" t="n"/>
      <c r="N454" s="16" t="n"/>
      <c r="O454" s="18" t="n"/>
      <c r="P454" s="18" t="n"/>
      <c r="Q454" s="16" t="n"/>
    </row>
    <row r="455">
      <c r="E455" s="15" t="n"/>
      <c r="F455" s="15" t="n"/>
      <c r="G455" s="15" t="n"/>
      <c r="H455" s="16" t="n"/>
      <c r="I455" s="16" t="n"/>
      <c r="J455" s="17" t="n"/>
      <c r="K455" s="17" t="n"/>
      <c r="L455" s="17" t="n"/>
      <c r="M455" s="16" t="n"/>
      <c r="N455" s="16" t="n"/>
      <c r="O455" s="18" t="n"/>
      <c r="P455" s="18" t="n"/>
      <c r="Q455" s="16" t="n"/>
    </row>
    <row r="456">
      <c r="E456" s="15" t="n"/>
      <c r="F456" s="15" t="n"/>
      <c r="G456" s="15" t="n"/>
      <c r="H456" s="16" t="n"/>
      <c r="I456" s="16" t="n"/>
      <c r="J456" s="17" t="n"/>
      <c r="K456" s="17" t="n"/>
      <c r="L456" s="17" t="n"/>
      <c r="M456" s="16" t="n"/>
      <c r="N456" s="16" t="n"/>
      <c r="O456" s="18" t="n"/>
      <c r="P456" s="18" t="n"/>
      <c r="Q456" s="16" t="n"/>
    </row>
    <row r="457">
      <c r="E457" s="15" t="n"/>
      <c r="F457" s="15" t="n"/>
      <c r="G457" s="15" t="n"/>
      <c r="H457" s="16" t="n"/>
      <c r="I457" s="16" t="n"/>
      <c r="J457" s="17" t="n"/>
      <c r="K457" s="17" t="n"/>
      <c r="L457" s="17" t="n"/>
      <c r="M457" s="16" t="n"/>
      <c r="N457" s="16" t="n"/>
      <c r="O457" s="18" t="n"/>
      <c r="P457" s="18" t="n"/>
      <c r="Q457" s="16" t="n"/>
    </row>
    <row r="458">
      <c r="E458" s="15" t="n"/>
      <c r="F458" s="15" t="n"/>
      <c r="G458" s="15" t="n"/>
      <c r="H458" s="16" t="n"/>
      <c r="I458" s="16" t="n"/>
      <c r="J458" s="17" t="n"/>
      <c r="K458" s="17" t="n"/>
      <c r="L458" s="17" t="n"/>
      <c r="M458" s="16" t="n"/>
      <c r="N458" s="16" t="n"/>
      <c r="O458" s="18" t="n"/>
      <c r="P458" s="18" t="n"/>
      <c r="Q458" s="16" t="n"/>
    </row>
    <row r="459">
      <c r="E459" s="15" t="n"/>
      <c r="F459" s="15" t="n"/>
      <c r="G459" s="15" t="n"/>
      <c r="H459" s="16" t="n"/>
      <c r="I459" s="16" t="n"/>
      <c r="J459" s="17" t="n"/>
      <c r="K459" s="17" t="n"/>
      <c r="L459" s="17" t="n"/>
      <c r="M459" s="16" t="n"/>
      <c r="N459" s="16" t="n"/>
      <c r="O459" s="18" t="n"/>
      <c r="P459" s="18" t="n"/>
      <c r="Q459" s="16" t="n"/>
    </row>
    <row r="460">
      <c r="E460" s="15" t="n"/>
      <c r="F460" s="15" t="n"/>
      <c r="G460" s="15" t="n"/>
      <c r="H460" s="16" t="n"/>
      <c r="I460" s="16" t="n"/>
      <c r="J460" s="17" t="n"/>
      <c r="K460" s="17" t="n"/>
      <c r="L460" s="17" t="n"/>
      <c r="M460" s="16" t="n"/>
      <c r="N460" s="16" t="n"/>
      <c r="O460" s="18" t="n"/>
      <c r="P460" s="18" t="n"/>
      <c r="Q460" s="16" t="n"/>
    </row>
    <row r="461">
      <c r="E461" s="15" t="n"/>
      <c r="F461" s="15" t="n"/>
      <c r="G461" s="15" t="n"/>
      <c r="H461" s="16" t="n"/>
      <c r="I461" s="16" t="n"/>
      <c r="J461" s="17" t="n"/>
      <c r="K461" s="17" t="n"/>
      <c r="L461" s="17" t="n"/>
      <c r="M461" s="16" t="n"/>
      <c r="N461" s="16" t="n"/>
      <c r="O461" s="18" t="n"/>
      <c r="P461" s="18" t="n"/>
      <c r="Q461" s="16" t="n"/>
    </row>
    <row r="462">
      <c r="E462" s="15" t="n"/>
      <c r="F462" s="15" t="n"/>
      <c r="G462" s="15" t="n"/>
      <c r="H462" s="16" t="n"/>
      <c r="I462" s="16" t="n"/>
      <c r="J462" s="17" t="n"/>
      <c r="K462" s="17" t="n"/>
      <c r="L462" s="17" t="n"/>
      <c r="M462" s="16" t="n"/>
      <c r="N462" s="16" t="n"/>
      <c r="O462" s="18" t="n"/>
      <c r="P462" s="18" t="n"/>
      <c r="Q462" s="16" t="n"/>
    </row>
    <row r="463">
      <c r="E463" s="15" t="n"/>
      <c r="F463" s="15" t="n"/>
      <c r="G463" s="15" t="n"/>
      <c r="H463" s="16" t="n"/>
      <c r="I463" s="16" t="n"/>
      <c r="J463" s="17" t="n"/>
      <c r="K463" s="17" t="n"/>
      <c r="L463" s="17" t="n"/>
      <c r="M463" s="16" t="n"/>
      <c r="N463" s="16" t="n"/>
      <c r="O463" s="18" t="n"/>
      <c r="P463" s="18" t="n"/>
      <c r="Q463" s="16" t="n"/>
    </row>
    <row r="464">
      <c r="E464" s="15" t="n"/>
      <c r="F464" s="15" t="n"/>
      <c r="G464" s="15" t="n"/>
      <c r="H464" s="16" t="n"/>
      <c r="I464" s="16" t="n"/>
      <c r="J464" s="17" t="n"/>
      <c r="K464" s="17" t="n"/>
      <c r="L464" s="17" t="n"/>
      <c r="M464" s="16" t="n"/>
      <c r="N464" s="16" t="n"/>
      <c r="O464" s="18" t="n"/>
      <c r="P464" s="18" t="n"/>
      <c r="Q464" s="16" t="n"/>
    </row>
    <row r="465">
      <c r="E465" s="15" t="n"/>
      <c r="F465" s="15" t="n"/>
      <c r="G465" s="15" t="n"/>
      <c r="H465" s="16" t="n"/>
      <c r="I465" s="16" t="n"/>
      <c r="J465" s="17" t="n"/>
      <c r="K465" s="17" t="n"/>
      <c r="L465" s="17" t="n"/>
      <c r="M465" s="16" t="n"/>
      <c r="N465" s="16" t="n"/>
      <c r="O465" s="18" t="n"/>
      <c r="P465" s="18" t="n"/>
      <c r="Q465" s="16" t="n"/>
    </row>
    <row r="466">
      <c r="E466" s="15" t="n"/>
      <c r="F466" s="15" t="n"/>
      <c r="G466" s="15" t="n"/>
      <c r="H466" s="16" t="n"/>
      <c r="I466" s="16" t="n"/>
      <c r="J466" s="17" t="n"/>
      <c r="K466" s="17" t="n"/>
      <c r="L466" s="17" t="n"/>
      <c r="M466" s="16" t="n"/>
      <c r="N466" s="16" t="n"/>
      <c r="O466" s="18" t="n"/>
      <c r="P466" s="18" t="n"/>
      <c r="Q466" s="16" t="n"/>
    </row>
    <row r="467">
      <c r="E467" s="15" t="n"/>
      <c r="F467" s="15" t="n"/>
      <c r="G467" s="15" t="n"/>
      <c r="H467" s="16" t="n"/>
      <c r="I467" s="16" t="n"/>
      <c r="J467" s="17" t="n"/>
      <c r="K467" s="17" t="n"/>
      <c r="L467" s="17" t="n"/>
      <c r="M467" s="16" t="n"/>
      <c r="N467" s="16" t="n"/>
      <c r="O467" s="18" t="n"/>
      <c r="P467" s="18" t="n"/>
      <c r="Q467" s="16" t="n"/>
    </row>
    <row r="468">
      <c r="E468" s="15" t="n"/>
      <c r="F468" s="15" t="n"/>
      <c r="G468" s="15" t="n"/>
      <c r="H468" s="16" t="n"/>
      <c r="I468" s="16" t="n"/>
      <c r="J468" s="17" t="n"/>
      <c r="K468" s="17" t="n"/>
      <c r="L468" s="17" t="n"/>
      <c r="M468" s="16" t="n"/>
      <c r="N468" s="16" t="n"/>
      <c r="O468" s="18" t="n"/>
      <c r="P468" s="18" t="n"/>
      <c r="Q468" s="16" t="n"/>
    </row>
    <row r="469">
      <c r="E469" s="15" t="n"/>
      <c r="F469" s="15" t="n"/>
      <c r="G469" s="15" t="n"/>
      <c r="H469" s="16" t="n"/>
      <c r="I469" s="16" t="n"/>
      <c r="J469" s="17" t="n"/>
      <c r="K469" s="17" t="n"/>
      <c r="L469" s="17" t="n"/>
      <c r="M469" s="16" t="n"/>
      <c r="N469" s="16" t="n"/>
      <c r="O469" s="18" t="n"/>
      <c r="P469" s="18" t="n"/>
      <c r="Q469" s="16" t="n"/>
    </row>
    <row r="470">
      <c r="E470" s="15" t="n"/>
      <c r="F470" s="15" t="n"/>
      <c r="G470" s="15" t="n"/>
      <c r="H470" s="16" t="n"/>
      <c r="I470" s="16" t="n"/>
      <c r="J470" s="17" t="n"/>
      <c r="K470" s="17" t="n"/>
      <c r="L470" s="17" t="n"/>
      <c r="M470" s="16" t="n"/>
      <c r="N470" s="16" t="n"/>
      <c r="O470" s="18" t="n"/>
      <c r="P470" s="18" t="n"/>
      <c r="Q470" s="16" t="n"/>
    </row>
    <row r="471">
      <c r="E471" s="15" t="n"/>
      <c r="F471" s="15" t="n"/>
      <c r="G471" s="15" t="n"/>
      <c r="H471" s="16" t="n"/>
      <c r="I471" s="16" t="n"/>
      <c r="J471" s="17" t="n"/>
      <c r="K471" s="17" t="n"/>
      <c r="L471" s="17" t="n"/>
      <c r="M471" s="16" t="n"/>
      <c r="N471" s="16" t="n"/>
      <c r="O471" s="18" t="n"/>
      <c r="P471" s="18" t="n"/>
      <c r="Q471" s="16" t="n"/>
    </row>
    <row r="472">
      <c r="E472" s="15" t="n"/>
      <c r="F472" s="15" t="n"/>
      <c r="G472" s="15" t="n"/>
      <c r="H472" s="16" t="n"/>
      <c r="I472" s="16" t="n"/>
      <c r="J472" s="17" t="n"/>
      <c r="K472" s="17" t="n"/>
      <c r="L472" s="17" t="n"/>
      <c r="M472" s="16" t="n"/>
      <c r="N472" s="16" t="n"/>
      <c r="O472" s="18" t="n"/>
      <c r="P472" s="18" t="n"/>
      <c r="Q472" s="16" t="n"/>
    </row>
    <row r="473">
      <c r="E473" s="15" t="n"/>
      <c r="F473" s="15" t="n"/>
      <c r="G473" s="15" t="n"/>
      <c r="H473" s="16" t="n"/>
      <c r="I473" s="16" t="n"/>
      <c r="J473" s="17" t="n"/>
      <c r="K473" s="17" t="n"/>
      <c r="L473" s="17" t="n"/>
      <c r="M473" s="16" t="n"/>
      <c r="N473" s="16" t="n"/>
      <c r="O473" s="18" t="n"/>
      <c r="P473" s="18" t="n"/>
      <c r="Q473" s="16" t="n"/>
    </row>
    <row r="474">
      <c r="E474" s="15" t="n"/>
      <c r="F474" s="15" t="n"/>
      <c r="G474" s="15" t="n"/>
      <c r="H474" s="16" t="n"/>
      <c r="I474" s="16" t="n"/>
      <c r="J474" s="17" t="n"/>
      <c r="K474" s="17" t="n"/>
      <c r="L474" s="17" t="n"/>
      <c r="M474" s="16" t="n"/>
      <c r="N474" s="16" t="n"/>
      <c r="O474" s="18" t="n"/>
      <c r="P474" s="18" t="n"/>
      <c r="Q474" s="16" t="n"/>
    </row>
    <row r="475">
      <c r="E475" s="15" t="n"/>
      <c r="F475" s="15" t="n"/>
      <c r="G475" s="15" t="n"/>
      <c r="H475" s="16" t="n"/>
      <c r="I475" s="16" t="n"/>
      <c r="J475" s="17" t="n"/>
      <c r="K475" s="17" t="n"/>
      <c r="L475" s="17" t="n"/>
      <c r="M475" s="16" t="n"/>
      <c r="N475" s="16" t="n"/>
      <c r="O475" s="18" t="n"/>
      <c r="P475" s="18" t="n"/>
      <c r="Q475" s="16" t="n"/>
    </row>
    <row r="476">
      <c r="E476" s="15" t="n"/>
      <c r="F476" s="15" t="n"/>
      <c r="G476" s="15" t="n"/>
      <c r="H476" s="16" t="n"/>
      <c r="I476" s="16" t="n"/>
      <c r="J476" s="17" t="n"/>
      <c r="K476" s="17" t="n"/>
      <c r="L476" s="17" t="n"/>
      <c r="M476" s="16" t="n"/>
      <c r="N476" s="16" t="n"/>
      <c r="O476" s="18" t="n"/>
      <c r="P476" s="18" t="n"/>
      <c r="Q476" s="16" t="n"/>
    </row>
    <row r="477">
      <c r="E477" s="15" t="n"/>
      <c r="F477" s="15" t="n"/>
      <c r="G477" s="15" t="n"/>
      <c r="H477" s="16" t="n"/>
      <c r="I477" s="16" t="n"/>
      <c r="J477" s="17" t="n"/>
      <c r="K477" s="17" t="n"/>
      <c r="L477" s="17" t="n"/>
      <c r="M477" s="16" t="n"/>
      <c r="N477" s="16" t="n"/>
      <c r="O477" s="18" t="n"/>
      <c r="P477" s="18" t="n"/>
      <c r="Q477" s="16" t="n"/>
    </row>
    <row r="478">
      <c r="E478" s="15" t="n"/>
      <c r="F478" s="15" t="n"/>
      <c r="G478" s="15" t="n"/>
      <c r="H478" s="16" t="n"/>
      <c r="I478" s="16" t="n"/>
      <c r="J478" s="17" t="n"/>
      <c r="K478" s="17" t="n"/>
      <c r="L478" s="17" t="n"/>
      <c r="M478" s="16" t="n"/>
      <c r="N478" s="16" t="n"/>
      <c r="O478" s="18" t="n"/>
      <c r="P478" s="18" t="n"/>
      <c r="Q478" s="16" t="n"/>
    </row>
    <row r="479">
      <c r="E479" s="15" t="n"/>
      <c r="F479" s="15" t="n"/>
      <c r="G479" s="15" t="n"/>
      <c r="H479" s="16" t="n"/>
      <c r="I479" s="16" t="n"/>
      <c r="J479" s="17" t="n"/>
      <c r="K479" s="17" t="n"/>
      <c r="L479" s="17" t="n"/>
      <c r="M479" s="16" t="n"/>
      <c r="N479" s="16" t="n"/>
      <c r="O479" s="18" t="n"/>
      <c r="P479" s="18" t="n"/>
      <c r="Q479" s="16" t="n"/>
    </row>
    <row r="480">
      <c r="E480" s="15" t="n"/>
      <c r="F480" s="15" t="n"/>
      <c r="G480" s="15" t="n"/>
      <c r="H480" s="16" t="n"/>
      <c r="I480" s="16" t="n"/>
      <c r="J480" s="17" t="n"/>
      <c r="K480" s="17" t="n"/>
      <c r="L480" s="17" t="n"/>
      <c r="M480" s="16" t="n"/>
      <c r="N480" s="16" t="n"/>
      <c r="O480" s="18" t="n"/>
      <c r="P480" s="18" t="n"/>
      <c r="Q480" s="16" t="n"/>
    </row>
    <row r="481">
      <c r="E481" s="15" t="n"/>
      <c r="F481" s="15" t="n"/>
      <c r="G481" s="15" t="n"/>
      <c r="H481" s="16" t="n"/>
      <c r="I481" s="16" t="n"/>
      <c r="J481" s="17" t="n"/>
      <c r="K481" s="17" t="n"/>
      <c r="L481" s="17" t="n"/>
      <c r="M481" s="16" t="n"/>
      <c r="N481" s="16" t="n"/>
      <c r="O481" s="18" t="n"/>
      <c r="P481" s="18" t="n"/>
      <c r="Q481" s="16" t="n"/>
    </row>
    <row r="482">
      <c r="E482" s="15" t="n"/>
      <c r="F482" s="15" t="n"/>
      <c r="G482" s="15" t="n"/>
      <c r="H482" s="16" t="n"/>
      <c r="I482" s="16" t="n"/>
      <c r="J482" s="17" t="n"/>
      <c r="K482" s="17" t="n"/>
      <c r="L482" s="17" t="n"/>
      <c r="M482" s="16" t="n"/>
      <c r="N482" s="16" t="n"/>
      <c r="O482" s="18" t="n"/>
      <c r="P482" s="18" t="n"/>
      <c r="Q482" s="16" t="n"/>
    </row>
    <row r="483">
      <c r="E483" s="15" t="n"/>
      <c r="F483" s="15" t="n"/>
      <c r="G483" s="15" t="n"/>
      <c r="H483" s="16" t="n"/>
      <c r="I483" s="16" t="n"/>
      <c r="J483" s="17" t="n"/>
      <c r="K483" s="17" t="n"/>
      <c r="L483" s="17" t="n"/>
      <c r="M483" s="16" t="n"/>
      <c r="N483" s="16" t="n"/>
      <c r="O483" s="18" t="n"/>
      <c r="P483" s="18" t="n"/>
      <c r="Q483" s="16" t="n"/>
    </row>
    <row r="484">
      <c r="E484" s="15" t="n"/>
      <c r="F484" s="15" t="n"/>
      <c r="G484" s="15" t="n"/>
      <c r="H484" s="16" t="n"/>
      <c r="I484" s="16" t="n"/>
      <c r="J484" s="17" t="n"/>
      <c r="K484" s="17" t="n"/>
      <c r="L484" s="17" t="n"/>
      <c r="M484" s="16" t="n"/>
      <c r="N484" s="16" t="n"/>
      <c r="O484" s="18" t="n"/>
      <c r="P484" s="18" t="n"/>
      <c r="Q484" s="16" t="n"/>
    </row>
    <row r="485">
      <c r="E485" s="15" t="n"/>
      <c r="F485" s="15" t="n"/>
      <c r="G485" s="15" t="n"/>
      <c r="H485" s="16" t="n"/>
      <c r="I485" s="16" t="n"/>
      <c r="J485" s="17" t="n"/>
      <c r="K485" s="17" t="n"/>
      <c r="L485" s="17" t="n"/>
      <c r="M485" s="16" t="n"/>
      <c r="N485" s="16" t="n"/>
      <c r="O485" s="18" t="n"/>
      <c r="P485" s="18" t="n"/>
      <c r="Q485" s="16" t="n"/>
    </row>
    <row r="486">
      <c r="E486" s="15" t="n"/>
      <c r="F486" s="15" t="n"/>
      <c r="G486" s="15" t="n"/>
      <c r="H486" s="16" t="n"/>
      <c r="I486" s="16" t="n"/>
      <c r="J486" s="17" t="n"/>
      <c r="K486" s="17" t="n"/>
      <c r="L486" s="17" t="n"/>
      <c r="M486" s="16" t="n"/>
      <c r="N486" s="16" t="n"/>
      <c r="O486" s="18" t="n"/>
      <c r="P486" s="18" t="n"/>
      <c r="Q486" s="16" t="n"/>
    </row>
    <row r="487">
      <c r="E487" s="15" t="n"/>
      <c r="F487" s="15" t="n"/>
      <c r="G487" s="15" t="n"/>
      <c r="H487" s="16" t="n"/>
      <c r="I487" s="16" t="n"/>
      <c r="J487" s="17" t="n"/>
      <c r="K487" s="17" t="n"/>
      <c r="L487" s="17" t="n"/>
      <c r="M487" s="16" t="n"/>
      <c r="N487" s="16" t="n"/>
      <c r="O487" s="18" t="n"/>
      <c r="P487" s="18" t="n"/>
      <c r="Q487" s="16" t="n"/>
    </row>
    <row r="488">
      <c r="E488" s="15" t="n"/>
      <c r="F488" s="15" t="n"/>
      <c r="G488" s="15" t="n"/>
      <c r="H488" s="16" t="n"/>
      <c r="I488" s="16" t="n"/>
      <c r="J488" s="17" t="n"/>
      <c r="K488" s="17" t="n"/>
      <c r="L488" s="17" t="n"/>
      <c r="M488" s="16" t="n"/>
      <c r="N488" s="16" t="n"/>
      <c r="O488" s="18" t="n"/>
      <c r="P488" s="18" t="n"/>
      <c r="Q488" s="16" t="n"/>
    </row>
    <row r="489">
      <c r="E489" s="15" t="n"/>
      <c r="F489" s="15" t="n"/>
      <c r="G489" s="15" t="n"/>
      <c r="H489" s="16" t="n"/>
      <c r="I489" s="16" t="n"/>
      <c r="J489" s="17" t="n"/>
      <c r="K489" s="17" t="n"/>
      <c r="L489" s="17" t="n"/>
      <c r="M489" s="16" t="n"/>
      <c r="N489" s="16" t="n"/>
      <c r="O489" s="18" t="n"/>
      <c r="P489" s="18" t="n"/>
      <c r="Q489" s="16" t="n"/>
    </row>
    <row r="490">
      <c r="E490" s="15" t="n"/>
      <c r="F490" s="15" t="n"/>
      <c r="G490" s="15" t="n"/>
      <c r="H490" s="16" t="n"/>
      <c r="I490" s="16" t="n"/>
      <c r="J490" s="17" t="n"/>
      <c r="K490" s="17" t="n"/>
      <c r="L490" s="17" t="n"/>
      <c r="M490" s="16" t="n"/>
      <c r="N490" s="16" t="n"/>
      <c r="O490" s="18" t="n"/>
      <c r="P490" s="18" t="n"/>
      <c r="Q490" s="16" t="n"/>
    </row>
    <row r="491">
      <c r="E491" s="15" t="n"/>
      <c r="F491" s="15" t="n"/>
      <c r="G491" s="15" t="n"/>
      <c r="H491" s="16" t="n"/>
      <c r="I491" s="16" t="n"/>
      <c r="J491" s="17" t="n"/>
      <c r="K491" s="17" t="n"/>
      <c r="L491" s="17" t="n"/>
      <c r="M491" s="16" t="n"/>
      <c r="N491" s="16" t="n"/>
      <c r="O491" s="18" t="n"/>
      <c r="P491" s="18" t="n"/>
      <c r="Q491" s="16" t="n"/>
    </row>
    <row r="492">
      <c r="E492" s="15" t="n"/>
      <c r="F492" s="15" t="n"/>
      <c r="G492" s="15" t="n"/>
      <c r="H492" s="16" t="n"/>
      <c r="I492" s="16" t="n"/>
      <c r="J492" s="17" t="n"/>
      <c r="K492" s="17" t="n"/>
      <c r="L492" s="17" t="n"/>
      <c r="M492" s="16" t="n"/>
      <c r="N492" s="16" t="n"/>
      <c r="O492" s="18" t="n"/>
      <c r="P492" s="18" t="n"/>
      <c r="Q492" s="16" t="n"/>
    </row>
    <row r="493">
      <c r="E493" s="15" t="n"/>
      <c r="F493" s="15" t="n"/>
      <c r="G493" s="15" t="n"/>
      <c r="H493" s="16" t="n"/>
      <c r="I493" s="16" t="n"/>
      <c r="J493" s="17" t="n"/>
      <c r="K493" s="17" t="n"/>
      <c r="L493" s="17" t="n"/>
      <c r="M493" s="16" t="n"/>
      <c r="N493" s="16" t="n"/>
      <c r="O493" s="18" t="n"/>
      <c r="P493" s="18" t="n"/>
      <c r="Q493" s="16" t="n"/>
    </row>
    <row r="494">
      <c r="E494" s="15" t="n"/>
      <c r="F494" s="15" t="n"/>
      <c r="G494" s="15" t="n"/>
      <c r="H494" s="16" t="n"/>
      <c r="I494" s="16" t="n"/>
      <c r="J494" s="17" t="n"/>
      <c r="K494" s="17" t="n"/>
      <c r="L494" s="17" t="n"/>
      <c r="M494" s="16" t="n"/>
      <c r="N494" s="16" t="n"/>
      <c r="O494" s="18" t="n"/>
      <c r="P494" s="18" t="n"/>
      <c r="Q494" s="16" t="n"/>
    </row>
    <row r="495">
      <c r="E495" s="15" t="n"/>
      <c r="F495" s="15" t="n"/>
      <c r="G495" s="15" t="n"/>
      <c r="H495" s="16" t="n"/>
      <c r="I495" s="16" t="n"/>
      <c r="J495" s="17" t="n"/>
      <c r="K495" s="17" t="n"/>
      <c r="L495" s="17" t="n"/>
      <c r="M495" s="16" t="n"/>
      <c r="N495" s="16" t="n"/>
      <c r="O495" s="18" t="n"/>
      <c r="P495" s="18" t="n"/>
      <c r="Q495" s="16" t="n"/>
    </row>
    <row r="496">
      <c r="E496" s="15" t="n"/>
      <c r="F496" s="15" t="n"/>
      <c r="G496" s="15" t="n"/>
      <c r="H496" s="16" t="n"/>
      <c r="I496" s="16" t="n"/>
      <c r="J496" s="17" t="n"/>
      <c r="K496" s="17" t="n"/>
      <c r="L496" s="17" t="n"/>
      <c r="M496" s="16" t="n"/>
      <c r="N496" s="16" t="n"/>
      <c r="O496" s="18" t="n"/>
      <c r="P496" s="18" t="n"/>
      <c r="Q496" s="16" t="n"/>
    </row>
    <row r="497">
      <c r="E497" s="15" t="n"/>
      <c r="F497" s="15" t="n"/>
      <c r="G497" s="15" t="n"/>
      <c r="H497" s="16" t="n"/>
      <c r="I497" s="16" t="n"/>
      <c r="J497" s="17" t="n"/>
      <c r="K497" s="17" t="n"/>
      <c r="L497" s="17" t="n"/>
      <c r="M497" s="16" t="n"/>
      <c r="N497" s="16" t="n"/>
      <c r="O497" s="18" t="n"/>
      <c r="P497" s="18" t="n"/>
      <c r="Q497" s="16" t="n"/>
    </row>
    <row r="498">
      <c r="E498" s="15" t="n"/>
      <c r="F498" s="15" t="n"/>
      <c r="G498" s="15" t="n"/>
      <c r="H498" s="16" t="n"/>
      <c r="I498" s="16" t="n"/>
      <c r="J498" s="17" t="n"/>
      <c r="K498" s="17" t="n"/>
      <c r="L498" s="17" t="n"/>
      <c r="M498" s="16" t="n"/>
      <c r="N498" s="16" t="n"/>
      <c r="O498" s="18" t="n"/>
      <c r="P498" s="18" t="n"/>
      <c r="Q498" s="16" t="n"/>
    </row>
    <row r="499">
      <c r="E499" s="15" t="n"/>
      <c r="F499" s="15" t="n"/>
      <c r="G499" s="15" t="n"/>
      <c r="H499" s="16" t="n"/>
      <c r="I499" s="16" t="n"/>
      <c r="J499" s="17" t="n"/>
      <c r="K499" s="17" t="n"/>
      <c r="L499" s="17" t="n"/>
      <c r="M499" s="16" t="n"/>
      <c r="N499" s="16" t="n"/>
      <c r="O499" s="18" t="n"/>
      <c r="P499" s="18" t="n"/>
      <c r="Q499" s="16" t="n"/>
    </row>
    <row r="500">
      <c r="E500" s="15" t="n"/>
      <c r="F500" s="15" t="n"/>
      <c r="G500" s="15" t="n"/>
      <c r="H500" s="16" t="n"/>
      <c r="I500" s="16" t="n"/>
      <c r="J500" s="17" t="n"/>
      <c r="K500" s="17" t="n"/>
      <c r="L500" s="17" t="n"/>
      <c r="M500" s="16" t="n"/>
      <c r="N500" s="16" t="n"/>
      <c r="O500" s="18" t="n"/>
      <c r="P500" s="18" t="n"/>
      <c r="Q500" s="16" t="n"/>
    </row>
    <row r="501">
      <c r="E501" s="15" t="n"/>
      <c r="F501" s="15" t="n"/>
      <c r="G501" s="15" t="n"/>
      <c r="H501" s="16" t="n"/>
      <c r="I501" s="16" t="n"/>
      <c r="J501" s="17" t="n"/>
      <c r="K501" s="17" t="n"/>
      <c r="L501" s="17" t="n"/>
      <c r="M501" s="16" t="n"/>
      <c r="N501" s="16" t="n"/>
      <c r="O501" s="18" t="n"/>
      <c r="P501" s="18" t="n"/>
      <c r="Q501" s="16" t="n"/>
    </row>
    <row r="502">
      <c r="E502" s="15" t="n"/>
      <c r="F502" s="15" t="n"/>
      <c r="G502" s="15" t="n"/>
      <c r="H502" s="16" t="n"/>
      <c r="I502" s="16" t="n"/>
      <c r="J502" s="17" t="n"/>
      <c r="K502" s="17" t="n"/>
      <c r="L502" s="17" t="n"/>
      <c r="M502" s="16" t="n"/>
      <c r="N502" s="16" t="n"/>
      <c r="O502" s="18" t="n"/>
      <c r="P502" s="18" t="n"/>
      <c r="Q502" s="16" t="n"/>
    </row>
    <row r="503">
      <c r="E503" s="15" t="n"/>
      <c r="F503" s="15" t="n"/>
      <c r="G503" s="15" t="n"/>
      <c r="H503" s="16" t="n"/>
      <c r="I503" s="16" t="n"/>
      <c r="J503" s="17" t="n"/>
      <c r="K503" s="17" t="n"/>
      <c r="L503" s="17" t="n"/>
      <c r="M503" s="16" t="n"/>
      <c r="N503" s="16" t="n"/>
      <c r="O503" s="18" t="n"/>
      <c r="P503" s="18" t="n"/>
      <c r="Q503" s="16" t="n"/>
    </row>
    <row r="504">
      <c r="E504" s="15" t="n"/>
      <c r="F504" s="15" t="n"/>
      <c r="G504" s="15" t="n"/>
      <c r="H504" s="16" t="n"/>
      <c r="I504" s="16" t="n"/>
      <c r="J504" s="17" t="n"/>
      <c r="K504" s="17" t="n"/>
      <c r="L504" s="17" t="n"/>
      <c r="M504" s="16" t="n"/>
      <c r="N504" s="16" t="n"/>
      <c r="O504" s="18" t="n"/>
      <c r="P504" s="18" t="n"/>
      <c r="Q504" s="16" t="n"/>
    </row>
    <row r="505">
      <c r="E505" s="15" t="n"/>
      <c r="F505" s="15" t="n"/>
      <c r="G505" s="15" t="n"/>
      <c r="H505" s="16" t="n"/>
      <c r="I505" s="16" t="n"/>
      <c r="J505" s="17" t="n"/>
      <c r="K505" s="17" t="n"/>
      <c r="L505" s="17" t="n"/>
      <c r="M505" s="16" t="n"/>
      <c r="N505" s="16" t="n"/>
      <c r="O505" s="18" t="n"/>
      <c r="P505" s="18" t="n"/>
      <c r="Q505" s="16" t="n"/>
    </row>
    <row r="506">
      <c r="E506" s="15" t="n"/>
      <c r="F506" s="15" t="n"/>
      <c r="G506" s="15" t="n"/>
      <c r="H506" s="16" t="n"/>
      <c r="I506" s="16" t="n"/>
      <c r="J506" s="17" t="n"/>
      <c r="K506" s="17" t="n"/>
      <c r="L506" s="17" t="n"/>
      <c r="M506" s="16" t="n"/>
      <c r="N506" s="16" t="n"/>
      <c r="O506" s="18" t="n"/>
      <c r="P506" s="18" t="n"/>
      <c r="Q506" s="16" t="n"/>
    </row>
    <row r="507">
      <c r="E507" s="15" t="n"/>
      <c r="F507" s="15" t="n"/>
      <c r="G507" s="15" t="n"/>
      <c r="H507" s="16" t="n"/>
      <c r="I507" s="16" t="n"/>
      <c r="J507" s="17" t="n"/>
      <c r="K507" s="17" t="n"/>
      <c r="L507" s="17" t="n"/>
      <c r="M507" s="16" t="n"/>
      <c r="N507" s="16" t="n"/>
      <c r="O507" s="18" t="n"/>
      <c r="P507" s="18" t="n"/>
      <c r="Q507" s="16" t="n"/>
    </row>
    <row r="508">
      <c r="E508" s="15" t="n"/>
      <c r="F508" s="15" t="n"/>
      <c r="G508" s="15" t="n"/>
      <c r="H508" s="16" t="n"/>
      <c r="I508" s="16" t="n"/>
      <c r="J508" s="17" t="n"/>
      <c r="K508" s="17" t="n"/>
      <c r="L508" s="17" t="n"/>
      <c r="M508" s="16" t="n"/>
      <c r="N508" s="16" t="n"/>
      <c r="O508" s="18" t="n"/>
      <c r="P508" s="18" t="n"/>
      <c r="Q508" s="16" t="n"/>
    </row>
    <row r="509">
      <c r="E509" s="15" t="n"/>
      <c r="F509" s="15" t="n"/>
      <c r="G509" s="15" t="n"/>
      <c r="H509" s="16" t="n"/>
      <c r="I509" s="16" t="n"/>
      <c r="J509" s="17" t="n"/>
      <c r="K509" s="17" t="n"/>
      <c r="L509" s="17" t="n"/>
      <c r="M509" s="16" t="n"/>
      <c r="N509" s="16" t="n"/>
      <c r="O509" s="18" t="n"/>
      <c r="P509" s="18" t="n"/>
      <c r="Q509" s="16" t="n"/>
    </row>
    <row r="510">
      <c r="E510" s="15" t="n"/>
      <c r="F510" s="15" t="n"/>
      <c r="G510" s="15" t="n"/>
      <c r="H510" s="16" t="n"/>
      <c r="I510" s="16" t="n"/>
      <c r="J510" s="17" t="n"/>
      <c r="K510" s="17" t="n"/>
      <c r="L510" s="17" t="n"/>
      <c r="M510" s="16" t="n"/>
      <c r="N510" s="16" t="n"/>
      <c r="O510" s="18" t="n"/>
      <c r="P510" s="18" t="n"/>
      <c r="Q510" s="16" t="n"/>
    </row>
    <row r="511">
      <c r="E511" s="15" t="n"/>
      <c r="F511" s="15" t="n"/>
      <c r="G511" s="15" t="n"/>
      <c r="H511" s="16" t="n"/>
      <c r="I511" s="16" t="n"/>
      <c r="J511" s="17" t="n"/>
      <c r="K511" s="17" t="n"/>
      <c r="L511" s="17" t="n"/>
      <c r="M511" s="16" t="n"/>
      <c r="N511" s="16" t="n"/>
      <c r="O511" s="18" t="n"/>
      <c r="P511" s="18" t="n"/>
      <c r="Q511" s="16" t="n"/>
    </row>
    <row r="512">
      <c r="E512" s="15" t="n"/>
      <c r="F512" s="15" t="n"/>
      <c r="G512" s="15" t="n"/>
      <c r="H512" s="16" t="n"/>
      <c r="I512" s="16" t="n"/>
      <c r="J512" s="17" t="n"/>
      <c r="K512" s="17" t="n"/>
      <c r="L512" s="17" t="n"/>
      <c r="M512" s="16" t="n"/>
      <c r="N512" s="16" t="n"/>
      <c r="O512" s="18" t="n"/>
      <c r="P512" s="18" t="n"/>
      <c r="Q512" s="16" t="n"/>
    </row>
    <row r="513">
      <c r="E513" s="15" t="n"/>
      <c r="F513" s="15" t="n"/>
      <c r="G513" s="15" t="n"/>
      <c r="H513" s="16" t="n"/>
      <c r="I513" s="16" t="n"/>
      <c r="J513" s="17" t="n"/>
      <c r="K513" s="17" t="n"/>
      <c r="L513" s="17" t="n"/>
      <c r="M513" s="16" t="n"/>
      <c r="N513" s="16" t="n"/>
      <c r="O513" s="18" t="n"/>
      <c r="P513" s="18" t="n"/>
      <c r="Q513" s="16" t="n"/>
    </row>
    <row r="514">
      <c r="E514" s="15" t="n"/>
      <c r="F514" s="15" t="n"/>
      <c r="G514" s="15" t="n"/>
      <c r="H514" s="16" t="n"/>
      <c r="I514" s="16" t="n"/>
      <c r="J514" s="17" t="n"/>
      <c r="K514" s="17" t="n"/>
      <c r="L514" s="17" t="n"/>
      <c r="M514" s="16" t="n"/>
      <c r="N514" s="16" t="n"/>
      <c r="O514" s="18" t="n"/>
      <c r="P514" s="18" t="n"/>
      <c r="Q514" s="16" t="n"/>
    </row>
    <row r="515">
      <c r="E515" s="15" t="n"/>
      <c r="F515" s="15" t="n"/>
      <c r="G515" s="15" t="n"/>
      <c r="H515" s="16" t="n"/>
      <c r="I515" s="16" t="n"/>
      <c r="J515" s="17" t="n"/>
      <c r="K515" s="17" t="n"/>
      <c r="L515" s="17" t="n"/>
      <c r="M515" s="16" t="n"/>
      <c r="N515" s="16" t="n"/>
      <c r="O515" s="18" t="n"/>
      <c r="P515" s="18" t="n"/>
      <c r="Q515" s="16" t="n"/>
    </row>
    <row r="516">
      <c r="E516" s="15" t="n"/>
      <c r="F516" s="15" t="n"/>
      <c r="G516" s="15" t="n"/>
      <c r="H516" s="16" t="n"/>
      <c r="I516" s="16" t="n"/>
      <c r="J516" s="17" t="n"/>
      <c r="K516" s="17" t="n"/>
      <c r="L516" s="17" t="n"/>
      <c r="M516" s="16" t="n"/>
      <c r="N516" s="16" t="n"/>
      <c r="O516" s="18" t="n"/>
      <c r="P516" s="18" t="n"/>
      <c r="Q516" s="16" t="n"/>
    </row>
    <row r="517">
      <c r="E517" s="15" t="n"/>
      <c r="F517" s="15" t="n"/>
      <c r="G517" s="15" t="n"/>
      <c r="H517" s="16" t="n"/>
      <c r="I517" s="16" t="n"/>
      <c r="J517" s="17" t="n"/>
      <c r="K517" s="17" t="n"/>
      <c r="L517" s="17" t="n"/>
      <c r="M517" s="16" t="n"/>
      <c r="N517" s="16" t="n"/>
      <c r="O517" s="18" t="n"/>
      <c r="P517" s="18" t="n"/>
      <c r="Q517" s="16" t="n"/>
    </row>
    <row r="518">
      <c r="E518" s="15" t="n"/>
      <c r="F518" s="15" t="n"/>
      <c r="G518" s="15" t="n"/>
      <c r="H518" s="16" t="n"/>
      <c r="I518" s="16" t="n"/>
      <c r="J518" s="17" t="n"/>
      <c r="K518" s="17" t="n"/>
      <c r="L518" s="17" t="n"/>
      <c r="M518" s="16" t="n"/>
      <c r="N518" s="16" t="n"/>
      <c r="O518" s="18" t="n"/>
      <c r="P518" s="18" t="n"/>
      <c r="Q518" s="16" t="n"/>
    </row>
    <row r="519">
      <c r="E519" s="15" t="n"/>
      <c r="F519" s="15" t="n"/>
      <c r="G519" s="15" t="n"/>
      <c r="H519" s="16" t="n"/>
      <c r="I519" s="16" t="n"/>
      <c r="J519" s="17" t="n"/>
      <c r="K519" s="17" t="n"/>
      <c r="L519" s="17" t="n"/>
      <c r="M519" s="16" t="n"/>
      <c r="N519" s="16" t="n"/>
      <c r="O519" s="18" t="n"/>
      <c r="P519" s="18" t="n"/>
      <c r="Q519" s="16" t="n"/>
    </row>
    <row r="520">
      <c r="E520" s="15" t="n"/>
      <c r="F520" s="15" t="n"/>
      <c r="G520" s="15" t="n"/>
      <c r="H520" s="16" t="n"/>
      <c r="I520" s="16" t="n"/>
      <c r="J520" s="17" t="n"/>
      <c r="K520" s="17" t="n"/>
      <c r="L520" s="17" t="n"/>
      <c r="M520" s="16" t="n"/>
      <c r="N520" s="16" t="n"/>
      <c r="O520" s="18" t="n"/>
      <c r="P520" s="18" t="n"/>
      <c r="Q520" s="16" t="n"/>
    </row>
    <row r="521">
      <c r="E521" s="15" t="n"/>
      <c r="F521" s="15" t="n"/>
      <c r="G521" s="15" t="n"/>
      <c r="H521" s="16" t="n"/>
      <c r="I521" s="16" t="n"/>
      <c r="J521" s="17" t="n"/>
      <c r="K521" s="17" t="n"/>
      <c r="L521" s="17" t="n"/>
      <c r="M521" s="16" t="n"/>
      <c r="N521" s="16" t="n"/>
      <c r="O521" s="18" t="n"/>
      <c r="P521" s="18" t="n"/>
      <c r="Q521" s="16" t="n"/>
    </row>
    <row r="522">
      <c r="E522" s="15" t="n"/>
      <c r="F522" s="15" t="n"/>
      <c r="G522" s="15" t="n"/>
      <c r="H522" s="16" t="n"/>
      <c r="I522" s="16" t="n"/>
      <c r="J522" s="17" t="n"/>
      <c r="K522" s="17" t="n"/>
      <c r="L522" s="17" t="n"/>
      <c r="M522" s="16" t="n"/>
      <c r="N522" s="16" t="n"/>
      <c r="O522" s="18" t="n"/>
      <c r="P522" s="18" t="n"/>
      <c r="Q522" s="16" t="n"/>
    </row>
    <row r="523">
      <c r="E523" s="15" t="n"/>
      <c r="F523" s="15" t="n"/>
      <c r="G523" s="15" t="n"/>
      <c r="H523" s="16" t="n"/>
      <c r="I523" s="16" t="n"/>
      <c r="J523" s="17" t="n"/>
      <c r="K523" s="17" t="n"/>
      <c r="L523" s="17" t="n"/>
      <c r="M523" s="16" t="n"/>
      <c r="N523" s="16" t="n"/>
      <c r="O523" s="18" t="n"/>
      <c r="P523" s="18" t="n"/>
      <c r="Q523" s="16" t="n"/>
    </row>
    <row r="524">
      <c r="E524" s="15" t="n"/>
      <c r="F524" s="15" t="n"/>
      <c r="G524" s="15" t="n"/>
      <c r="H524" s="16" t="n"/>
      <c r="I524" s="16" t="n"/>
      <c r="J524" s="17" t="n"/>
      <c r="K524" s="17" t="n"/>
      <c r="L524" s="17" t="n"/>
      <c r="M524" s="16" t="n"/>
      <c r="N524" s="16" t="n"/>
      <c r="O524" s="18" t="n"/>
      <c r="P524" s="18" t="n"/>
      <c r="Q524" s="16" t="n"/>
    </row>
    <row r="525">
      <c r="E525" s="15" t="n"/>
      <c r="F525" s="15" t="n"/>
      <c r="G525" s="15" t="n"/>
      <c r="H525" s="16" t="n"/>
      <c r="I525" s="16" t="n"/>
      <c r="J525" s="17" t="n"/>
      <c r="K525" s="17" t="n"/>
      <c r="L525" s="17" t="n"/>
      <c r="M525" s="16" t="n"/>
      <c r="N525" s="16" t="n"/>
      <c r="O525" s="18" t="n"/>
      <c r="P525" s="18" t="n"/>
      <c r="Q525" s="16" t="n"/>
    </row>
    <row r="526">
      <c r="E526" s="15" t="n"/>
      <c r="F526" s="15" t="n"/>
      <c r="G526" s="15" t="n"/>
      <c r="H526" s="16" t="n"/>
      <c r="I526" s="16" t="n"/>
      <c r="J526" s="17" t="n"/>
      <c r="K526" s="17" t="n"/>
      <c r="L526" s="17" t="n"/>
      <c r="M526" s="16" t="n"/>
      <c r="N526" s="16" t="n"/>
      <c r="O526" s="18" t="n"/>
      <c r="P526" s="18" t="n"/>
      <c r="Q526" s="16" t="n"/>
    </row>
    <row r="527">
      <c r="E527" s="15" t="n"/>
      <c r="F527" s="15" t="n"/>
      <c r="G527" s="15" t="n"/>
      <c r="H527" s="16" t="n"/>
      <c r="I527" s="16" t="n"/>
      <c r="J527" s="17" t="n"/>
      <c r="K527" s="17" t="n"/>
      <c r="L527" s="17" t="n"/>
      <c r="M527" s="16" t="n"/>
      <c r="N527" s="16" t="n"/>
      <c r="O527" s="18" t="n"/>
      <c r="P527" s="18" t="n"/>
      <c r="Q527" s="16" t="n"/>
    </row>
    <row r="528">
      <c r="E528" s="15" t="n"/>
      <c r="F528" s="15" t="n"/>
      <c r="G528" s="15" t="n"/>
      <c r="H528" s="16" t="n"/>
      <c r="I528" s="16" t="n"/>
      <c r="J528" s="17" t="n"/>
      <c r="K528" s="17" t="n"/>
      <c r="L528" s="17" t="n"/>
      <c r="M528" s="16" t="n"/>
      <c r="N528" s="16" t="n"/>
      <c r="O528" s="18" t="n"/>
      <c r="P528" s="18" t="n"/>
      <c r="Q528" s="16" t="n"/>
    </row>
    <row r="529">
      <c r="E529" s="15" t="n"/>
      <c r="F529" s="15" t="n"/>
      <c r="G529" s="15" t="n"/>
      <c r="H529" s="16" t="n"/>
      <c r="I529" s="16" t="n"/>
      <c r="J529" s="17" t="n"/>
      <c r="K529" s="17" t="n"/>
      <c r="L529" s="17" t="n"/>
      <c r="M529" s="16" t="n"/>
      <c r="N529" s="16" t="n"/>
      <c r="O529" s="18" t="n"/>
      <c r="P529" s="18" t="n"/>
      <c r="Q529" s="16" t="n"/>
    </row>
    <row r="530">
      <c r="E530" s="15" t="n"/>
      <c r="F530" s="15" t="n"/>
      <c r="G530" s="15" t="n"/>
      <c r="H530" s="16" t="n"/>
      <c r="I530" s="16" t="n"/>
      <c r="J530" s="17" t="n"/>
      <c r="K530" s="17" t="n"/>
      <c r="L530" s="17" t="n"/>
      <c r="M530" s="16" t="n"/>
      <c r="N530" s="16" t="n"/>
      <c r="O530" s="18" t="n"/>
      <c r="P530" s="18" t="n"/>
      <c r="Q530" s="16" t="n"/>
    </row>
    <row r="531">
      <c r="E531" s="15" t="n"/>
      <c r="F531" s="15" t="n"/>
      <c r="G531" s="15" t="n"/>
      <c r="H531" s="16" t="n"/>
      <c r="I531" s="16" t="n"/>
      <c r="J531" s="17" t="n"/>
      <c r="K531" s="17" t="n"/>
      <c r="L531" s="17" t="n"/>
      <c r="M531" s="16" t="n"/>
      <c r="N531" s="16" t="n"/>
      <c r="O531" s="18" t="n"/>
      <c r="P531" s="18" t="n"/>
      <c r="Q531" s="16" t="n"/>
    </row>
    <row r="532">
      <c r="E532" s="15" t="n"/>
      <c r="F532" s="15" t="n"/>
      <c r="G532" s="15" t="n"/>
      <c r="H532" s="16" t="n"/>
      <c r="I532" s="16" t="n"/>
      <c r="J532" s="17" t="n"/>
      <c r="K532" s="17" t="n"/>
      <c r="L532" s="17" t="n"/>
      <c r="M532" s="16" t="n"/>
      <c r="N532" s="16" t="n"/>
      <c r="O532" s="18" t="n"/>
      <c r="P532" s="18" t="n"/>
      <c r="Q532" s="16" t="n"/>
    </row>
    <row r="533">
      <c r="E533" s="15" t="n"/>
      <c r="F533" s="15" t="n"/>
      <c r="G533" s="15" t="n"/>
      <c r="H533" s="16" t="n"/>
      <c r="I533" s="16" t="n"/>
      <c r="J533" s="17" t="n"/>
      <c r="K533" s="17" t="n"/>
      <c r="L533" s="17" t="n"/>
      <c r="M533" s="16" t="n"/>
      <c r="N533" s="16" t="n"/>
      <c r="O533" s="18" t="n"/>
      <c r="P533" s="18" t="n"/>
      <c r="Q533" s="16" t="n"/>
    </row>
    <row r="534">
      <c r="E534" s="15" t="n"/>
      <c r="F534" s="15" t="n"/>
      <c r="G534" s="15" t="n"/>
      <c r="H534" s="16" t="n"/>
      <c r="I534" s="16" t="n"/>
      <c r="J534" s="17" t="n"/>
      <c r="K534" s="17" t="n"/>
      <c r="L534" s="17" t="n"/>
      <c r="M534" s="16" t="n"/>
      <c r="N534" s="16" t="n"/>
      <c r="O534" s="18" t="n"/>
      <c r="P534" s="18" t="n"/>
      <c r="Q534" s="16" t="n"/>
    </row>
    <row r="535">
      <c r="E535" s="15" t="n"/>
      <c r="F535" s="15" t="n"/>
      <c r="G535" s="15" t="n"/>
      <c r="H535" s="16" t="n"/>
      <c r="I535" s="16" t="n"/>
      <c r="J535" s="17" t="n"/>
      <c r="K535" s="17" t="n"/>
      <c r="L535" s="17" t="n"/>
      <c r="M535" s="16" t="n"/>
      <c r="N535" s="16" t="n"/>
      <c r="O535" s="18" t="n"/>
      <c r="P535" s="18" t="n"/>
      <c r="Q535" s="16" t="n"/>
    </row>
    <row r="536">
      <c r="E536" s="15" t="n"/>
      <c r="F536" s="15" t="n"/>
      <c r="G536" s="15" t="n"/>
      <c r="H536" s="16" t="n"/>
      <c r="I536" s="16" t="n"/>
      <c r="J536" s="17" t="n"/>
      <c r="K536" s="17" t="n"/>
      <c r="L536" s="17" t="n"/>
      <c r="M536" s="16" t="n"/>
      <c r="N536" s="16" t="n"/>
      <c r="O536" s="18" t="n"/>
      <c r="P536" s="18" t="n"/>
      <c r="Q536" s="16" t="n"/>
    </row>
    <row r="537">
      <c r="E537" s="15" t="n"/>
      <c r="F537" s="15" t="n"/>
      <c r="G537" s="15" t="n"/>
      <c r="H537" s="16" t="n"/>
      <c r="I537" s="16" t="n"/>
      <c r="J537" s="17" t="n"/>
      <c r="K537" s="17" t="n"/>
      <c r="L537" s="17" t="n"/>
      <c r="M537" s="16" t="n"/>
      <c r="N537" s="16" t="n"/>
      <c r="O537" s="18" t="n"/>
      <c r="P537" s="18" t="n"/>
      <c r="Q537" s="16" t="n"/>
    </row>
    <row r="538">
      <c r="E538" s="15" t="n"/>
      <c r="F538" s="15" t="n"/>
      <c r="G538" s="15" t="n"/>
      <c r="H538" s="16" t="n"/>
      <c r="I538" s="16" t="n"/>
      <c r="J538" s="17" t="n"/>
      <c r="K538" s="17" t="n"/>
      <c r="L538" s="17" t="n"/>
      <c r="M538" s="16" t="n"/>
      <c r="N538" s="16" t="n"/>
      <c r="O538" s="18" t="n"/>
      <c r="P538" s="18" t="n"/>
      <c r="Q538" s="16" t="n"/>
    </row>
    <row r="539">
      <c r="E539" s="15" t="n"/>
      <c r="F539" s="15" t="n"/>
      <c r="G539" s="15" t="n"/>
      <c r="H539" s="16" t="n"/>
      <c r="I539" s="16" t="n"/>
      <c r="J539" s="17" t="n"/>
      <c r="K539" s="17" t="n"/>
      <c r="L539" s="17" t="n"/>
      <c r="M539" s="16" t="n"/>
      <c r="N539" s="16" t="n"/>
      <c r="O539" s="18" t="n"/>
      <c r="P539" s="18" t="n"/>
      <c r="Q539" s="16" t="n"/>
    </row>
    <row r="540">
      <c r="E540" s="15" t="n"/>
      <c r="F540" s="15" t="n"/>
      <c r="G540" s="15" t="n"/>
      <c r="H540" s="16" t="n"/>
      <c r="I540" s="16" t="n"/>
      <c r="J540" s="17" t="n"/>
      <c r="K540" s="17" t="n"/>
      <c r="L540" s="17" t="n"/>
      <c r="M540" s="16" t="n"/>
      <c r="N540" s="16" t="n"/>
      <c r="O540" s="18" t="n"/>
      <c r="P540" s="18" t="n"/>
      <c r="Q540" s="16" t="n"/>
    </row>
    <row r="541">
      <c r="E541" s="15" t="n"/>
      <c r="F541" s="15" t="n"/>
      <c r="G541" s="15" t="n"/>
      <c r="H541" s="16" t="n"/>
      <c r="I541" s="16" t="n"/>
      <c r="J541" s="17" t="n"/>
      <c r="K541" s="17" t="n"/>
      <c r="L541" s="17" t="n"/>
      <c r="M541" s="16" t="n"/>
      <c r="N541" s="16" t="n"/>
      <c r="O541" s="18" t="n"/>
      <c r="P541" s="18" t="n"/>
      <c r="Q541" s="16" t="n"/>
    </row>
    <row r="542">
      <c r="E542" s="15" t="n"/>
      <c r="F542" s="15" t="n"/>
      <c r="G542" s="15" t="n"/>
      <c r="H542" s="16" t="n"/>
      <c r="I542" s="16" t="n"/>
      <c r="J542" s="17" t="n"/>
      <c r="K542" s="17" t="n"/>
      <c r="L542" s="17" t="n"/>
      <c r="M542" s="16" t="n"/>
      <c r="N542" s="16" t="n"/>
      <c r="O542" s="18" t="n"/>
      <c r="P542" s="18" t="n"/>
      <c r="Q542" s="16" t="n"/>
    </row>
    <row r="543">
      <c r="E543" s="15" t="n"/>
      <c r="F543" s="15" t="n"/>
      <c r="G543" s="15" t="n"/>
      <c r="H543" s="16" t="n"/>
      <c r="I543" s="16" t="n"/>
      <c r="J543" s="17" t="n"/>
      <c r="K543" s="17" t="n"/>
      <c r="L543" s="17" t="n"/>
      <c r="M543" s="16" t="n"/>
      <c r="N543" s="16" t="n"/>
      <c r="O543" s="18" t="n"/>
      <c r="P543" s="18" t="n"/>
      <c r="Q543" s="16" t="n"/>
    </row>
    <row r="544">
      <c r="E544" s="15" t="n"/>
      <c r="F544" s="15" t="n"/>
      <c r="G544" s="15" t="n"/>
      <c r="H544" s="16" t="n"/>
      <c r="I544" s="16" t="n"/>
      <c r="J544" s="17" t="n"/>
      <c r="K544" s="17" t="n"/>
      <c r="L544" s="17" t="n"/>
      <c r="M544" s="16" t="n"/>
      <c r="N544" s="16" t="n"/>
      <c r="O544" s="18" t="n"/>
      <c r="P544" s="18" t="n"/>
      <c r="Q544" s="16" t="n"/>
    </row>
    <row r="545">
      <c r="E545" s="15" t="n"/>
      <c r="F545" s="15" t="n"/>
      <c r="G545" s="15" t="n"/>
      <c r="H545" s="16" t="n"/>
      <c r="I545" s="16" t="n"/>
      <c r="J545" s="17" t="n"/>
      <c r="K545" s="17" t="n"/>
      <c r="L545" s="17" t="n"/>
      <c r="M545" s="16" t="n"/>
      <c r="N545" s="16" t="n"/>
      <c r="O545" s="18" t="n"/>
      <c r="P545" s="18" t="n"/>
      <c r="Q545" s="16" t="n"/>
    </row>
    <row r="546">
      <c r="E546" s="15" t="n"/>
      <c r="F546" s="15" t="n"/>
      <c r="G546" s="15" t="n"/>
      <c r="H546" s="16" t="n"/>
      <c r="I546" s="16" t="n"/>
      <c r="J546" s="17" t="n"/>
      <c r="K546" s="17" t="n"/>
      <c r="L546" s="17" t="n"/>
      <c r="M546" s="16" t="n"/>
      <c r="N546" s="16" t="n"/>
      <c r="O546" s="18" t="n"/>
      <c r="P546" s="18" t="n"/>
      <c r="Q546" s="16" t="n"/>
    </row>
    <row r="547">
      <c r="E547" s="15" t="n"/>
      <c r="F547" s="15" t="n"/>
      <c r="G547" s="15" t="n"/>
      <c r="H547" s="16" t="n"/>
      <c r="I547" s="16" t="n"/>
      <c r="J547" s="17" t="n"/>
      <c r="K547" s="17" t="n"/>
      <c r="L547" s="17" t="n"/>
      <c r="M547" s="16" t="n"/>
      <c r="N547" s="16" t="n"/>
      <c r="O547" s="18" t="n"/>
      <c r="P547" s="18" t="n"/>
      <c r="Q547" s="16" t="n"/>
    </row>
    <row r="548">
      <c r="E548" s="15" t="n"/>
      <c r="F548" s="15" t="n"/>
      <c r="G548" s="15" t="n"/>
      <c r="H548" s="16" t="n"/>
      <c r="I548" s="16" t="n"/>
      <c r="J548" s="17" t="n"/>
      <c r="K548" s="17" t="n"/>
      <c r="L548" s="17" t="n"/>
      <c r="M548" s="16" t="n"/>
      <c r="N548" s="16" t="n"/>
      <c r="O548" s="18" t="n"/>
      <c r="P548" s="18" t="n"/>
      <c r="Q548" s="16" t="n"/>
    </row>
    <row r="549">
      <c r="E549" s="15" t="n"/>
      <c r="F549" s="15" t="n"/>
      <c r="G549" s="15" t="n"/>
      <c r="H549" s="16" t="n"/>
      <c r="I549" s="16" t="n"/>
      <c r="J549" s="17" t="n"/>
      <c r="K549" s="17" t="n"/>
      <c r="L549" s="17" t="n"/>
      <c r="M549" s="16" t="n"/>
      <c r="N549" s="16" t="n"/>
      <c r="O549" s="18" t="n"/>
      <c r="P549" s="18" t="n"/>
      <c r="Q549" s="16" t="n"/>
    </row>
    <row r="550">
      <c r="E550" s="15" t="n"/>
      <c r="F550" s="15" t="n"/>
      <c r="G550" s="15" t="n"/>
      <c r="H550" s="16" t="n"/>
      <c r="I550" s="16" t="n"/>
      <c r="J550" s="17" t="n"/>
      <c r="K550" s="17" t="n"/>
      <c r="L550" s="17" t="n"/>
      <c r="M550" s="16" t="n"/>
      <c r="N550" s="16" t="n"/>
      <c r="O550" s="18" t="n"/>
      <c r="P550" s="18" t="n"/>
      <c r="Q550" s="16" t="n"/>
    </row>
    <row r="551">
      <c r="E551" s="15" t="n"/>
      <c r="F551" s="15" t="n"/>
      <c r="G551" s="15" t="n"/>
      <c r="H551" s="16" t="n"/>
      <c r="I551" s="16" t="n"/>
      <c r="J551" s="17" t="n"/>
      <c r="K551" s="17" t="n"/>
      <c r="L551" s="17" t="n"/>
      <c r="M551" s="16" t="n"/>
      <c r="N551" s="16" t="n"/>
      <c r="O551" s="18" t="n"/>
      <c r="P551" s="18" t="n"/>
      <c r="Q551" s="16" t="n"/>
    </row>
    <row r="552">
      <c r="E552" s="15" t="n"/>
      <c r="F552" s="15" t="n"/>
      <c r="G552" s="15" t="n"/>
      <c r="H552" s="16" t="n"/>
      <c r="I552" s="16" t="n"/>
      <c r="J552" s="17" t="n"/>
      <c r="K552" s="17" t="n"/>
      <c r="L552" s="17" t="n"/>
      <c r="M552" s="16" t="n"/>
      <c r="N552" s="16" t="n"/>
      <c r="O552" s="18" t="n"/>
      <c r="P552" s="18" t="n"/>
      <c r="Q552" s="16" t="n"/>
    </row>
    <row r="553">
      <c r="E553" s="15" t="n"/>
      <c r="F553" s="15" t="n"/>
      <c r="G553" s="15" t="n"/>
      <c r="H553" s="16" t="n"/>
      <c r="I553" s="16" t="n"/>
      <c r="J553" s="17" t="n"/>
      <c r="K553" s="17" t="n"/>
      <c r="L553" s="17" t="n"/>
      <c r="M553" s="16" t="n"/>
      <c r="N553" s="16" t="n"/>
      <c r="O553" s="18" t="n"/>
      <c r="P553" s="18" t="n"/>
      <c r="Q553" s="16" t="n"/>
    </row>
    <row r="554">
      <c r="E554" s="15" t="n"/>
      <c r="F554" s="15" t="n"/>
      <c r="G554" s="15" t="n"/>
      <c r="H554" s="16" t="n"/>
      <c r="I554" s="16" t="n"/>
      <c r="J554" s="17" t="n"/>
      <c r="K554" s="17" t="n"/>
      <c r="L554" s="17" t="n"/>
      <c r="M554" s="16" t="n"/>
      <c r="N554" s="16" t="n"/>
      <c r="O554" s="18" t="n"/>
      <c r="P554" s="18" t="n"/>
      <c r="Q554" s="16" t="n"/>
    </row>
    <row r="555">
      <c r="E555" s="15" t="n"/>
      <c r="F555" s="15" t="n"/>
      <c r="G555" s="15" t="n"/>
      <c r="H555" s="16" t="n"/>
      <c r="I555" s="16" t="n"/>
      <c r="J555" s="17" t="n"/>
      <c r="K555" s="17" t="n"/>
      <c r="L555" s="17" t="n"/>
      <c r="M555" s="16" t="n"/>
      <c r="N555" s="16" t="n"/>
      <c r="O555" s="18" t="n"/>
      <c r="P555" s="18" t="n"/>
      <c r="Q555" s="16" t="n"/>
    </row>
    <row r="556">
      <c r="E556" s="15" t="n"/>
      <c r="F556" s="15" t="n"/>
      <c r="G556" s="15" t="n"/>
      <c r="H556" s="16" t="n"/>
      <c r="I556" s="16" t="n"/>
      <c r="J556" s="17" t="n"/>
      <c r="K556" s="17" t="n"/>
      <c r="L556" s="17" t="n"/>
      <c r="M556" s="16" t="n"/>
      <c r="N556" s="16" t="n"/>
      <c r="O556" s="18" t="n"/>
      <c r="P556" s="18" t="n"/>
      <c r="Q556" s="16" t="n"/>
    </row>
    <row r="557">
      <c r="E557" s="15" t="n"/>
      <c r="F557" s="15" t="n"/>
      <c r="G557" s="15" t="n"/>
      <c r="H557" s="16" t="n"/>
      <c r="I557" s="16" t="n"/>
      <c r="J557" s="17" t="n"/>
      <c r="K557" s="17" t="n"/>
      <c r="L557" s="17" t="n"/>
      <c r="M557" s="16" t="n"/>
      <c r="N557" s="16" t="n"/>
      <c r="O557" s="18" t="n"/>
      <c r="P557" s="18" t="n"/>
      <c r="Q557" s="16" t="n"/>
    </row>
    <row r="558">
      <c r="E558" s="15" t="n"/>
      <c r="F558" s="15" t="n"/>
      <c r="G558" s="15" t="n"/>
      <c r="H558" s="16" t="n"/>
      <c r="I558" s="16" t="n"/>
      <c r="J558" s="17" t="n"/>
      <c r="K558" s="17" t="n"/>
      <c r="L558" s="17" t="n"/>
      <c r="M558" s="16" t="n"/>
      <c r="N558" s="16" t="n"/>
      <c r="O558" s="18" t="n"/>
      <c r="P558" s="18" t="n"/>
      <c r="Q558" s="16" t="n"/>
    </row>
    <row r="559">
      <c r="E559" s="15" t="n"/>
      <c r="F559" s="15" t="n"/>
      <c r="G559" s="15" t="n"/>
      <c r="H559" s="16" t="n"/>
      <c r="I559" s="16" t="n"/>
      <c r="J559" s="17" t="n"/>
      <c r="K559" s="17" t="n"/>
      <c r="L559" s="17" t="n"/>
      <c r="M559" s="16" t="n"/>
      <c r="N559" s="16" t="n"/>
      <c r="O559" s="18" t="n"/>
      <c r="P559" s="18" t="n"/>
      <c r="Q559" s="16" t="n"/>
    </row>
    <row r="560">
      <c r="E560" s="15" t="n"/>
      <c r="F560" s="15" t="n"/>
      <c r="G560" s="15" t="n"/>
      <c r="H560" s="16" t="n"/>
      <c r="I560" s="16" t="n"/>
      <c r="J560" s="17" t="n"/>
      <c r="K560" s="17" t="n"/>
      <c r="L560" s="17" t="n"/>
      <c r="M560" s="16" t="n"/>
      <c r="N560" s="16" t="n"/>
      <c r="O560" s="18" t="n"/>
      <c r="P560" s="18" t="n"/>
      <c r="Q560" s="16" t="n"/>
    </row>
    <row r="561">
      <c r="E561" s="15" t="n"/>
      <c r="F561" s="15" t="n"/>
      <c r="G561" s="15" t="n"/>
      <c r="H561" s="16" t="n"/>
      <c r="I561" s="16" t="n"/>
      <c r="J561" s="17" t="n"/>
      <c r="K561" s="17" t="n"/>
      <c r="L561" s="17" t="n"/>
      <c r="M561" s="16" t="n"/>
      <c r="N561" s="16" t="n"/>
      <c r="O561" s="18" t="n"/>
      <c r="P561" s="18" t="n"/>
      <c r="Q561" s="16" t="n"/>
    </row>
    <row r="562">
      <c r="E562" s="15" t="n"/>
      <c r="F562" s="15" t="n"/>
      <c r="G562" s="15" t="n"/>
      <c r="H562" s="16" t="n"/>
      <c r="I562" s="16" t="n"/>
      <c r="J562" s="17" t="n"/>
      <c r="K562" s="17" t="n"/>
      <c r="L562" s="17" t="n"/>
      <c r="M562" s="16" t="n"/>
      <c r="N562" s="16" t="n"/>
      <c r="O562" s="18" t="n"/>
      <c r="P562" s="18" t="n"/>
      <c r="Q562" s="16" t="n"/>
    </row>
    <row r="563">
      <c r="E563" s="15" t="n"/>
      <c r="F563" s="15" t="n"/>
      <c r="G563" s="15" t="n"/>
      <c r="H563" s="16" t="n"/>
      <c r="I563" s="16" t="n"/>
      <c r="J563" s="17" t="n"/>
      <c r="K563" s="17" t="n"/>
      <c r="L563" s="17" t="n"/>
      <c r="M563" s="16" t="n"/>
      <c r="N563" s="16" t="n"/>
      <c r="O563" s="18" t="n"/>
      <c r="P563" s="18" t="n"/>
      <c r="Q563" s="16" t="n"/>
    </row>
    <row r="564">
      <c r="E564" s="15" t="n"/>
      <c r="F564" s="15" t="n"/>
      <c r="G564" s="15" t="n"/>
      <c r="H564" s="16" t="n"/>
      <c r="I564" s="16" t="n"/>
      <c r="J564" s="17" t="n"/>
      <c r="K564" s="17" t="n"/>
      <c r="L564" s="17" t="n"/>
      <c r="M564" s="16" t="n"/>
      <c r="N564" s="16" t="n"/>
      <c r="O564" s="18" t="n"/>
      <c r="P564" s="18" t="n"/>
      <c r="Q564" s="16" t="n"/>
    </row>
    <row r="565">
      <c r="E565" s="15" t="n"/>
      <c r="F565" s="15" t="n"/>
      <c r="G565" s="15" t="n"/>
      <c r="H565" s="16" t="n"/>
      <c r="I565" s="16" t="n"/>
      <c r="J565" s="17" t="n"/>
      <c r="K565" s="17" t="n"/>
      <c r="L565" s="17" t="n"/>
      <c r="M565" s="16" t="n"/>
      <c r="N565" s="16" t="n"/>
      <c r="O565" s="18" t="n"/>
      <c r="P565" s="18" t="n"/>
      <c r="Q565" s="16" t="n"/>
    </row>
    <row r="566">
      <c r="E566" s="15" t="n"/>
      <c r="F566" s="15" t="n"/>
      <c r="G566" s="15" t="n"/>
      <c r="H566" s="16" t="n"/>
      <c r="I566" s="16" t="n"/>
      <c r="J566" s="17" t="n"/>
      <c r="K566" s="17" t="n"/>
      <c r="L566" s="17" t="n"/>
      <c r="M566" s="16" t="n"/>
      <c r="N566" s="16" t="n"/>
      <c r="O566" s="18" t="n"/>
      <c r="P566" s="18" t="n"/>
      <c r="Q566" s="16" t="n"/>
    </row>
    <row r="567">
      <c r="E567" s="15" t="n"/>
      <c r="F567" s="15" t="n"/>
      <c r="G567" s="15" t="n"/>
      <c r="H567" s="16" t="n"/>
      <c r="I567" s="16" t="n"/>
      <c r="J567" s="17" t="n"/>
      <c r="K567" s="17" t="n"/>
      <c r="L567" s="17" t="n"/>
      <c r="M567" s="16" t="n"/>
      <c r="N567" s="16" t="n"/>
      <c r="O567" s="18" t="n"/>
      <c r="P567" s="18" t="n"/>
      <c r="Q567" s="16" t="n"/>
    </row>
    <row r="568">
      <c r="E568" s="15" t="n"/>
      <c r="F568" s="15" t="n"/>
      <c r="G568" s="15" t="n"/>
      <c r="H568" s="16" t="n"/>
      <c r="I568" s="16" t="n"/>
      <c r="J568" s="17" t="n"/>
      <c r="K568" s="17" t="n"/>
      <c r="L568" s="17" t="n"/>
      <c r="M568" s="16" t="n"/>
      <c r="N568" s="16" t="n"/>
      <c r="O568" s="18" t="n"/>
      <c r="P568" s="18" t="n"/>
      <c r="Q568" s="16" t="n"/>
    </row>
    <row r="569">
      <c r="E569" s="15" t="n"/>
      <c r="F569" s="15" t="n"/>
      <c r="G569" s="15" t="n"/>
      <c r="H569" s="16" t="n"/>
      <c r="I569" s="16" t="n"/>
      <c r="J569" s="17" t="n"/>
      <c r="K569" s="17" t="n"/>
      <c r="L569" s="17" t="n"/>
      <c r="M569" s="16" t="n"/>
      <c r="N569" s="16" t="n"/>
      <c r="O569" s="18" t="n"/>
      <c r="P569" s="18" t="n"/>
      <c r="Q569" s="16" t="n"/>
    </row>
    <row r="570">
      <c r="E570" s="15" t="n"/>
      <c r="F570" s="15" t="n"/>
      <c r="G570" s="15" t="n"/>
      <c r="H570" s="16" t="n"/>
      <c r="I570" s="16" t="n"/>
      <c r="J570" s="17" t="n"/>
      <c r="K570" s="17" t="n"/>
      <c r="L570" s="17" t="n"/>
      <c r="M570" s="16" t="n"/>
      <c r="N570" s="16" t="n"/>
      <c r="O570" s="18" t="n"/>
      <c r="P570" s="18" t="n"/>
      <c r="Q570" s="16" t="n"/>
    </row>
    <row r="571">
      <c r="E571" s="15" t="n"/>
      <c r="F571" s="15" t="n"/>
      <c r="G571" s="15" t="n"/>
      <c r="H571" s="16" t="n"/>
      <c r="I571" s="16" t="n"/>
      <c r="J571" s="17" t="n"/>
      <c r="K571" s="17" t="n"/>
      <c r="L571" s="17" t="n"/>
      <c r="M571" s="16" t="n"/>
      <c r="N571" s="16" t="n"/>
      <c r="O571" s="18" t="n"/>
      <c r="P571" s="18" t="n"/>
      <c r="Q571" s="16" t="n"/>
    </row>
    <row r="572">
      <c r="E572" s="15" t="n"/>
      <c r="F572" s="15" t="n"/>
      <c r="G572" s="15" t="n"/>
      <c r="H572" s="16" t="n"/>
      <c r="I572" s="16" t="n"/>
      <c r="J572" s="17" t="n"/>
      <c r="K572" s="17" t="n"/>
      <c r="L572" s="17" t="n"/>
      <c r="M572" s="16" t="n"/>
      <c r="N572" s="16" t="n"/>
      <c r="O572" s="18" t="n"/>
      <c r="P572" s="18" t="n"/>
      <c r="Q572" s="16" t="n"/>
    </row>
    <row r="573">
      <c r="E573" s="15" t="n"/>
      <c r="F573" s="15" t="n"/>
      <c r="G573" s="15" t="n"/>
      <c r="H573" s="16" t="n"/>
      <c r="I573" s="16" t="n"/>
      <c r="J573" s="17" t="n"/>
      <c r="K573" s="17" t="n"/>
      <c r="L573" s="17" t="n"/>
      <c r="M573" s="16" t="n"/>
      <c r="N573" s="16" t="n"/>
      <c r="O573" s="18" t="n"/>
      <c r="P573" s="18" t="n"/>
      <c r="Q573" s="16" t="n"/>
    </row>
    <row r="574">
      <c r="E574" s="15" t="n"/>
      <c r="F574" s="15" t="n"/>
      <c r="G574" s="15" t="n"/>
      <c r="H574" s="16" t="n"/>
      <c r="I574" s="16" t="n"/>
      <c r="J574" s="17" t="n"/>
      <c r="K574" s="17" t="n"/>
      <c r="L574" s="17" t="n"/>
      <c r="M574" s="16" t="n"/>
      <c r="N574" s="16" t="n"/>
      <c r="O574" s="18" t="n"/>
      <c r="P574" s="18" t="n"/>
      <c r="Q574" s="16" t="n"/>
    </row>
    <row r="575">
      <c r="E575" s="15" t="n"/>
      <c r="F575" s="15" t="n"/>
      <c r="G575" s="15" t="n"/>
      <c r="H575" s="16" t="n"/>
      <c r="I575" s="16" t="n"/>
      <c r="J575" s="17" t="n"/>
      <c r="K575" s="17" t="n"/>
      <c r="L575" s="17" t="n"/>
      <c r="M575" s="16" t="n"/>
      <c r="N575" s="16" t="n"/>
      <c r="O575" s="18" t="n"/>
      <c r="P575" s="18" t="n"/>
      <c r="Q575" s="16" t="n"/>
    </row>
    <row r="576">
      <c r="E576" s="15" t="n"/>
      <c r="F576" s="15" t="n"/>
      <c r="G576" s="15" t="n"/>
      <c r="H576" s="16" t="n"/>
      <c r="I576" s="16" t="n"/>
      <c r="J576" s="17" t="n"/>
      <c r="K576" s="17" t="n"/>
      <c r="L576" s="17" t="n"/>
      <c r="M576" s="16" t="n"/>
      <c r="N576" s="16" t="n"/>
      <c r="O576" s="18" t="n"/>
      <c r="P576" s="18" t="n"/>
      <c r="Q576" s="16" t="n"/>
    </row>
    <row r="577">
      <c r="E577" s="15" t="n"/>
      <c r="F577" s="15" t="n"/>
      <c r="G577" s="15" t="n"/>
      <c r="H577" s="16" t="n"/>
      <c r="I577" s="16" t="n"/>
      <c r="J577" s="17" t="n"/>
      <c r="K577" s="17" t="n"/>
      <c r="L577" s="17" t="n"/>
      <c r="M577" s="16" t="n"/>
      <c r="N577" s="16" t="n"/>
      <c r="O577" s="18" t="n"/>
      <c r="P577" s="18" t="n"/>
      <c r="Q577" s="16" t="n"/>
    </row>
    <row r="578">
      <c r="E578" s="15" t="n"/>
      <c r="F578" s="15" t="n"/>
      <c r="G578" s="15" t="n"/>
      <c r="H578" s="16" t="n"/>
      <c r="I578" s="16" t="n"/>
      <c r="J578" s="17" t="n"/>
      <c r="K578" s="17" t="n"/>
      <c r="L578" s="17" t="n"/>
      <c r="M578" s="16" t="n"/>
      <c r="N578" s="16" t="n"/>
      <c r="O578" s="18" t="n"/>
      <c r="P578" s="18" t="n"/>
      <c r="Q578" s="16" t="n"/>
    </row>
    <row r="579">
      <c r="E579" s="15" t="n"/>
      <c r="F579" s="15" t="n"/>
      <c r="G579" s="15" t="n"/>
      <c r="H579" s="16" t="n"/>
      <c r="I579" s="16" t="n"/>
      <c r="J579" s="17" t="n"/>
      <c r="K579" s="17" t="n"/>
      <c r="L579" s="17" t="n"/>
      <c r="M579" s="16" t="n"/>
      <c r="N579" s="16" t="n"/>
      <c r="O579" s="18" t="n"/>
      <c r="P579" s="18" t="n"/>
      <c r="Q579" s="16" t="n"/>
    </row>
    <row r="580">
      <c r="E580" s="15" t="n"/>
      <c r="F580" s="15" t="n"/>
      <c r="G580" s="15" t="n"/>
      <c r="H580" s="16" t="n"/>
      <c r="I580" s="16" t="n"/>
      <c r="J580" s="17" t="n"/>
      <c r="K580" s="17" t="n"/>
      <c r="L580" s="17" t="n"/>
      <c r="M580" s="16" t="n"/>
      <c r="N580" s="16" t="n"/>
      <c r="O580" s="18" t="n"/>
      <c r="P580" s="18" t="n"/>
      <c r="Q580" s="16" t="n"/>
    </row>
    <row r="581">
      <c r="E581" s="15" t="n"/>
      <c r="F581" s="15" t="n"/>
      <c r="G581" s="15" t="n"/>
      <c r="H581" s="16" t="n"/>
      <c r="I581" s="16" t="n"/>
      <c r="J581" s="17" t="n"/>
      <c r="K581" s="17" t="n"/>
      <c r="L581" s="17" t="n"/>
      <c r="M581" s="16" t="n"/>
      <c r="N581" s="16" t="n"/>
      <c r="O581" s="18" t="n"/>
      <c r="P581" s="18" t="n"/>
      <c r="Q581" s="16" t="n"/>
    </row>
    <row r="582">
      <c r="E582" s="15" t="n"/>
      <c r="F582" s="15" t="n"/>
      <c r="G582" s="15" t="n"/>
      <c r="H582" s="16" t="n"/>
      <c r="I582" s="16" t="n"/>
      <c r="J582" s="17" t="n"/>
      <c r="K582" s="17" t="n"/>
      <c r="L582" s="17" t="n"/>
      <c r="M582" s="16" t="n"/>
      <c r="N582" s="16" t="n"/>
      <c r="O582" s="18" t="n"/>
      <c r="P582" s="18" t="n"/>
      <c r="Q582" s="16" t="n"/>
    </row>
    <row r="583">
      <c r="E583" s="15" t="n"/>
      <c r="F583" s="15" t="n"/>
      <c r="G583" s="15" t="n"/>
      <c r="H583" s="16" t="n"/>
      <c r="I583" s="16" t="n"/>
      <c r="J583" s="17" t="n"/>
      <c r="K583" s="17" t="n"/>
      <c r="L583" s="17" t="n"/>
      <c r="M583" s="16" t="n"/>
      <c r="N583" s="16" t="n"/>
      <c r="O583" s="18" t="n"/>
      <c r="P583" s="18" t="n"/>
      <c r="Q583" s="16" t="n"/>
    </row>
    <row r="584">
      <c r="E584" s="15" t="n"/>
      <c r="F584" s="15" t="n"/>
      <c r="G584" s="15" t="n"/>
      <c r="H584" s="16" t="n"/>
      <c r="I584" s="16" t="n"/>
      <c r="J584" s="17" t="n"/>
      <c r="K584" s="17" t="n"/>
      <c r="L584" s="17" t="n"/>
      <c r="M584" s="16" t="n"/>
      <c r="N584" s="16" t="n"/>
      <c r="O584" s="18" t="n"/>
      <c r="P584" s="18" t="n"/>
      <c r="Q584" s="16" t="n"/>
    </row>
    <row r="585">
      <c r="E585" s="15" t="n"/>
      <c r="F585" s="15" t="n"/>
      <c r="G585" s="15" t="n"/>
      <c r="H585" s="16" t="n"/>
      <c r="I585" s="16" t="n"/>
      <c r="J585" s="17" t="n"/>
      <c r="K585" s="17" t="n"/>
      <c r="L585" s="17" t="n"/>
      <c r="M585" s="16" t="n"/>
      <c r="N585" s="16" t="n"/>
      <c r="O585" s="18" t="n"/>
      <c r="P585" s="18" t="n"/>
      <c r="Q585" s="16" t="n"/>
    </row>
    <row r="586">
      <c r="E586" s="15" t="n"/>
      <c r="F586" s="15" t="n"/>
      <c r="G586" s="15" t="n"/>
      <c r="H586" s="16" t="n"/>
      <c r="I586" s="16" t="n"/>
      <c r="J586" s="17" t="n"/>
      <c r="K586" s="17" t="n"/>
      <c r="L586" s="17" t="n"/>
      <c r="M586" s="16" t="n"/>
      <c r="N586" s="16" t="n"/>
      <c r="O586" s="18" t="n"/>
      <c r="P586" s="18" t="n"/>
      <c r="Q586" s="16" t="n"/>
    </row>
    <row r="587">
      <c r="E587" s="15" t="n"/>
      <c r="F587" s="15" t="n"/>
      <c r="G587" s="15" t="n"/>
      <c r="H587" s="16" t="n"/>
      <c r="I587" s="16" t="n"/>
      <c r="J587" s="17" t="n"/>
      <c r="K587" s="17" t="n"/>
      <c r="L587" s="17" t="n"/>
      <c r="M587" s="16" t="n"/>
      <c r="N587" s="16" t="n"/>
      <c r="O587" s="18" t="n"/>
      <c r="P587" s="18" t="n"/>
      <c r="Q587" s="16" t="n"/>
    </row>
    <row r="588">
      <c r="E588" s="15" t="n"/>
      <c r="F588" s="15" t="n"/>
      <c r="G588" s="15" t="n"/>
      <c r="H588" s="16" t="n"/>
      <c r="I588" s="16" t="n"/>
      <c r="J588" s="17" t="n"/>
      <c r="K588" s="17" t="n"/>
      <c r="L588" s="17" t="n"/>
      <c r="M588" s="16" t="n"/>
      <c r="N588" s="16" t="n"/>
      <c r="O588" s="18" t="n"/>
      <c r="P588" s="18" t="n"/>
      <c r="Q588" s="16" t="n"/>
    </row>
    <row r="589">
      <c r="E589" s="15" t="n"/>
      <c r="F589" s="15" t="n"/>
      <c r="G589" s="15" t="n"/>
      <c r="H589" s="16" t="n"/>
      <c r="I589" s="16" t="n"/>
      <c r="J589" s="17" t="n"/>
      <c r="K589" s="17" t="n"/>
      <c r="L589" s="17" t="n"/>
      <c r="M589" s="16" t="n"/>
      <c r="N589" s="16" t="n"/>
      <c r="O589" s="18" t="n"/>
      <c r="P589" s="18" t="n"/>
      <c r="Q589" s="16" t="n"/>
    </row>
    <row r="590">
      <c r="E590" s="15" t="n"/>
      <c r="F590" s="15" t="n"/>
      <c r="G590" s="15" t="n"/>
      <c r="H590" s="16" t="n"/>
      <c r="I590" s="16" t="n"/>
      <c r="J590" s="17" t="n"/>
      <c r="K590" s="17" t="n"/>
      <c r="L590" s="17" t="n"/>
      <c r="M590" s="16" t="n"/>
      <c r="N590" s="16" t="n"/>
      <c r="O590" s="18" t="n"/>
      <c r="P590" s="18" t="n"/>
      <c r="Q590" s="16" t="n"/>
    </row>
    <row r="591">
      <c r="E591" s="15" t="n"/>
      <c r="F591" s="15" t="n"/>
      <c r="G591" s="15" t="n"/>
      <c r="H591" s="16" t="n"/>
      <c r="I591" s="16" t="n"/>
      <c r="J591" s="17" t="n"/>
      <c r="K591" s="17" t="n"/>
      <c r="L591" s="17" t="n"/>
      <c r="M591" s="16" t="n"/>
      <c r="N591" s="16" t="n"/>
      <c r="O591" s="18" t="n"/>
      <c r="P591" s="18" t="n"/>
      <c r="Q591" s="16" t="n"/>
    </row>
    <row r="592">
      <c r="E592" s="15" t="n"/>
      <c r="F592" s="15" t="n"/>
      <c r="G592" s="15" t="n"/>
      <c r="H592" s="16" t="n"/>
      <c r="I592" s="16" t="n"/>
      <c r="J592" s="17" t="n"/>
      <c r="K592" s="17" t="n"/>
      <c r="L592" s="17" t="n"/>
      <c r="M592" s="16" t="n"/>
      <c r="N592" s="16" t="n"/>
      <c r="O592" s="18" t="n"/>
      <c r="P592" s="18" t="n"/>
      <c r="Q592" s="16" t="n"/>
    </row>
    <row r="593">
      <c r="E593" s="15" t="n"/>
      <c r="F593" s="15" t="n"/>
      <c r="G593" s="15" t="n"/>
      <c r="H593" s="16" t="n"/>
      <c r="I593" s="16" t="n"/>
      <c r="J593" s="17" t="n"/>
      <c r="K593" s="17" t="n"/>
      <c r="L593" s="17" t="n"/>
      <c r="M593" s="16" t="n"/>
      <c r="N593" s="16" t="n"/>
      <c r="O593" s="18" t="n"/>
      <c r="P593" s="18" t="n"/>
      <c r="Q593" s="16" t="n"/>
    </row>
    <row r="594">
      <c r="E594" s="15" t="n"/>
      <c r="F594" s="15" t="n"/>
      <c r="G594" s="15" t="n"/>
      <c r="H594" s="16" t="n"/>
      <c r="I594" s="16" t="n"/>
      <c r="J594" s="17" t="n"/>
      <c r="K594" s="17" t="n"/>
      <c r="L594" s="17" t="n"/>
      <c r="M594" s="16" t="n"/>
      <c r="N594" s="16" t="n"/>
      <c r="O594" s="18" t="n"/>
      <c r="P594" s="18" t="n"/>
      <c r="Q594" s="16" t="n"/>
    </row>
    <row r="595">
      <c r="E595" s="15" t="n"/>
      <c r="F595" s="15" t="n"/>
      <c r="G595" s="15" t="n"/>
      <c r="H595" s="16" t="n"/>
      <c r="I595" s="16" t="n"/>
      <c r="J595" s="17" t="n"/>
      <c r="K595" s="17" t="n"/>
      <c r="L595" s="17" t="n"/>
      <c r="M595" s="16" t="n"/>
      <c r="N595" s="16" t="n"/>
      <c r="O595" s="18" t="n"/>
      <c r="P595" s="18" t="n"/>
      <c r="Q595" s="16" t="n"/>
    </row>
    <row r="596">
      <c r="E596" s="15" t="n"/>
      <c r="F596" s="15" t="n"/>
      <c r="G596" s="15" t="n"/>
      <c r="H596" s="16" t="n"/>
      <c r="I596" s="16" t="n"/>
      <c r="J596" s="17" t="n"/>
      <c r="K596" s="17" t="n"/>
      <c r="L596" s="17" t="n"/>
      <c r="M596" s="16" t="n"/>
      <c r="N596" s="16" t="n"/>
      <c r="O596" s="18" t="n"/>
      <c r="P596" s="18" t="n"/>
      <c r="Q596" s="16" t="n"/>
    </row>
    <row r="597">
      <c r="E597" s="15" t="n"/>
      <c r="F597" s="15" t="n"/>
      <c r="G597" s="15" t="n"/>
      <c r="H597" s="16" t="n"/>
      <c r="I597" s="16" t="n"/>
      <c r="J597" s="17" t="n"/>
      <c r="K597" s="17" t="n"/>
      <c r="L597" s="17" t="n"/>
      <c r="M597" s="16" t="n"/>
      <c r="N597" s="16" t="n"/>
      <c r="O597" s="18" t="n"/>
      <c r="P597" s="18" t="n"/>
      <c r="Q597" s="16" t="n"/>
    </row>
    <row r="598">
      <c r="E598" s="15" t="n"/>
      <c r="F598" s="15" t="n"/>
      <c r="G598" s="15" t="n"/>
      <c r="H598" s="16" t="n"/>
      <c r="I598" s="16" t="n"/>
      <c r="J598" s="17" t="n"/>
      <c r="K598" s="17" t="n"/>
      <c r="L598" s="17" t="n"/>
      <c r="M598" s="16" t="n"/>
      <c r="N598" s="16" t="n"/>
      <c r="O598" s="18" t="n"/>
      <c r="P598" s="18" t="n"/>
      <c r="Q598" s="16" t="n"/>
    </row>
    <row r="599">
      <c r="E599" s="15" t="n"/>
      <c r="F599" s="15" t="n"/>
      <c r="G599" s="15" t="n"/>
      <c r="H599" s="16" t="n"/>
      <c r="I599" s="16" t="n"/>
      <c r="J599" s="17" t="n"/>
      <c r="K599" s="17" t="n"/>
      <c r="L599" s="17" t="n"/>
      <c r="M599" s="16" t="n"/>
      <c r="N599" s="16" t="n"/>
      <c r="O599" s="18" t="n"/>
      <c r="P599" s="18" t="n"/>
      <c r="Q599" s="16" t="n"/>
    </row>
    <row r="600">
      <c r="E600" s="15" t="n"/>
      <c r="F600" s="15" t="n"/>
      <c r="G600" s="15" t="n"/>
      <c r="H600" s="16" t="n"/>
      <c r="I600" s="16" t="n"/>
      <c r="J600" s="17" t="n"/>
      <c r="K600" s="17" t="n"/>
      <c r="L600" s="17" t="n"/>
      <c r="M600" s="16" t="n"/>
      <c r="N600" s="16" t="n"/>
      <c r="O600" s="18" t="n"/>
      <c r="P600" s="18" t="n"/>
      <c r="Q600" s="16" t="n"/>
    </row>
    <row r="601">
      <c r="E601" s="15" t="n"/>
      <c r="F601" s="15" t="n"/>
      <c r="G601" s="15" t="n"/>
      <c r="H601" s="16" t="n"/>
      <c r="I601" s="16" t="n"/>
      <c r="J601" s="17" t="n"/>
      <c r="K601" s="17" t="n"/>
      <c r="L601" s="17" t="n"/>
      <c r="M601" s="16" t="n"/>
      <c r="N601" s="16" t="n"/>
      <c r="O601" s="18" t="n"/>
      <c r="P601" s="18" t="n"/>
      <c r="Q601" s="16" t="n"/>
    </row>
    <row r="602">
      <c r="E602" s="15" t="n"/>
      <c r="F602" s="15" t="n"/>
      <c r="G602" s="15" t="n"/>
      <c r="H602" s="16" t="n"/>
      <c r="I602" s="16" t="n"/>
      <c r="J602" s="17" t="n"/>
      <c r="K602" s="17" t="n"/>
      <c r="L602" s="17" t="n"/>
      <c r="M602" s="16" t="n"/>
      <c r="N602" s="16" t="n"/>
      <c r="O602" s="18" t="n"/>
      <c r="P602" s="18" t="n"/>
      <c r="Q602" s="16" t="n"/>
    </row>
    <row r="603">
      <c r="E603" s="15" t="n"/>
      <c r="F603" s="15" t="n"/>
      <c r="G603" s="15" t="n"/>
      <c r="H603" s="16" t="n"/>
      <c r="I603" s="16" t="n"/>
      <c r="J603" s="17" t="n"/>
      <c r="K603" s="17" t="n"/>
      <c r="L603" s="17" t="n"/>
      <c r="M603" s="16" t="n"/>
      <c r="N603" s="16" t="n"/>
      <c r="O603" s="18" t="n"/>
      <c r="P603" s="18" t="n"/>
      <c r="Q603" s="16" t="n"/>
    </row>
    <row r="604">
      <c r="E604" s="15" t="n"/>
      <c r="F604" s="15" t="n"/>
      <c r="G604" s="15" t="n"/>
      <c r="H604" s="16" t="n"/>
      <c r="I604" s="16" t="n"/>
      <c r="J604" s="17" t="n"/>
      <c r="K604" s="17" t="n"/>
      <c r="L604" s="17" t="n"/>
      <c r="M604" s="16" t="n"/>
      <c r="N604" s="16" t="n"/>
      <c r="O604" s="18" t="n"/>
      <c r="P604" s="18" t="n"/>
      <c r="Q604" s="16" t="n"/>
    </row>
    <row r="605">
      <c r="E605" s="15" t="n"/>
      <c r="F605" s="15" t="n"/>
      <c r="G605" s="15" t="n"/>
      <c r="H605" s="16" t="n"/>
      <c r="I605" s="16" t="n"/>
      <c r="J605" s="17" t="n"/>
      <c r="K605" s="17" t="n"/>
      <c r="L605" s="17" t="n"/>
      <c r="M605" s="16" t="n"/>
      <c r="N605" s="16" t="n"/>
      <c r="O605" s="18" t="n"/>
      <c r="P605" s="18" t="n"/>
      <c r="Q605" s="16" t="n"/>
    </row>
    <row r="606">
      <c r="E606" s="15" t="n"/>
      <c r="F606" s="15" t="n"/>
      <c r="G606" s="15" t="n"/>
      <c r="H606" s="16" t="n"/>
      <c r="I606" s="16" t="n"/>
      <c r="J606" s="17" t="n"/>
      <c r="K606" s="17" t="n"/>
      <c r="L606" s="17" t="n"/>
      <c r="M606" s="16" t="n"/>
      <c r="N606" s="16" t="n"/>
      <c r="O606" s="18" t="n"/>
      <c r="P606" s="18" t="n"/>
      <c r="Q606" s="16" t="n"/>
    </row>
    <row r="607">
      <c r="E607" s="15" t="n"/>
      <c r="F607" s="15" t="n"/>
      <c r="G607" s="15" t="n"/>
      <c r="H607" s="16" t="n"/>
      <c r="I607" s="16" t="n"/>
      <c r="J607" s="17" t="n"/>
      <c r="K607" s="17" t="n"/>
      <c r="L607" s="17" t="n"/>
      <c r="M607" s="16" t="n"/>
      <c r="N607" s="16" t="n"/>
      <c r="O607" s="18" t="n"/>
      <c r="P607" s="18" t="n"/>
      <c r="Q607" s="16" t="n"/>
    </row>
    <row r="608">
      <c r="E608" s="15" t="n"/>
      <c r="F608" s="15" t="n"/>
      <c r="G608" s="15" t="n"/>
      <c r="H608" s="16" t="n"/>
      <c r="I608" s="16" t="n"/>
      <c r="J608" s="17" t="n"/>
      <c r="K608" s="17" t="n"/>
      <c r="L608" s="17" t="n"/>
      <c r="M608" s="16" t="n"/>
      <c r="N608" s="16" t="n"/>
      <c r="O608" s="18" t="n"/>
      <c r="P608" s="18" t="n"/>
      <c r="Q608" s="16" t="n"/>
    </row>
    <row r="609">
      <c r="E609" s="15" t="n"/>
      <c r="F609" s="15" t="n"/>
      <c r="G609" s="15" t="n"/>
      <c r="H609" s="16" t="n"/>
      <c r="I609" s="16" t="n"/>
      <c r="J609" s="17" t="n"/>
      <c r="K609" s="17" t="n"/>
      <c r="L609" s="17" t="n"/>
      <c r="M609" s="16" t="n"/>
      <c r="N609" s="16" t="n"/>
      <c r="O609" s="18" t="n"/>
      <c r="P609" s="18" t="n"/>
      <c r="Q609" s="16" t="n"/>
    </row>
    <row r="610">
      <c r="E610" s="15" t="n"/>
      <c r="F610" s="15" t="n"/>
      <c r="G610" s="15" t="n"/>
      <c r="H610" s="16" t="n"/>
      <c r="I610" s="16" t="n"/>
      <c r="J610" s="17" t="n"/>
      <c r="K610" s="17" t="n"/>
      <c r="L610" s="17" t="n"/>
      <c r="M610" s="16" t="n"/>
      <c r="N610" s="16" t="n"/>
      <c r="O610" s="18" t="n"/>
      <c r="P610" s="18" t="n"/>
      <c r="Q610" s="16" t="n"/>
    </row>
    <row r="611">
      <c r="E611" s="15" t="n"/>
      <c r="F611" s="15" t="n"/>
      <c r="G611" s="15" t="n"/>
      <c r="H611" s="16" t="n"/>
      <c r="I611" s="16" t="n"/>
      <c r="J611" s="17" t="n"/>
      <c r="K611" s="17" t="n"/>
      <c r="L611" s="17" t="n"/>
      <c r="M611" s="16" t="n"/>
      <c r="N611" s="16" t="n"/>
      <c r="O611" s="18" t="n"/>
      <c r="P611" s="18" t="n"/>
      <c r="Q611" s="16" t="n"/>
    </row>
    <row r="612">
      <c r="E612" s="15" t="n"/>
      <c r="F612" s="15" t="n"/>
      <c r="G612" s="15" t="n"/>
      <c r="H612" s="16" t="n"/>
      <c r="I612" s="16" t="n"/>
      <c r="J612" s="17" t="n"/>
      <c r="K612" s="17" t="n"/>
      <c r="L612" s="17" t="n"/>
      <c r="M612" s="16" t="n"/>
      <c r="N612" s="16" t="n"/>
      <c r="O612" s="18" t="n"/>
      <c r="P612" s="18" t="n"/>
      <c r="Q612" s="16" t="n"/>
    </row>
    <row r="613">
      <c r="E613" s="15" t="n"/>
      <c r="F613" s="15" t="n"/>
      <c r="G613" s="15" t="n"/>
      <c r="H613" s="16" t="n"/>
      <c r="I613" s="16" t="n"/>
      <c r="J613" s="17" t="n"/>
      <c r="K613" s="17" t="n"/>
      <c r="L613" s="17" t="n"/>
      <c r="M613" s="16" t="n"/>
      <c r="N613" s="16" t="n"/>
      <c r="O613" s="18" t="n"/>
      <c r="P613" s="18" t="n"/>
      <c r="Q613" s="16" t="n"/>
    </row>
    <row r="614">
      <c r="E614" s="15" t="n"/>
      <c r="F614" s="15" t="n"/>
      <c r="G614" s="15" t="n"/>
      <c r="H614" s="16" t="n"/>
      <c r="I614" s="16" t="n"/>
      <c r="J614" s="17" t="n"/>
      <c r="K614" s="17" t="n"/>
      <c r="L614" s="17" t="n"/>
      <c r="M614" s="16" t="n"/>
      <c r="N614" s="16" t="n"/>
      <c r="O614" s="18" t="n"/>
      <c r="P614" s="18" t="n"/>
      <c r="Q614" s="16" t="n"/>
    </row>
    <row r="615">
      <c r="E615" s="15" t="n"/>
      <c r="F615" s="15" t="n"/>
      <c r="G615" s="15" t="n"/>
      <c r="H615" s="16" t="n"/>
      <c r="I615" s="16" t="n"/>
      <c r="J615" s="17" t="n"/>
      <c r="K615" s="17" t="n"/>
      <c r="L615" s="17" t="n"/>
      <c r="M615" s="16" t="n"/>
      <c r="N615" s="16" t="n"/>
      <c r="O615" s="18" t="n"/>
      <c r="P615" s="18" t="n"/>
      <c r="Q615" s="16" t="n"/>
    </row>
    <row r="616">
      <c r="E616" s="15" t="n"/>
      <c r="F616" s="15" t="n"/>
      <c r="G616" s="15" t="n"/>
      <c r="H616" s="16" t="n"/>
      <c r="I616" s="16" t="n"/>
      <c r="J616" s="17" t="n"/>
      <c r="K616" s="17" t="n"/>
      <c r="L616" s="17" t="n"/>
      <c r="M616" s="16" t="n"/>
      <c r="N616" s="16" t="n"/>
      <c r="O616" s="18" t="n"/>
      <c r="P616" s="18" t="n"/>
      <c r="Q616" s="16" t="n"/>
    </row>
    <row r="617">
      <c r="E617" s="15" t="n"/>
      <c r="F617" s="15" t="n"/>
      <c r="G617" s="15" t="n"/>
      <c r="H617" s="16" t="n"/>
      <c r="I617" s="16" t="n"/>
      <c r="J617" s="17" t="n"/>
      <c r="K617" s="17" t="n"/>
      <c r="L617" s="17" t="n"/>
      <c r="M617" s="16" t="n"/>
      <c r="N617" s="16" t="n"/>
      <c r="O617" s="18" t="n"/>
      <c r="P617" s="18" t="n"/>
      <c r="Q617" s="16" t="n"/>
    </row>
    <row r="618">
      <c r="E618" s="15" t="n"/>
      <c r="F618" s="15" t="n"/>
      <c r="G618" s="15" t="n"/>
      <c r="H618" s="16" t="n"/>
      <c r="I618" s="16" t="n"/>
      <c r="J618" s="17" t="n"/>
      <c r="K618" s="17" t="n"/>
      <c r="L618" s="17" t="n"/>
      <c r="M618" s="16" t="n"/>
      <c r="N618" s="16" t="n"/>
      <c r="O618" s="18" t="n"/>
      <c r="P618" s="18" t="n"/>
      <c r="Q618" s="16" t="n"/>
    </row>
    <row r="619">
      <c r="E619" s="15" t="n"/>
      <c r="F619" s="15" t="n"/>
      <c r="G619" s="15" t="n"/>
      <c r="H619" s="16" t="n"/>
      <c r="I619" s="16" t="n"/>
      <c r="J619" s="17" t="n"/>
      <c r="K619" s="17" t="n"/>
      <c r="L619" s="17" t="n"/>
      <c r="M619" s="16" t="n"/>
      <c r="N619" s="16" t="n"/>
      <c r="O619" s="18" t="n"/>
      <c r="P619" s="18" t="n"/>
      <c r="Q619" s="16" t="n"/>
    </row>
    <row r="620">
      <c r="E620" s="15" t="n"/>
      <c r="F620" s="15" t="n"/>
      <c r="G620" s="15" t="n"/>
      <c r="H620" s="16" t="n"/>
      <c r="I620" s="16" t="n"/>
      <c r="J620" s="17" t="n"/>
      <c r="K620" s="17" t="n"/>
      <c r="L620" s="17" t="n"/>
      <c r="M620" s="16" t="n"/>
      <c r="N620" s="16" t="n"/>
      <c r="O620" s="18" t="n"/>
      <c r="P620" s="18" t="n"/>
      <c r="Q620" s="16" t="n"/>
    </row>
    <row r="621">
      <c r="E621" s="15" t="n"/>
      <c r="F621" s="15" t="n"/>
      <c r="G621" s="15" t="n"/>
      <c r="H621" s="16" t="n"/>
      <c r="I621" s="16" t="n"/>
      <c r="J621" s="17" t="n"/>
      <c r="K621" s="17" t="n"/>
      <c r="L621" s="17" t="n"/>
      <c r="M621" s="16" t="n"/>
      <c r="N621" s="16" t="n"/>
      <c r="O621" s="18" t="n"/>
      <c r="P621" s="18" t="n"/>
      <c r="Q621" s="16" t="n"/>
    </row>
    <row r="622">
      <c r="E622" s="15" t="n"/>
      <c r="F622" s="15" t="n"/>
      <c r="G622" s="15" t="n"/>
      <c r="H622" s="16" t="n"/>
      <c r="I622" s="16" t="n"/>
      <c r="J622" s="17" t="n"/>
      <c r="K622" s="17" t="n"/>
      <c r="L622" s="17" t="n"/>
      <c r="M622" s="16" t="n"/>
      <c r="N622" s="16" t="n"/>
      <c r="O622" s="18" t="n"/>
      <c r="P622" s="18" t="n"/>
      <c r="Q622" s="16" t="n"/>
    </row>
    <row r="623">
      <c r="E623" s="15" t="n"/>
      <c r="F623" s="15" t="n"/>
      <c r="G623" s="15" t="n"/>
      <c r="H623" s="16" t="n"/>
      <c r="I623" s="16" t="n"/>
      <c r="J623" s="17" t="n"/>
      <c r="K623" s="17" t="n"/>
      <c r="L623" s="17" t="n"/>
      <c r="M623" s="16" t="n"/>
      <c r="N623" s="16" t="n"/>
      <c r="O623" s="18" t="n"/>
      <c r="P623" s="18" t="n"/>
      <c r="Q623" s="16" t="n"/>
    </row>
    <row r="624">
      <c r="E624" s="15" t="n"/>
      <c r="F624" s="15" t="n"/>
      <c r="G624" s="15" t="n"/>
      <c r="H624" s="16" t="n"/>
      <c r="I624" s="16" t="n"/>
      <c r="J624" s="17" t="n"/>
      <c r="K624" s="17" t="n"/>
      <c r="L624" s="17" t="n"/>
      <c r="M624" s="16" t="n"/>
      <c r="N624" s="16" t="n"/>
      <c r="O624" s="18" t="n"/>
      <c r="P624" s="18" t="n"/>
      <c r="Q624" s="16" t="n"/>
    </row>
    <row r="625">
      <c r="E625" s="15" t="n"/>
      <c r="F625" s="15" t="n"/>
      <c r="G625" s="15" t="n"/>
      <c r="H625" s="16" t="n"/>
      <c r="I625" s="16" t="n"/>
      <c r="J625" s="17" t="n"/>
      <c r="K625" s="17" t="n"/>
      <c r="L625" s="17" t="n"/>
      <c r="M625" s="16" t="n"/>
      <c r="N625" s="16" t="n"/>
      <c r="O625" s="18" t="n"/>
      <c r="P625" s="18" t="n"/>
      <c r="Q625" s="16" t="n"/>
    </row>
    <row r="626">
      <c r="E626" s="15" t="n"/>
      <c r="F626" s="15" t="n"/>
      <c r="G626" s="15" t="n"/>
      <c r="H626" s="16" t="n"/>
      <c r="I626" s="16" t="n"/>
      <c r="J626" s="17" t="n"/>
      <c r="K626" s="17" t="n"/>
      <c r="L626" s="17" t="n"/>
      <c r="M626" s="16" t="n"/>
      <c r="N626" s="16" t="n"/>
      <c r="O626" s="18" t="n"/>
      <c r="P626" s="18" t="n"/>
      <c r="Q626" s="16" t="n"/>
    </row>
    <row r="627">
      <c r="E627" s="15" t="n"/>
      <c r="F627" s="15" t="n"/>
      <c r="G627" s="15" t="n"/>
      <c r="H627" s="16" t="n"/>
      <c r="I627" s="16" t="n"/>
      <c r="J627" s="17" t="n"/>
      <c r="K627" s="17" t="n"/>
      <c r="L627" s="17" t="n"/>
      <c r="M627" s="16" t="n"/>
      <c r="N627" s="16" t="n"/>
      <c r="O627" s="18" t="n"/>
      <c r="P627" s="18" t="n"/>
      <c r="Q627" s="16" t="n"/>
    </row>
    <row r="628">
      <c r="E628" s="15" t="n"/>
      <c r="F628" s="15" t="n"/>
      <c r="G628" s="15" t="n"/>
      <c r="H628" s="16" t="n"/>
      <c r="I628" s="16" t="n"/>
      <c r="J628" s="17" t="n"/>
      <c r="K628" s="17" t="n"/>
      <c r="L628" s="17" t="n"/>
      <c r="M628" s="16" t="n"/>
      <c r="N628" s="16" t="n"/>
      <c r="O628" s="18" t="n"/>
      <c r="P628" s="18" t="n"/>
      <c r="Q628" s="16" t="n"/>
    </row>
    <row r="629">
      <c r="E629" s="15" t="n"/>
      <c r="F629" s="15" t="n"/>
      <c r="G629" s="15" t="n"/>
      <c r="H629" s="16" t="n"/>
      <c r="I629" s="16" t="n"/>
      <c r="J629" s="17" t="n"/>
      <c r="K629" s="17" t="n"/>
      <c r="L629" s="17" t="n"/>
      <c r="M629" s="16" t="n"/>
      <c r="N629" s="16" t="n"/>
      <c r="O629" s="18" t="n"/>
      <c r="P629" s="18" t="n"/>
      <c r="Q629" s="16" t="n"/>
    </row>
    <row r="630">
      <c r="E630" s="15" t="n"/>
      <c r="F630" s="15" t="n"/>
      <c r="G630" s="15" t="n"/>
      <c r="H630" s="16" t="n"/>
      <c r="I630" s="16" t="n"/>
      <c r="J630" s="17" t="n"/>
      <c r="K630" s="17" t="n"/>
      <c r="L630" s="17" t="n"/>
      <c r="M630" s="16" t="n"/>
      <c r="N630" s="16" t="n"/>
      <c r="O630" s="18" t="n"/>
      <c r="P630" s="18" t="n"/>
      <c r="Q630" s="16" t="n"/>
    </row>
    <row r="631">
      <c r="E631" s="15" t="n"/>
      <c r="F631" s="15" t="n"/>
      <c r="G631" s="15" t="n"/>
      <c r="H631" s="16" t="n"/>
      <c r="I631" s="16" t="n"/>
      <c r="J631" s="17" t="n"/>
      <c r="K631" s="17" t="n"/>
      <c r="L631" s="17" t="n"/>
      <c r="M631" s="16" t="n"/>
      <c r="N631" s="16" t="n"/>
      <c r="O631" s="18" t="n"/>
      <c r="P631" s="18" t="n"/>
      <c r="Q631" s="16" t="n"/>
    </row>
    <row r="632">
      <c r="E632" s="15" t="n"/>
      <c r="F632" s="15" t="n"/>
      <c r="G632" s="15" t="n"/>
      <c r="H632" s="16" t="n"/>
      <c r="I632" s="16" t="n"/>
      <c r="J632" s="17" t="n"/>
      <c r="K632" s="17" t="n"/>
      <c r="L632" s="17" t="n"/>
      <c r="M632" s="16" t="n"/>
      <c r="N632" s="16" t="n"/>
      <c r="O632" s="18" t="n"/>
      <c r="P632" s="18" t="n"/>
      <c r="Q632" s="16" t="n"/>
    </row>
    <row r="633">
      <c r="E633" s="15" t="n"/>
      <c r="F633" s="15" t="n"/>
      <c r="G633" s="15" t="n"/>
      <c r="H633" s="16" t="n"/>
      <c r="I633" s="16" t="n"/>
      <c r="J633" s="17" t="n"/>
      <c r="K633" s="17" t="n"/>
      <c r="L633" s="17" t="n"/>
      <c r="M633" s="16" t="n"/>
      <c r="N633" s="16" t="n"/>
      <c r="O633" s="18" t="n"/>
      <c r="P633" s="18" t="n"/>
      <c r="Q633" s="16" t="n"/>
    </row>
    <row r="634">
      <c r="E634" s="15" t="n"/>
      <c r="F634" s="15" t="n"/>
      <c r="G634" s="15" t="n"/>
      <c r="H634" s="16" t="n"/>
      <c r="I634" s="16" t="n"/>
      <c r="J634" s="17" t="n"/>
      <c r="K634" s="17" t="n"/>
      <c r="L634" s="17" t="n"/>
      <c r="M634" s="16" t="n"/>
      <c r="N634" s="16" t="n"/>
      <c r="O634" s="18" t="n"/>
      <c r="P634" s="18" t="n"/>
      <c r="Q634" s="16" t="n"/>
    </row>
    <row r="635">
      <c r="E635" s="15" t="n"/>
      <c r="F635" s="15" t="n"/>
      <c r="G635" s="15" t="n"/>
      <c r="H635" s="16" t="n"/>
      <c r="I635" s="16" t="n"/>
      <c r="J635" s="17" t="n"/>
      <c r="K635" s="17" t="n"/>
      <c r="L635" s="17" t="n"/>
      <c r="M635" s="16" t="n"/>
      <c r="N635" s="16" t="n"/>
      <c r="O635" s="18" t="n"/>
      <c r="P635" s="18" t="n"/>
      <c r="Q635" s="16" t="n"/>
    </row>
    <row r="636">
      <c r="E636" s="15" t="n"/>
      <c r="F636" s="15" t="n"/>
      <c r="G636" s="15" t="n"/>
      <c r="H636" s="16" t="n"/>
      <c r="I636" s="16" t="n"/>
      <c r="J636" s="17" t="n"/>
      <c r="K636" s="17" t="n"/>
      <c r="L636" s="17" t="n"/>
      <c r="M636" s="16" t="n"/>
      <c r="N636" s="16" t="n"/>
      <c r="O636" s="18" t="n"/>
      <c r="P636" s="18" t="n"/>
      <c r="Q636" s="16" t="n"/>
    </row>
    <row r="637">
      <c r="E637" s="15" t="n"/>
      <c r="F637" s="15" t="n"/>
      <c r="G637" s="15" t="n"/>
      <c r="H637" s="16" t="n"/>
      <c r="I637" s="16" t="n"/>
      <c r="J637" s="17" t="n"/>
      <c r="K637" s="17" t="n"/>
      <c r="L637" s="17" t="n"/>
      <c r="M637" s="16" t="n"/>
      <c r="N637" s="16" t="n"/>
      <c r="O637" s="18" t="n"/>
      <c r="P637" s="18" t="n"/>
      <c r="Q637" s="16" t="n"/>
    </row>
    <row r="638">
      <c r="E638" s="15" t="n"/>
      <c r="F638" s="15" t="n"/>
      <c r="G638" s="15" t="n"/>
      <c r="H638" s="16" t="n"/>
      <c r="I638" s="16" t="n"/>
      <c r="J638" s="17" t="n"/>
      <c r="K638" s="17" t="n"/>
      <c r="L638" s="17" t="n"/>
      <c r="M638" s="16" t="n"/>
      <c r="N638" s="16" t="n"/>
      <c r="O638" s="18" t="n"/>
      <c r="P638" s="18" t="n"/>
      <c r="Q638" s="16" t="n"/>
    </row>
    <row r="639">
      <c r="E639" s="15" t="n"/>
      <c r="F639" s="15" t="n"/>
      <c r="G639" s="15" t="n"/>
      <c r="H639" s="16" t="n"/>
      <c r="I639" s="16" t="n"/>
      <c r="J639" s="17" t="n"/>
      <c r="K639" s="17" t="n"/>
      <c r="L639" s="17" t="n"/>
      <c r="M639" s="16" t="n"/>
      <c r="N639" s="16" t="n"/>
      <c r="O639" s="18" t="n"/>
      <c r="P639" s="18" t="n"/>
      <c r="Q639" s="16" t="n"/>
    </row>
    <row r="640">
      <c r="E640" s="15" t="n"/>
      <c r="F640" s="15" t="n"/>
      <c r="G640" s="15" t="n"/>
      <c r="H640" s="16" t="n"/>
      <c r="I640" s="16" t="n"/>
      <c r="J640" s="17" t="n"/>
      <c r="K640" s="17" t="n"/>
      <c r="L640" s="17" t="n"/>
      <c r="M640" s="16" t="n"/>
      <c r="N640" s="16" t="n"/>
      <c r="O640" s="18" t="n"/>
      <c r="P640" s="18" t="n"/>
      <c r="Q640" s="16" t="n"/>
    </row>
    <row r="641">
      <c r="E641" s="15" t="n"/>
      <c r="F641" s="15" t="n"/>
      <c r="G641" s="15" t="n"/>
      <c r="H641" s="16" t="n"/>
      <c r="I641" s="16" t="n"/>
      <c r="J641" s="17" t="n"/>
      <c r="K641" s="17" t="n"/>
      <c r="L641" s="17" t="n"/>
      <c r="M641" s="16" t="n"/>
      <c r="N641" s="16" t="n"/>
      <c r="O641" s="18" t="n"/>
      <c r="P641" s="18" t="n"/>
      <c r="Q641" s="16" t="n"/>
    </row>
    <row r="642">
      <c r="E642" s="15" t="n"/>
      <c r="F642" s="15" t="n"/>
      <c r="G642" s="15" t="n"/>
      <c r="H642" s="16" t="n"/>
      <c r="I642" s="16" t="n"/>
      <c r="J642" s="17" t="n"/>
      <c r="K642" s="17" t="n"/>
      <c r="L642" s="17" t="n"/>
      <c r="M642" s="16" t="n"/>
      <c r="N642" s="16" t="n"/>
      <c r="O642" s="18" t="n"/>
      <c r="P642" s="18" t="n"/>
      <c r="Q642" s="16" t="n"/>
    </row>
    <row r="643">
      <c r="E643" s="15" t="n"/>
      <c r="F643" s="15" t="n"/>
      <c r="G643" s="15" t="n"/>
      <c r="H643" s="16" t="n"/>
      <c r="I643" s="16" t="n"/>
      <c r="J643" s="17" t="n"/>
      <c r="K643" s="17" t="n"/>
      <c r="L643" s="17" t="n"/>
      <c r="M643" s="16" t="n"/>
      <c r="N643" s="16" t="n"/>
      <c r="O643" s="18" t="n"/>
      <c r="P643" s="18" t="n"/>
      <c r="Q643" s="16" t="n"/>
    </row>
    <row r="644">
      <c r="E644" s="15" t="n"/>
      <c r="F644" s="15" t="n"/>
      <c r="G644" s="15" t="n"/>
      <c r="H644" s="16" t="n"/>
      <c r="I644" s="16" t="n"/>
      <c r="J644" s="17" t="n"/>
      <c r="K644" s="17" t="n"/>
      <c r="L644" s="17" t="n"/>
      <c r="M644" s="16" t="n"/>
      <c r="N644" s="16" t="n"/>
      <c r="O644" s="18" t="n"/>
      <c r="P644" s="18" t="n"/>
      <c r="Q644" s="16" t="n"/>
    </row>
    <row r="645">
      <c r="E645" s="15" t="n"/>
      <c r="F645" s="15" t="n"/>
      <c r="G645" s="15" t="n"/>
      <c r="H645" s="16" t="n"/>
      <c r="I645" s="16" t="n"/>
      <c r="J645" s="17" t="n"/>
      <c r="K645" s="17" t="n"/>
      <c r="L645" s="17" t="n"/>
      <c r="M645" s="16" t="n"/>
      <c r="N645" s="16" t="n"/>
      <c r="O645" s="18" t="n"/>
      <c r="P645" s="18" t="n"/>
      <c r="Q645" s="16" t="n"/>
    </row>
    <row r="646">
      <c r="E646" s="15" t="n"/>
      <c r="F646" s="15" t="n"/>
      <c r="G646" s="15" t="n"/>
      <c r="H646" s="16" t="n"/>
      <c r="I646" s="16" t="n"/>
      <c r="J646" s="17" t="n"/>
      <c r="K646" s="17" t="n"/>
      <c r="L646" s="17" t="n"/>
      <c r="M646" s="16" t="n"/>
      <c r="N646" s="16" t="n"/>
      <c r="O646" s="18" t="n"/>
      <c r="P646" s="18" t="n"/>
      <c r="Q646" s="16" t="n"/>
    </row>
    <row r="647">
      <c r="E647" s="15" t="n"/>
      <c r="F647" s="15" t="n"/>
      <c r="G647" s="15" t="n"/>
      <c r="H647" s="16" t="n"/>
      <c r="I647" s="16" t="n"/>
      <c r="J647" s="17" t="n"/>
      <c r="K647" s="17" t="n"/>
      <c r="L647" s="17" t="n"/>
      <c r="M647" s="16" t="n"/>
      <c r="N647" s="16" t="n"/>
      <c r="O647" s="18" t="n"/>
      <c r="P647" s="18" t="n"/>
      <c r="Q647" s="16" t="n"/>
    </row>
    <row r="648">
      <c r="E648" s="15" t="n"/>
      <c r="F648" s="15" t="n"/>
      <c r="G648" s="15" t="n"/>
      <c r="H648" s="16" t="n"/>
      <c r="I648" s="16" t="n"/>
      <c r="J648" s="17" t="n"/>
      <c r="K648" s="17" t="n"/>
      <c r="L648" s="17" t="n"/>
      <c r="M648" s="16" t="n"/>
      <c r="N648" s="16" t="n"/>
      <c r="O648" s="18" t="n"/>
      <c r="P648" s="18" t="n"/>
      <c r="Q648" s="16" t="n"/>
    </row>
    <row r="649">
      <c r="E649" s="15" t="n"/>
      <c r="F649" s="15" t="n"/>
      <c r="G649" s="15" t="n"/>
      <c r="H649" s="16" t="n"/>
      <c r="I649" s="16" t="n"/>
      <c r="J649" s="17" t="n"/>
      <c r="K649" s="17" t="n"/>
      <c r="L649" s="17" t="n"/>
      <c r="M649" s="16" t="n"/>
      <c r="N649" s="16" t="n"/>
      <c r="O649" s="18" t="n"/>
      <c r="P649" s="18" t="n"/>
      <c r="Q649" s="16" t="n"/>
    </row>
    <row r="650">
      <c r="E650" s="15" t="n"/>
      <c r="F650" s="15" t="n"/>
      <c r="G650" s="15" t="n"/>
      <c r="H650" s="16" t="n"/>
      <c r="I650" s="16" t="n"/>
      <c r="J650" s="17" t="n"/>
      <c r="K650" s="17" t="n"/>
      <c r="L650" s="17" t="n"/>
      <c r="M650" s="16" t="n"/>
      <c r="N650" s="16" t="n"/>
      <c r="O650" s="18" t="n"/>
      <c r="P650" s="18" t="n"/>
      <c r="Q650" s="16" t="n"/>
    </row>
    <row r="651">
      <c r="E651" s="15" t="n"/>
      <c r="F651" s="15" t="n"/>
      <c r="G651" s="15" t="n"/>
      <c r="H651" s="16" t="n"/>
      <c r="I651" s="16" t="n"/>
      <c r="J651" s="17" t="n"/>
      <c r="K651" s="17" t="n"/>
      <c r="L651" s="17" t="n"/>
      <c r="M651" s="16" t="n"/>
      <c r="N651" s="16" t="n"/>
      <c r="O651" s="18" t="n"/>
      <c r="P651" s="18" t="n"/>
      <c r="Q651" s="16" t="n"/>
    </row>
    <row r="652">
      <c r="E652" s="15" t="n"/>
      <c r="F652" s="15" t="n"/>
      <c r="G652" s="15" t="n"/>
      <c r="H652" s="16" t="n"/>
      <c r="I652" s="16" t="n"/>
      <c r="J652" s="17" t="n"/>
      <c r="K652" s="17" t="n"/>
      <c r="L652" s="17" t="n"/>
      <c r="M652" s="16" t="n"/>
      <c r="N652" s="16" t="n"/>
      <c r="O652" s="18" t="n"/>
      <c r="P652" s="18" t="n"/>
      <c r="Q652" s="16" t="n"/>
    </row>
    <row r="653">
      <c r="E653" s="15" t="n"/>
      <c r="F653" s="15" t="n"/>
      <c r="G653" s="15" t="n"/>
      <c r="H653" s="16" t="n"/>
      <c r="I653" s="16" t="n"/>
      <c r="J653" s="17" t="n"/>
      <c r="K653" s="17" t="n"/>
      <c r="L653" s="17" t="n"/>
      <c r="M653" s="16" t="n"/>
      <c r="N653" s="16" t="n"/>
      <c r="O653" s="18" t="n"/>
      <c r="P653" s="18" t="n"/>
      <c r="Q653" s="16" t="n"/>
    </row>
    <row r="654">
      <c r="E654" s="15" t="n"/>
      <c r="F654" s="15" t="n"/>
      <c r="G654" s="15" t="n"/>
      <c r="H654" s="16" t="n"/>
      <c r="I654" s="16" t="n"/>
      <c r="J654" s="17" t="n"/>
      <c r="K654" s="17" t="n"/>
      <c r="L654" s="17" t="n"/>
      <c r="M654" s="16" t="n"/>
      <c r="N654" s="16" t="n"/>
      <c r="O654" s="18" t="n"/>
      <c r="P654" s="18" t="n"/>
      <c r="Q654" s="16" t="n"/>
    </row>
    <row r="655">
      <c r="E655" s="15" t="n"/>
      <c r="F655" s="15" t="n"/>
      <c r="G655" s="15" t="n"/>
      <c r="H655" s="16" t="n"/>
      <c r="I655" s="16" t="n"/>
      <c r="J655" s="17" t="n"/>
      <c r="K655" s="17" t="n"/>
      <c r="L655" s="17" t="n"/>
      <c r="M655" s="16" t="n"/>
      <c r="N655" s="16" t="n"/>
      <c r="O655" s="18" t="n"/>
      <c r="P655" s="18" t="n"/>
      <c r="Q655" s="16" t="n"/>
    </row>
    <row r="656">
      <c r="E656" s="15" t="n"/>
      <c r="F656" s="15" t="n"/>
      <c r="G656" s="15" t="n"/>
      <c r="H656" s="16" t="n"/>
      <c r="I656" s="16" t="n"/>
      <c r="J656" s="17" t="n"/>
      <c r="K656" s="17" t="n"/>
      <c r="L656" s="17" t="n"/>
      <c r="M656" s="16" t="n"/>
      <c r="N656" s="16" t="n"/>
      <c r="O656" s="18" t="n"/>
      <c r="P656" s="18" t="n"/>
      <c r="Q656" s="16" t="n"/>
    </row>
    <row r="657">
      <c r="E657" s="15" t="n"/>
      <c r="F657" s="15" t="n"/>
      <c r="G657" s="15" t="n"/>
      <c r="H657" s="16" t="n"/>
      <c r="I657" s="16" t="n"/>
      <c r="J657" s="17" t="n"/>
      <c r="K657" s="17" t="n"/>
      <c r="L657" s="17" t="n"/>
      <c r="M657" s="16" t="n"/>
      <c r="N657" s="16" t="n"/>
      <c r="O657" s="18" t="n"/>
      <c r="P657" s="18" t="n"/>
      <c r="Q657" s="16" t="n"/>
    </row>
    <row r="658">
      <c r="E658" s="15" t="n"/>
      <c r="F658" s="15" t="n"/>
      <c r="G658" s="15" t="n"/>
      <c r="H658" s="16" t="n"/>
      <c r="I658" s="16" t="n"/>
      <c r="J658" s="17" t="n"/>
      <c r="K658" s="17" t="n"/>
      <c r="L658" s="17" t="n"/>
      <c r="M658" s="16" t="n"/>
      <c r="N658" s="16" t="n"/>
      <c r="O658" s="18" t="n"/>
      <c r="P658" s="18" t="n"/>
      <c r="Q658" s="16" t="n"/>
    </row>
    <row r="659">
      <c r="E659" s="15" t="n"/>
      <c r="F659" s="15" t="n"/>
      <c r="G659" s="15" t="n"/>
      <c r="H659" s="16" t="n"/>
      <c r="I659" s="16" t="n"/>
      <c r="J659" s="17" t="n"/>
      <c r="K659" s="17" t="n"/>
      <c r="L659" s="17" t="n"/>
      <c r="M659" s="16" t="n"/>
      <c r="N659" s="16" t="n"/>
      <c r="O659" s="18" t="n"/>
      <c r="P659" s="18" t="n"/>
      <c r="Q659" s="16" t="n"/>
    </row>
    <row r="660">
      <c r="E660" s="15" t="n"/>
      <c r="F660" s="15" t="n"/>
      <c r="G660" s="15" t="n"/>
      <c r="H660" s="16" t="n"/>
      <c r="I660" s="16" t="n"/>
      <c r="J660" s="17" t="n"/>
      <c r="K660" s="17" t="n"/>
      <c r="L660" s="17" t="n"/>
      <c r="M660" s="16" t="n"/>
      <c r="N660" s="16" t="n"/>
      <c r="O660" s="18" t="n"/>
      <c r="P660" s="18" t="n"/>
      <c r="Q660" s="16" t="n"/>
    </row>
    <row r="661">
      <c r="E661" s="15" t="n"/>
      <c r="F661" s="15" t="n"/>
      <c r="G661" s="15" t="n"/>
      <c r="H661" s="16" t="n"/>
      <c r="I661" s="16" t="n"/>
      <c r="J661" s="17" t="n"/>
      <c r="K661" s="17" t="n"/>
      <c r="L661" s="17" t="n"/>
      <c r="M661" s="16" t="n"/>
      <c r="N661" s="16" t="n"/>
      <c r="O661" s="18" t="n"/>
      <c r="P661" s="18" t="n"/>
      <c r="Q661" s="16" t="n"/>
    </row>
    <row r="662">
      <c r="E662" s="15" t="n"/>
      <c r="F662" s="15" t="n"/>
      <c r="G662" s="15" t="n"/>
      <c r="H662" s="16" t="n"/>
      <c r="I662" s="16" t="n"/>
      <c r="J662" s="17" t="n"/>
      <c r="K662" s="17" t="n"/>
      <c r="L662" s="17" t="n"/>
      <c r="M662" s="16" t="n"/>
      <c r="N662" s="16" t="n"/>
      <c r="O662" s="18" t="n"/>
      <c r="P662" s="18" t="n"/>
      <c r="Q662" s="16" t="n"/>
    </row>
    <row r="663">
      <c r="E663" s="15" t="n"/>
      <c r="F663" s="15" t="n"/>
      <c r="G663" s="15" t="n"/>
      <c r="H663" s="16" t="n"/>
      <c r="I663" s="16" t="n"/>
      <c r="J663" s="17" t="n"/>
      <c r="K663" s="17" t="n"/>
      <c r="L663" s="17" t="n"/>
      <c r="M663" s="16" t="n"/>
      <c r="N663" s="16" t="n"/>
      <c r="O663" s="18" t="n"/>
      <c r="P663" s="18" t="n"/>
      <c r="Q663" s="16" t="n"/>
    </row>
    <row r="664">
      <c r="E664" s="15" t="n"/>
      <c r="F664" s="15" t="n"/>
      <c r="G664" s="15" t="n"/>
      <c r="H664" s="16" t="n"/>
      <c r="I664" s="16" t="n"/>
      <c r="J664" s="17" t="n"/>
      <c r="K664" s="17" t="n"/>
      <c r="L664" s="17" t="n"/>
      <c r="M664" s="16" t="n"/>
      <c r="N664" s="16" t="n"/>
      <c r="O664" s="18" t="n"/>
      <c r="P664" s="18" t="n"/>
      <c r="Q664" s="16" t="n"/>
    </row>
    <row r="665">
      <c r="E665" s="15" t="n"/>
      <c r="F665" s="15" t="n"/>
      <c r="G665" s="15" t="n"/>
      <c r="H665" s="16" t="n"/>
      <c r="I665" s="16" t="n"/>
      <c r="J665" s="17" t="n"/>
      <c r="K665" s="17" t="n"/>
      <c r="L665" s="17" t="n"/>
      <c r="M665" s="16" t="n"/>
      <c r="N665" s="16" t="n"/>
      <c r="O665" s="18" t="n"/>
      <c r="P665" s="18" t="n"/>
      <c r="Q665" s="16" t="n"/>
    </row>
    <row r="666">
      <c r="E666" s="15" t="n"/>
      <c r="F666" s="15" t="n"/>
      <c r="G666" s="15" t="n"/>
      <c r="H666" s="16" t="n"/>
      <c r="I666" s="16" t="n"/>
      <c r="J666" s="17" t="n"/>
      <c r="K666" s="17" t="n"/>
      <c r="L666" s="17" t="n"/>
      <c r="M666" s="16" t="n"/>
      <c r="N666" s="16" t="n"/>
      <c r="O666" s="18" t="n"/>
      <c r="P666" s="18" t="n"/>
      <c r="Q666" s="16" t="n"/>
    </row>
    <row r="667">
      <c r="E667" s="15" t="n"/>
      <c r="F667" s="15" t="n"/>
      <c r="G667" s="15" t="n"/>
      <c r="H667" s="16" t="n"/>
      <c r="I667" s="16" t="n"/>
      <c r="J667" s="17" t="n"/>
      <c r="K667" s="17" t="n"/>
      <c r="L667" s="17" t="n"/>
      <c r="M667" s="16" t="n"/>
      <c r="N667" s="16" t="n"/>
      <c r="O667" s="18" t="n"/>
      <c r="P667" s="18" t="n"/>
      <c r="Q667" s="16" t="n"/>
    </row>
    <row r="668">
      <c r="E668" s="15" t="n"/>
      <c r="F668" s="15" t="n"/>
      <c r="G668" s="15" t="n"/>
      <c r="H668" s="16" t="n"/>
      <c r="I668" s="16" t="n"/>
      <c r="J668" s="17" t="n"/>
      <c r="K668" s="17" t="n"/>
      <c r="L668" s="17" t="n"/>
      <c r="M668" s="16" t="n"/>
      <c r="N668" s="16" t="n"/>
      <c r="O668" s="18" t="n"/>
      <c r="P668" s="18" t="n"/>
      <c r="Q668" s="16" t="n"/>
    </row>
    <row r="669">
      <c r="E669" s="15" t="n"/>
      <c r="F669" s="15" t="n"/>
      <c r="G669" s="15" t="n"/>
      <c r="H669" s="16" t="n"/>
      <c r="I669" s="16" t="n"/>
      <c r="J669" s="17" t="n"/>
      <c r="K669" s="17" t="n"/>
      <c r="L669" s="17" t="n"/>
      <c r="M669" s="16" t="n"/>
      <c r="N669" s="16" t="n"/>
      <c r="O669" s="18" t="n"/>
      <c r="P669" s="18" t="n"/>
      <c r="Q669" s="16" t="n"/>
    </row>
    <row r="670">
      <c r="E670" s="15" t="n"/>
      <c r="F670" s="15" t="n"/>
      <c r="G670" s="15" t="n"/>
      <c r="H670" s="16" t="n"/>
      <c r="I670" s="16" t="n"/>
      <c r="J670" s="17" t="n"/>
      <c r="K670" s="17" t="n"/>
      <c r="L670" s="17" t="n"/>
      <c r="M670" s="16" t="n"/>
      <c r="N670" s="16" t="n"/>
      <c r="O670" s="18" t="n"/>
      <c r="P670" s="18" t="n"/>
      <c r="Q670" s="16" t="n"/>
    </row>
    <row r="671">
      <c r="E671" s="15" t="n"/>
      <c r="F671" s="15" t="n"/>
      <c r="G671" s="15" t="n"/>
      <c r="H671" s="16" t="n"/>
      <c r="I671" s="16" t="n"/>
      <c r="J671" s="17" t="n"/>
      <c r="K671" s="17" t="n"/>
      <c r="L671" s="17" t="n"/>
      <c r="M671" s="16" t="n"/>
      <c r="N671" s="16" t="n"/>
      <c r="O671" s="18" t="n"/>
      <c r="P671" s="18" t="n"/>
      <c r="Q671" s="16" t="n"/>
    </row>
    <row r="672">
      <c r="E672" s="15" t="n"/>
      <c r="F672" s="15" t="n"/>
      <c r="G672" s="15" t="n"/>
      <c r="H672" s="16" t="n"/>
      <c r="I672" s="16" t="n"/>
      <c r="J672" s="17" t="n"/>
      <c r="K672" s="17" t="n"/>
      <c r="L672" s="17" t="n"/>
      <c r="M672" s="16" t="n"/>
      <c r="N672" s="16" t="n"/>
      <c r="O672" s="18" t="n"/>
      <c r="P672" s="18" t="n"/>
      <c r="Q672" s="16" t="n"/>
    </row>
    <row r="673">
      <c r="E673" s="15" t="n"/>
      <c r="F673" s="15" t="n"/>
      <c r="G673" s="15" t="n"/>
      <c r="H673" s="16" t="n"/>
      <c r="I673" s="16" t="n"/>
      <c r="J673" s="17" t="n"/>
      <c r="K673" s="17" t="n"/>
      <c r="L673" s="17" t="n"/>
      <c r="M673" s="16" t="n"/>
      <c r="N673" s="16" t="n"/>
      <c r="O673" s="18" t="n"/>
      <c r="P673" s="18" t="n"/>
      <c r="Q673" s="16" t="n"/>
    </row>
    <row r="674">
      <c r="E674" s="15" t="n"/>
      <c r="F674" s="15" t="n"/>
      <c r="G674" s="15" t="n"/>
      <c r="H674" s="16" t="n"/>
      <c r="I674" s="16" t="n"/>
      <c r="J674" s="17" t="n"/>
      <c r="K674" s="17" t="n"/>
      <c r="L674" s="17" t="n"/>
      <c r="M674" s="16" t="n"/>
      <c r="N674" s="16" t="n"/>
      <c r="O674" s="18" t="n"/>
      <c r="P674" s="18" t="n"/>
      <c r="Q674" s="16" t="n"/>
    </row>
    <row r="675">
      <c r="E675" s="15" t="n"/>
      <c r="F675" s="15" t="n"/>
      <c r="G675" s="15" t="n"/>
      <c r="H675" s="16" t="n"/>
      <c r="I675" s="16" t="n"/>
      <c r="J675" s="17" t="n"/>
      <c r="K675" s="17" t="n"/>
      <c r="L675" s="17" t="n"/>
      <c r="M675" s="16" t="n"/>
      <c r="N675" s="16" t="n"/>
      <c r="O675" s="18" t="n"/>
      <c r="P675" s="18" t="n"/>
      <c r="Q675" s="16" t="n"/>
    </row>
    <row r="676">
      <c r="E676" s="15" t="n"/>
      <c r="F676" s="15" t="n"/>
      <c r="G676" s="15" t="n"/>
      <c r="H676" s="16" t="n"/>
      <c r="I676" s="16" t="n"/>
      <c r="J676" s="17" t="n"/>
      <c r="K676" s="17" t="n"/>
      <c r="L676" s="17" t="n"/>
      <c r="M676" s="16" t="n"/>
      <c r="N676" s="16" t="n"/>
      <c r="O676" s="18" t="n"/>
      <c r="P676" s="18" t="n"/>
      <c r="Q676" s="16" t="n"/>
    </row>
    <row r="677">
      <c r="E677" s="15" t="n"/>
      <c r="F677" s="15" t="n"/>
      <c r="G677" s="15" t="n"/>
      <c r="H677" s="16" t="n"/>
      <c r="I677" s="16" t="n"/>
      <c r="J677" s="17" t="n"/>
      <c r="K677" s="17" t="n"/>
      <c r="L677" s="17" t="n"/>
      <c r="M677" s="16" t="n"/>
      <c r="N677" s="16" t="n"/>
      <c r="O677" s="18" t="n"/>
      <c r="P677" s="18" t="n"/>
      <c r="Q677" s="16" t="n"/>
    </row>
    <row r="678">
      <c r="E678" s="15" t="n"/>
      <c r="F678" s="15" t="n"/>
      <c r="G678" s="15" t="n"/>
      <c r="H678" s="16" t="n"/>
      <c r="I678" s="16" t="n"/>
      <c r="J678" s="17" t="n"/>
      <c r="K678" s="17" t="n"/>
      <c r="L678" s="17" t="n"/>
      <c r="M678" s="16" t="n"/>
      <c r="N678" s="16" t="n"/>
      <c r="O678" s="18" t="n"/>
      <c r="P678" s="18" t="n"/>
      <c r="Q678" s="16" t="n"/>
    </row>
    <row r="679">
      <c r="E679" s="15" t="n"/>
      <c r="F679" s="15" t="n"/>
      <c r="G679" s="15" t="n"/>
      <c r="H679" s="16" t="n"/>
      <c r="I679" s="16" t="n"/>
      <c r="J679" s="17" t="n"/>
      <c r="K679" s="17" t="n"/>
      <c r="L679" s="17" t="n"/>
      <c r="M679" s="16" t="n"/>
      <c r="N679" s="16" t="n"/>
      <c r="O679" s="18" t="n"/>
      <c r="P679" s="18" t="n"/>
      <c r="Q679" s="16" t="n"/>
    </row>
    <row r="680">
      <c r="E680" s="15" t="n"/>
      <c r="F680" s="15" t="n"/>
      <c r="G680" s="15" t="n"/>
      <c r="H680" s="16" t="n"/>
      <c r="I680" s="16" t="n"/>
      <c r="J680" s="17" t="n"/>
      <c r="K680" s="17" t="n"/>
      <c r="L680" s="17" t="n"/>
      <c r="M680" s="16" t="n"/>
      <c r="N680" s="16" t="n"/>
      <c r="O680" s="18" t="n"/>
      <c r="P680" s="18" t="n"/>
      <c r="Q680" s="16" t="n"/>
    </row>
    <row r="681">
      <c r="E681" s="15" t="n"/>
      <c r="F681" s="15" t="n"/>
      <c r="G681" s="15" t="n"/>
      <c r="H681" s="16" t="n"/>
      <c r="I681" s="16" t="n"/>
      <c r="J681" s="17" t="n"/>
      <c r="K681" s="17" t="n"/>
      <c r="L681" s="17" t="n"/>
      <c r="M681" s="16" t="n"/>
      <c r="N681" s="16" t="n"/>
      <c r="O681" s="18" t="n"/>
      <c r="P681" s="18" t="n"/>
      <c r="Q681" s="16" t="n"/>
    </row>
    <row r="682">
      <c r="E682" s="15" t="n"/>
      <c r="F682" s="15" t="n"/>
      <c r="G682" s="15" t="n"/>
      <c r="H682" s="16" t="n"/>
      <c r="I682" s="16" t="n"/>
      <c r="J682" s="17" t="n"/>
      <c r="K682" s="17" t="n"/>
      <c r="L682" s="17" t="n"/>
      <c r="M682" s="16" t="n"/>
      <c r="N682" s="16" t="n"/>
      <c r="O682" s="18" t="n"/>
      <c r="P682" s="18" t="n"/>
      <c r="Q682" s="16" t="n"/>
    </row>
    <row r="683">
      <c r="E683" s="15" t="n"/>
      <c r="F683" s="15" t="n"/>
      <c r="G683" s="15" t="n"/>
      <c r="H683" s="16" t="n"/>
      <c r="I683" s="16" t="n"/>
      <c r="J683" s="17" t="n"/>
      <c r="K683" s="17" t="n"/>
      <c r="L683" s="17" t="n"/>
      <c r="M683" s="16" t="n"/>
      <c r="N683" s="16" t="n"/>
      <c r="O683" s="18" t="n"/>
      <c r="P683" s="18" t="n"/>
      <c r="Q683" s="16" t="n"/>
    </row>
    <row r="684">
      <c r="E684" s="15" t="n"/>
      <c r="F684" s="15" t="n"/>
      <c r="G684" s="15" t="n"/>
      <c r="H684" s="16" t="n"/>
      <c r="I684" s="16" t="n"/>
      <c r="J684" s="17" t="n"/>
      <c r="K684" s="17" t="n"/>
      <c r="L684" s="17" t="n"/>
      <c r="M684" s="16" t="n"/>
      <c r="N684" s="16" t="n"/>
      <c r="O684" s="18" t="n"/>
      <c r="P684" s="18" t="n"/>
      <c r="Q684" s="16" t="n"/>
    </row>
    <row r="685">
      <c r="E685" s="15" t="n"/>
      <c r="F685" s="15" t="n"/>
      <c r="G685" s="15" t="n"/>
      <c r="H685" s="16" t="n"/>
      <c r="I685" s="16" t="n"/>
      <c r="J685" s="17" t="n"/>
      <c r="K685" s="17" t="n"/>
      <c r="L685" s="17" t="n"/>
      <c r="M685" s="16" t="n"/>
      <c r="N685" s="16" t="n"/>
      <c r="O685" s="18" t="n"/>
      <c r="P685" s="18" t="n"/>
      <c r="Q685" s="16" t="n"/>
    </row>
    <row r="686">
      <c r="E686" s="15" t="n"/>
      <c r="F686" s="15" t="n"/>
      <c r="G686" s="15" t="n"/>
      <c r="H686" s="16" t="n"/>
      <c r="I686" s="16" t="n"/>
      <c r="J686" s="17" t="n"/>
      <c r="K686" s="17" t="n"/>
      <c r="L686" s="17" t="n"/>
      <c r="M686" s="16" t="n"/>
      <c r="N686" s="16" t="n"/>
      <c r="O686" s="18" t="n"/>
      <c r="P686" s="18" t="n"/>
      <c r="Q686" s="16" t="n"/>
    </row>
    <row r="687">
      <c r="E687" s="15" t="n"/>
      <c r="F687" s="15" t="n"/>
      <c r="G687" s="15" t="n"/>
      <c r="H687" s="16" t="n"/>
      <c r="I687" s="16" t="n"/>
      <c r="J687" s="17" t="n"/>
      <c r="K687" s="17" t="n"/>
      <c r="L687" s="17" t="n"/>
      <c r="M687" s="16" t="n"/>
      <c r="N687" s="16" t="n"/>
      <c r="O687" s="18" t="n"/>
      <c r="P687" s="18" t="n"/>
      <c r="Q687" s="16" t="n"/>
    </row>
    <row r="688">
      <c r="E688" s="15" t="n"/>
      <c r="F688" s="15" t="n"/>
      <c r="G688" s="15" t="n"/>
      <c r="H688" s="16" t="n"/>
      <c r="I688" s="16" t="n"/>
      <c r="J688" s="17" t="n"/>
      <c r="K688" s="17" t="n"/>
      <c r="L688" s="17" t="n"/>
      <c r="M688" s="16" t="n"/>
      <c r="N688" s="16" t="n"/>
      <c r="O688" s="18" t="n"/>
      <c r="P688" s="18" t="n"/>
      <c r="Q688" s="16" t="n"/>
    </row>
    <row r="689">
      <c r="E689" s="15" t="n"/>
      <c r="F689" s="15" t="n"/>
      <c r="G689" s="15" t="n"/>
      <c r="H689" s="16" t="n"/>
      <c r="I689" s="16" t="n"/>
      <c r="J689" s="17" t="n"/>
      <c r="K689" s="17" t="n"/>
      <c r="L689" s="17" t="n"/>
      <c r="M689" s="16" t="n"/>
      <c r="N689" s="16" t="n"/>
      <c r="O689" s="18" t="n"/>
      <c r="P689" s="18" t="n"/>
      <c r="Q689" s="16" t="n"/>
    </row>
    <row r="690">
      <c r="E690" s="15" t="n"/>
      <c r="F690" s="15" t="n"/>
      <c r="G690" s="15" t="n"/>
      <c r="H690" s="16" t="n"/>
      <c r="I690" s="16" t="n"/>
      <c r="J690" s="17" t="n"/>
      <c r="K690" s="17" t="n"/>
      <c r="L690" s="17" t="n"/>
      <c r="M690" s="16" t="n"/>
      <c r="N690" s="16" t="n"/>
      <c r="O690" s="18" t="n"/>
      <c r="P690" s="18" t="n"/>
      <c r="Q690" s="16" t="n"/>
    </row>
    <row r="691">
      <c r="E691" s="15" t="n"/>
      <c r="F691" s="15" t="n"/>
      <c r="G691" s="15" t="n"/>
      <c r="H691" s="16" t="n"/>
      <c r="I691" s="16" t="n"/>
      <c r="J691" s="17" t="n"/>
      <c r="K691" s="17" t="n"/>
      <c r="L691" s="17" t="n"/>
      <c r="M691" s="16" t="n"/>
      <c r="N691" s="16" t="n"/>
      <c r="O691" s="18" t="n"/>
      <c r="P691" s="18" t="n"/>
      <c r="Q691" s="16" t="n"/>
    </row>
    <row r="692">
      <c r="E692" s="15" t="n"/>
      <c r="F692" s="15" t="n"/>
      <c r="G692" s="15" t="n"/>
      <c r="H692" s="16" t="n"/>
      <c r="I692" s="16" t="n"/>
      <c r="J692" s="17" t="n"/>
      <c r="K692" s="17" t="n"/>
      <c r="L692" s="17" t="n"/>
      <c r="M692" s="16" t="n"/>
      <c r="N692" s="16" t="n"/>
      <c r="O692" s="18" t="n"/>
      <c r="P692" s="18" t="n"/>
      <c r="Q692" s="16" t="n"/>
    </row>
    <row r="693">
      <c r="E693" s="15" t="n"/>
      <c r="F693" s="15" t="n"/>
      <c r="G693" s="15" t="n"/>
      <c r="H693" s="16" t="n"/>
      <c r="I693" s="16" t="n"/>
      <c r="J693" s="17" t="n"/>
      <c r="K693" s="17" t="n"/>
      <c r="L693" s="17" t="n"/>
      <c r="M693" s="16" t="n"/>
      <c r="N693" s="16" t="n"/>
      <c r="O693" s="18" t="n"/>
      <c r="P693" s="18" t="n"/>
      <c r="Q693" s="16" t="n"/>
    </row>
    <row r="694">
      <c r="E694" s="15" t="n"/>
      <c r="F694" s="15" t="n"/>
      <c r="G694" s="15" t="n"/>
      <c r="H694" s="16" t="n"/>
      <c r="I694" s="16" t="n"/>
      <c r="J694" s="17" t="n"/>
      <c r="K694" s="17" t="n"/>
      <c r="L694" s="17" t="n"/>
      <c r="M694" s="16" t="n"/>
      <c r="N694" s="16" t="n"/>
      <c r="O694" s="18" t="n"/>
      <c r="P694" s="18" t="n"/>
      <c r="Q694" s="16" t="n"/>
    </row>
    <row r="695">
      <c r="E695" s="15" t="n"/>
      <c r="F695" s="15" t="n"/>
      <c r="G695" s="15" t="n"/>
      <c r="H695" s="16" t="n"/>
      <c r="I695" s="16" t="n"/>
      <c r="J695" s="17" t="n"/>
      <c r="K695" s="17" t="n"/>
      <c r="L695" s="17" t="n"/>
      <c r="M695" s="16" t="n"/>
      <c r="N695" s="16" t="n"/>
      <c r="O695" s="18" t="n"/>
      <c r="P695" s="18" t="n"/>
      <c r="Q695" s="16" t="n"/>
    </row>
    <row r="696">
      <c r="E696" s="15" t="n"/>
      <c r="F696" s="15" t="n"/>
      <c r="G696" s="15" t="n"/>
      <c r="H696" s="16" t="n"/>
      <c r="I696" s="16" t="n"/>
      <c r="J696" s="17" t="n"/>
      <c r="K696" s="17" t="n"/>
      <c r="L696" s="17" t="n"/>
      <c r="M696" s="16" t="n"/>
      <c r="N696" s="16" t="n"/>
      <c r="O696" s="18" t="n"/>
      <c r="P696" s="18" t="n"/>
      <c r="Q696" s="16" t="n"/>
    </row>
    <row r="697">
      <c r="E697" s="15" t="n"/>
      <c r="F697" s="15" t="n"/>
      <c r="G697" s="15" t="n"/>
      <c r="H697" s="16" t="n"/>
      <c r="I697" s="16" t="n"/>
      <c r="J697" s="17" t="n"/>
      <c r="K697" s="17" t="n"/>
      <c r="L697" s="17" t="n"/>
      <c r="M697" s="16" t="n"/>
      <c r="N697" s="16" t="n"/>
      <c r="O697" s="18" t="n"/>
      <c r="P697" s="18" t="n"/>
      <c r="Q697" s="16" t="n"/>
    </row>
    <row r="698">
      <c r="E698" s="15" t="n"/>
      <c r="F698" s="15" t="n"/>
      <c r="G698" s="15" t="n"/>
      <c r="H698" s="16" t="n"/>
      <c r="I698" s="16" t="n"/>
      <c r="J698" s="17" t="n"/>
      <c r="K698" s="17" t="n"/>
      <c r="L698" s="17" t="n"/>
      <c r="M698" s="16" t="n"/>
      <c r="N698" s="16" t="n"/>
      <c r="O698" s="18" t="n"/>
      <c r="P698" s="18" t="n"/>
      <c r="Q698" s="16" t="n"/>
    </row>
    <row r="699">
      <c r="E699" s="15" t="n"/>
      <c r="F699" s="15" t="n"/>
      <c r="G699" s="15" t="n"/>
      <c r="H699" s="16" t="n"/>
      <c r="I699" s="16" t="n"/>
      <c r="J699" s="17" t="n"/>
      <c r="K699" s="17" t="n"/>
      <c r="L699" s="17" t="n"/>
      <c r="M699" s="16" t="n"/>
      <c r="N699" s="16" t="n"/>
      <c r="O699" s="18" t="n"/>
      <c r="P699" s="18" t="n"/>
      <c r="Q699" s="16" t="n"/>
    </row>
    <row r="700">
      <c r="E700" s="15" t="n"/>
      <c r="F700" s="15" t="n"/>
      <c r="G700" s="15" t="n"/>
      <c r="H700" s="16" t="n"/>
      <c r="I700" s="16" t="n"/>
      <c r="J700" s="17" t="n"/>
      <c r="K700" s="17" t="n"/>
      <c r="L700" s="17" t="n"/>
      <c r="M700" s="16" t="n"/>
      <c r="N700" s="16" t="n"/>
      <c r="O700" s="18" t="n"/>
      <c r="P700" s="18" t="n"/>
      <c r="Q700" s="16" t="n"/>
    </row>
    <row r="701">
      <c r="E701" s="15" t="n"/>
      <c r="F701" s="15" t="n"/>
      <c r="G701" s="15" t="n"/>
      <c r="H701" s="16" t="n"/>
      <c r="I701" s="16" t="n"/>
      <c r="J701" s="17" t="n"/>
      <c r="K701" s="17" t="n"/>
      <c r="L701" s="17" t="n"/>
      <c r="M701" s="16" t="n"/>
      <c r="N701" s="16" t="n"/>
      <c r="O701" s="18" t="n"/>
      <c r="P701" s="18" t="n"/>
      <c r="Q701" s="16" t="n"/>
    </row>
    <row r="702">
      <c r="E702" s="15" t="n"/>
      <c r="F702" s="15" t="n"/>
      <c r="G702" s="15" t="n"/>
      <c r="H702" s="16" t="n"/>
      <c r="I702" s="16" t="n"/>
      <c r="J702" s="17" t="n"/>
      <c r="K702" s="17" t="n"/>
      <c r="L702" s="17" t="n"/>
      <c r="M702" s="16" t="n"/>
      <c r="N702" s="16" t="n"/>
      <c r="O702" s="18" t="n"/>
      <c r="P702" s="18" t="n"/>
      <c r="Q702" s="16" t="n"/>
    </row>
    <row r="703">
      <c r="E703" s="15" t="n"/>
      <c r="F703" s="15" t="n"/>
      <c r="G703" s="15" t="n"/>
      <c r="H703" s="16" t="n"/>
      <c r="I703" s="16" t="n"/>
      <c r="J703" s="17" t="n"/>
      <c r="K703" s="17" t="n"/>
      <c r="L703" s="17" t="n"/>
      <c r="M703" s="16" t="n"/>
      <c r="N703" s="16" t="n"/>
      <c r="O703" s="18" t="n"/>
      <c r="P703" s="18" t="n"/>
      <c r="Q703" s="16" t="n"/>
    </row>
    <row r="704">
      <c r="E704" s="15" t="n"/>
      <c r="F704" s="15" t="n"/>
      <c r="G704" s="15" t="n"/>
      <c r="H704" s="16" t="n"/>
      <c r="I704" s="16" t="n"/>
      <c r="J704" s="17" t="n"/>
      <c r="K704" s="17" t="n"/>
      <c r="L704" s="17" t="n"/>
      <c r="M704" s="16" t="n"/>
      <c r="N704" s="16" t="n"/>
      <c r="O704" s="18" t="n"/>
      <c r="P704" s="18" t="n"/>
      <c r="Q704" s="16" t="n"/>
    </row>
    <row r="705">
      <c r="E705" s="15" t="n"/>
      <c r="F705" s="15" t="n"/>
      <c r="G705" s="15" t="n"/>
      <c r="H705" s="16" t="n"/>
      <c r="I705" s="16" t="n"/>
      <c r="J705" s="17" t="n"/>
      <c r="K705" s="17" t="n"/>
      <c r="L705" s="17" t="n"/>
      <c r="M705" s="16" t="n"/>
      <c r="N705" s="16" t="n"/>
      <c r="O705" s="18" t="n"/>
      <c r="P705" s="18" t="n"/>
      <c r="Q705" s="16" t="n"/>
    </row>
    <row r="706">
      <c r="E706" s="15" t="n"/>
      <c r="F706" s="15" t="n"/>
      <c r="G706" s="15" t="n"/>
      <c r="H706" s="16" t="n"/>
      <c r="I706" s="16" t="n"/>
      <c r="J706" s="17" t="n"/>
      <c r="K706" s="17" t="n"/>
      <c r="L706" s="17" t="n"/>
      <c r="M706" s="16" t="n"/>
      <c r="N706" s="16" t="n"/>
      <c r="O706" s="18" t="n"/>
      <c r="P706" s="18" t="n"/>
      <c r="Q706" s="16" t="n"/>
    </row>
    <row r="707">
      <c r="E707" s="15" t="n"/>
      <c r="F707" s="15" t="n"/>
      <c r="G707" s="15" t="n"/>
      <c r="H707" s="16" t="n"/>
      <c r="I707" s="16" t="n"/>
      <c r="J707" s="17" t="n"/>
      <c r="K707" s="17" t="n"/>
      <c r="L707" s="17" t="n"/>
      <c r="M707" s="16" t="n"/>
      <c r="N707" s="16" t="n"/>
      <c r="O707" s="18" t="n"/>
      <c r="P707" s="18" t="n"/>
      <c r="Q707" s="16" t="n"/>
    </row>
    <row r="708">
      <c r="E708" s="15" t="n"/>
      <c r="F708" s="15" t="n"/>
      <c r="G708" s="15" t="n"/>
      <c r="H708" s="16" t="n"/>
      <c r="I708" s="16" t="n"/>
      <c r="J708" s="17" t="n"/>
      <c r="K708" s="17" t="n"/>
      <c r="L708" s="17" t="n"/>
      <c r="M708" s="16" t="n"/>
      <c r="N708" s="16" t="n"/>
      <c r="O708" s="18" t="n"/>
      <c r="P708" s="18" t="n"/>
      <c r="Q708" s="16" t="n"/>
    </row>
    <row r="709">
      <c r="E709" s="15" t="n"/>
      <c r="F709" s="15" t="n"/>
      <c r="G709" s="15" t="n"/>
      <c r="H709" s="16" t="n"/>
      <c r="I709" s="16" t="n"/>
      <c r="J709" s="17" t="n"/>
      <c r="K709" s="17" t="n"/>
      <c r="L709" s="17" t="n"/>
      <c r="M709" s="16" t="n"/>
      <c r="N709" s="16" t="n"/>
      <c r="O709" s="18" t="n"/>
      <c r="P709" s="18" t="n"/>
      <c r="Q709" s="16" t="n"/>
    </row>
    <row r="710">
      <c r="E710" s="15" t="n"/>
      <c r="F710" s="15" t="n"/>
      <c r="G710" s="15" t="n"/>
      <c r="H710" s="16" t="n"/>
      <c r="I710" s="16" t="n"/>
      <c r="J710" s="17" t="n"/>
      <c r="K710" s="17" t="n"/>
      <c r="L710" s="17" t="n"/>
      <c r="M710" s="16" t="n"/>
      <c r="N710" s="16" t="n"/>
      <c r="O710" s="18" t="n"/>
      <c r="P710" s="18" t="n"/>
      <c r="Q710" s="16" t="n"/>
    </row>
    <row r="711">
      <c r="E711" s="15" t="n"/>
      <c r="F711" s="15" t="n"/>
      <c r="G711" s="15" t="n"/>
      <c r="H711" s="16" t="n"/>
      <c r="I711" s="16" t="n"/>
      <c r="J711" s="17" t="n"/>
      <c r="K711" s="17" t="n"/>
      <c r="L711" s="17" t="n"/>
      <c r="M711" s="16" t="n"/>
      <c r="N711" s="16" t="n"/>
      <c r="O711" s="18" t="n"/>
      <c r="P711" s="18" t="n"/>
      <c r="Q711" s="16" t="n"/>
    </row>
    <row r="712">
      <c r="E712" s="15" t="n"/>
      <c r="F712" s="15" t="n"/>
      <c r="G712" s="15" t="n"/>
      <c r="H712" s="16" t="n"/>
      <c r="I712" s="16" t="n"/>
      <c r="J712" s="17" t="n"/>
      <c r="K712" s="17" t="n"/>
      <c r="L712" s="17" t="n"/>
      <c r="M712" s="16" t="n"/>
      <c r="N712" s="16" t="n"/>
      <c r="O712" s="18" t="n"/>
      <c r="P712" s="18" t="n"/>
      <c r="Q712" s="16" t="n"/>
    </row>
    <row r="713">
      <c r="E713" s="15" t="n"/>
      <c r="F713" s="15" t="n"/>
      <c r="G713" s="15" t="n"/>
      <c r="H713" s="16" t="n"/>
      <c r="I713" s="16" t="n"/>
      <c r="J713" s="17" t="n"/>
      <c r="K713" s="17" t="n"/>
      <c r="L713" s="17" t="n"/>
      <c r="M713" s="16" t="n"/>
      <c r="N713" s="16" t="n"/>
      <c r="O713" s="18" t="n"/>
      <c r="P713" s="18" t="n"/>
      <c r="Q713" s="16" t="n"/>
    </row>
    <row r="714">
      <c r="E714" s="15" t="n"/>
      <c r="F714" s="15" t="n"/>
      <c r="G714" s="15" t="n"/>
      <c r="H714" s="16" t="n"/>
      <c r="I714" s="16" t="n"/>
      <c r="J714" s="17" t="n"/>
      <c r="K714" s="17" t="n"/>
      <c r="L714" s="17" t="n"/>
      <c r="M714" s="16" t="n"/>
      <c r="N714" s="16" t="n"/>
      <c r="O714" s="18" t="n"/>
      <c r="P714" s="18" t="n"/>
      <c r="Q714" s="16" t="n"/>
    </row>
    <row r="715">
      <c r="E715" s="15" t="n"/>
      <c r="F715" s="15" t="n"/>
      <c r="G715" s="15" t="n"/>
      <c r="H715" s="16" t="n"/>
      <c r="I715" s="16" t="n"/>
      <c r="J715" s="17" t="n"/>
      <c r="K715" s="17" t="n"/>
      <c r="L715" s="17" t="n"/>
      <c r="M715" s="16" t="n"/>
      <c r="N715" s="16" t="n"/>
      <c r="O715" s="18" t="n"/>
      <c r="P715" s="18" t="n"/>
      <c r="Q715" s="16" t="n"/>
    </row>
    <row r="716">
      <c r="E716" s="15" t="n"/>
      <c r="F716" s="15" t="n"/>
      <c r="G716" s="15" t="n"/>
      <c r="H716" s="16" t="n"/>
      <c r="I716" s="16" t="n"/>
      <c r="J716" s="17" t="n"/>
      <c r="K716" s="17" t="n"/>
      <c r="L716" s="17" t="n"/>
      <c r="M716" s="16" t="n"/>
      <c r="N716" s="16" t="n"/>
      <c r="O716" s="18" t="n"/>
      <c r="P716" s="18" t="n"/>
      <c r="Q716" s="16" t="n"/>
    </row>
    <row r="717">
      <c r="E717" s="15" t="n"/>
      <c r="F717" s="15" t="n"/>
      <c r="G717" s="15" t="n"/>
      <c r="H717" s="16" t="n"/>
      <c r="I717" s="16" t="n"/>
      <c r="J717" s="17" t="n"/>
      <c r="K717" s="17" t="n"/>
      <c r="L717" s="17" t="n"/>
      <c r="M717" s="16" t="n"/>
      <c r="N717" s="16" t="n"/>
      <c r="O717" s="18" t="n"/>
      <c r="P717" s="18" t="n"/>
      <c r="Q717" s="16" t="n"/>
    </row>
    <row r="718">
      <c r="E718" s="15" t="n"/>
      <c r="F718" s="15" t="n"/>
      <c r="G718" s="15" t="n"/>
      <c r="H718" s="16" t="n"/>
      <c r="I718" s="16" t="n"/>
      <c r="J718" s="17" t="n"/>
      <c r="K718" s="17" t="n"/>
      <c r="L718" s="17" t="n"/>
      <c r="M718" s="16" t="n"/>
      <c r="N718" s="16" t="n"/>
      <c r="O718" s="18" t="n"/>
      <c r="P718" s="18" t="n"/>
      <c r="Q718" s="16" t="n"/>
    </row>
    <row r="719">
      <c r="E719" s="15" t="n"/>
      <c r="F719" s="15" t="n"/>
      <c r="G719" s="15" t="n"/>
      <c r="H719" s="16" t="n"/>
      <c r="I719" s="16" t="n"/>
      <c r="J719" s="17" t="n"/>
      <c r="K719" s="17" t="n"/>
      <c r="L719" s="17" t="n"/>
      <c r="M719" s="16" t="n"/>
      <c r="N719" s="16" t="n"/>
      <c r="O719" s="18" t="n"/>
      <c r="P719" s="18" t="n"/>
      <c r="Q719" s="16" t="n"/>
    </row>
    <row r="720">
      <c r="E720" s="15" t="n"/>
      <c r="F720" s="15" t="n"/>
      <c r="G720" s="15" t="n"/>
      <c r="H720" s="16" t="n"/>
      <c r="I720" s="16" t="n"/>
      <c r="J720" s="17" t="n"/>
      <c r="K720" s="17" t="n"/>
      <c r="L720" s="17" t="n"/>
      <c r="M720" s="16" t="n"/>
      <c r="N720" s="16" t="n"/>
      <c r="O720" s="18" t="n"/>
      <c r="P720" s="18" t="n"/>
      <c r="Q720" s="16" t="n"/>
    </row>
    <row r="721">
      <c r="E721" s="15" t="n"/>
      <c r="F721" s="15" t="n"/>
      <c r="G721" s="15" t="n"/>
      <c r="H721" s="16" t="n"/>
      <c r="I721" s="16" t="n"/>
      <c r="J721" s="17" t="n"/>
      <c r="K721" s="17" t="n"/>
      <c r="L721" s="17" t="n"/>
      <c r="M721" s="16" t="n"/>
      <c r="N721" s="16" t="n"/>
      <c r="O721" s="18" t="n"/>
      <c r="P721" s="18" t="n"/>
      <c r="Q721" s="16" t="n"/>
    </row>
    <row r="722">
      <c r="E722" s="15" t="n"/>
      <c r="F722" s="15" t="n"/>
      <c r="G722" s="15" t="n"/>
      <c r="H722" s="16" t="n"/>
      <c r="I722" s="16" t="n"/>
      <c r="J722" s="17" t="n"/>
      <c r="K722" s="17" t="n"/>
      <c r="L722" s="17" t="n"/>
      <c r="M722" s="16" t="n"/>
      <c r="N722" s="16" t="n"/>
      <c r="O722" s="18" t="n"/>
      <c r="P722" s="18" t="n"/>
      <c r="Q722" s="16" t="n"/>
    </row>
    <row r="723">
      <c r="E723" s="15" t="n"/>
      <c r="F723" s="15" t="n"/>
      <c r="G723" s="15" t="n"/>
      <c r="H723" s="16" t="n"/>
      <c r="I723" s="16" t="n"/>
      <c r="J723" s="17" t="n"/>
      <c r="K723" s="17" t="n"/>
      <c r="L723" s="17" t="n"/>
      <c r="M723" s="16" t="n"/>
      <c r="N723" s="16" t="n"/>
      <c r="O723" s="18" t="n"/>
      <c r="P723" s="18" t="n"/>
      <c r="Q723" s="16" t="n"/>
    </row>
    <row r="724">
      <c r="E724" s="15" t="n"/>
      <c r="F724" s="15" t="n"/>
      <c r="G724" s="15" t="n"/>
      <c r="H724" s="16" t="n"/>
      <c r="I724" s="16" t="n"/>
      <c r="J724" s="17" t="n"/>
      <c r="K724" s="17" t="n"/>
      <c r="L724" s="17" t="n"/>
      <c r="M724" s="16" t="n"/>
      <c r="N724" s="16" t="n"/>
      <c r="O724" s="18" t="n"/>
      <c r="P724" s="18" t="n"/>
      <c r="Q724" s="16" t="n"/>
    </row>
    <row r="725">
      <c r="E725" s="15" t="n"/>
      <c r="F725" s="15" t="n"/>
      <c r="G725" s="15" t="n"/>
      <c r="H725" s="16" t="n"/>
      <c r="I725" s="16" t="n"/>
      <c r="J725" s="17" t="n"/>
      <c r="K725" s="17" t="n"/>
      <c r="L725" s="17" t="n"/>
      <c r="M725" s="16" t="n"/>
      <c r="N725" s="16" t="n"/>
      <c r="O725" s="18" t="n"/>
      <c r="P725" s="18" t="n"/>
      <c r="Q725" s="16" t="n"/>
    </row>
    <row r="726">
      <c r="E726" s="15" t="n"/>
      <c r="F726" s="15" t="n"/>
      <c r="G726" s="15" t="n"/>
      <c r="H726" s="16" t="n"/>
      <c r="I726" s="16" t="n"/>
      <c r="J726" s="17" t="n"/>
      <c r="K726" s="17" t="n"/>
      <c r="L726" s="17" t="n"/>
      <c r="M726" s="16" t="n"/>
      <c r="N726" s="16" t="n"/>
      <c r="O726" s="18" t="n"/>
      <c r="P726" s="18" t="n"/>
      <c r="Q726" s="16" t="n"/>
    </row>
    <row r="727">
      <c r="E727" s="15" t="n"/>
      <c r="F727" s="15" t="n"/>
      <c r="G727" s="15" t="n"/>
      <c r="H727" s="16" t="n"/>
      <c r="I727" s="16" t="n"/>
      <c r="J727" s="17" t="n"/>
      <c r="K727" s="17" t="n"/>
      <c r="L727" s="17" t="n"/>
      <c r="M727" s="16" t="n"/>
      <c r="N727" s="16" t="n"/>
      <c r="O727" s="18" t="n"/>
      <c r="P727" s="18" t="n"/>
      <c r="Q727" s="16" t="n"/>
    </row>
    <row r="728">
      <c r="E728" s="15" t="n"/>
      <c r="F728" s="15" t="n"/>
      <c r="G728" s="15" t="n"/>
      <c r="H728" s="16" t="n"/>
      <c r="I728" s="16" t="n"/>
      <c r="J728" s="17" t="n"/>
      <c r="K728" s="17" t="n"/>
      <c r="L728" s="17" t="n"/>
      <c r="M728" s="16" t="n"/>
      <c r="N728" s="16" t="n"/>
      <c r="O728" s="18" t="n"/>
      <c r="P728" s="18" t="n"/>
      <c r="Q728" s="16" t="n"/>
    </row>
    <row r="729">
      <c r="E729" s="15" t="n"/>
      <c r="F729" s="15" t="n"/>
      <c r="G729" s="15" t="n"/>
      <c r="H729" s="16" t="n"/>
      <c r="I729" s="16" t="n"/>
      <c r="J729" s="17" t="n"/>
      <c r="K729" s="17" t="n"/>
      <c r="L729" s="17" t="n"/>
      <c r="M729" s="16" t="n"/>
      <c r="N729" s="16" t="n"/>
      <c r="O729" s="18" t="n"/>
      <c r="P729" s="18" t="n"/>
      <c r="Q729" s="16" t="n"/>
    </row>
    <row r="730">
      <c r="E730" s="15" t="n"/>
      <c r="F730" s="15" t="n"/>
      <c r="G730" s="15" t="n"/>
      <c r="H730" s="16" t="n"/>
      <c r="I730" s="16" t="n"/>
      <c r="J730" s="17" t="n"/>
      <c r="K730" s="17" t="n"/>
      <c r="L730" s="17" t="n"/>
      <c r="M730" s="16" t="n"/>
      <c r="N730" s="16" t="n"/>
      <c r="O730" s="18" t="n"/>
      <c r="P730" s="18" t="n"/>
      <c r="Q730" s="16" t="n"/>
    </row>
    <row r="731">
      <c r="E731" s="15" t="n"/>
      <c r="F731" s="15" t="n"/>
      <c r="G731" s="15" t="n"/>
      <c r="H731" s="16" t="n"/>
      <c r="I731" s="16" t="n"/>
      <c r="J731" s="17" t="n"/>
      <c r="K731" s="17" t="n"/>
      <c r="L731" s="17" t="n"/>
      <c r="M731" s="16" t="n"/>
      <c r="N731" s="16" t="n"/>
      <c r="O731" s="18" t="n"/>
      <c r="P731" s="18" t="n"/>
      <c r="Q731" s="16" t="n"/>
    </row>
    <row r="732">
      <c r="E732" s="15" t="n"/>
      <c r="F732" s="15" t="n"/>
      <c r="G732" s="15" t="n"/>
      <c r="H732" s="16" t="n"/>
      <c r="I732" s="16" t="n"/>
      <c r="J732" s="17" t="n"/>
      <c r="K732" s="17" t="n"/>
      <c r="L732" s="17" t="n"/>
      <c r="M732" s="16" t="n"/>
      <c r="N732" s="16" t="n"/>
      <c r="O732" s="18" t="n"/>
      <c r="P732" s="18" t="n"/>
      <c r="Q732" s="16" t="n"/>
    </row>
    <row r="733">
      <c r="E733" s="15" t="n"/>
      <c r="F733" s="15" t="n"/>
      <c r="G733" s="15" t="n"/>
      <c r="H733" s="16" t="n"/>
      <c r="I733" s="16" t="n"/>
      <c r="J733" s="17" t="n"/>
      <c r="K733" s="17" t="n"/>
      <c r="L733" s="17" t="n"/>
      <c r="M733" s="16" t="n"/>
      <c r="N733" s="16" t="n"/>
      <c r="O733" s="18" t="n"/>
      <c r="P733" s="18" t="n"/>
      <c r="Q733" s="16" t="n"/>
    </row>
    <row r="734">
      <c r="E734" s="15" t="n"/>
      <c r="F734" s="15" t="n"/>
      <c r="G734" s="15" t="n"/>
      <c r="H734" s="16" t="n"/>
      <c r="I734" s="16" t="n"/>
      <c r="J734" s="17" t="n"/>
      <c r="K734" s="17" t="n"/>
      <c r="L734" s="17" t="n"/>
      <c r="M734" s="16" t="n"/>
      <c r="N734" s="16" t="n"/>
      <c r="O734" s="18" t="n"/>
      <c r="P734" s="18" t="n"/>
      <c r="Q734" s="16" t="n"/>
    </row>
    <row r="735">
      <c r="E735" s="15" t="n"/>
      <c r="F735" s="15" t="n"/>
      <c r="G735" s="15" t="n"/>
      <c r="H735" s="16" t="n"/>
      <c r="I735" s="16" t="n"/>
      <c r="J735" s="17" t="n"/>
      <c r="K735" s="17" t="n"/>
      <c r="L735" s="17" t="n"/>
      <c r="M735" s="16" t="n"/>
      <c r="N735" s="16" t="n"/>
      <c r="O735" s="18" t="n"/>
      <c r="P735" s="18" t="n"/>
      <c r="Q735" s="16" t="n"/>
    </row>
    <row r="736">
      <c r="E736" s="15" t="n"/>
      <c r="F736" s="15" t="n"/>
      <c r="G736" s="15" t="n"/>
      <c r="H736" s="16" t="n"/>
      <c r="I736" s="16" t="n"/>
      <c r="J736" s="17" t="n"/>
      <c r="K736" s="17" t="n"/>
      <c r="L736" s="17" t="n"/>
      <c r="M736" s="16" t="n"/>
      <c r="N736" s="16" t="n"/>
      <c r="O736" s="18" t="n"/>
      <c r="P736" s="18" t="n"/>
      <c r="Q736" s="16" t="n"/>
    </row>
    <row r="737">
      <c r="E737" s="15" t="n"/>
      <c r="F737" s="15" t="n"/>
      <c r="G737" s="15" t="n"/>
      <c r="H737" s="16" t="n"/>
      <c r="I737" s="16" t="n"/>
      <c r="J737" s="17" t="n"/>
      <c r="K737" s="17" t="n"/>
      <c r="L737" s="17" t="n"/>
      <c r="M737" s="16" t="n"/>
      <c r="N737" s="16" t="n"/>
      <c r="O737" s="18" t="n"/>
      <c r="P737" s="18" t="n"/>
      <c r="Q737" s="16" t="n"/>
    </row>
    <row r="738">
      <c r="E738" s="15" t="n"/>
      <c r="F738" s="15" t="n"/>
      <c r="G738" s="15" t="n"/>
      <c r="H738" s="16" t="n"/>
      <c r="I738" s="16" t="n"/>
      <c r="J738" s="17" t="n"/>
      <c r="K738" s="17" t="n"/>
      <c r="L738" s="17" t="n"/>
      <c r="M738" s="16" t="n"/>
      <c r="N738" s="16" t="n"/>
      <c r="O738" s="18" t="n"/>
      <c r="P738" s="18" t="n"/>
      <c r="Q738" s="16" t="n"/>
    </row>
    <row r="739">
      <c r="E739" s="15" t="n"/>
      <c r="F739" s="15" t="n"/>
      <c r="G739" s="15" t="n"/>
      <c r="H739" s="16" t="n"/>
      <c r="I739" s="16" t="n"/>
      <c r="J739" s="17" t="n"/>
      <c r="K739" s="17" t="n"/>
      <c r="L739" s="17" t="n"/>
      <c r="M739" s="16" t="n"/>
      <c r="N739" s="16" t="n"/>
      <c r="O739" s="18" t="n"/>
      <c r="P739" s="18" t="n"/>
      <c r="Q739" s="16" t="n"/>
    </row>
    <row r="740">
      <c r="E740" s="15" t="n"/>
      <c r="F740" s="15" t="n"/>
      <c r="G740" s="15" t="n"/>
      <c r="H740" s="16" t="n"/>
      <c r="I740" s="16" t="n"/>
      <c r="J740" s="17" t="n"/>
      <c r="K740" s="17" t="n"/>
      <c r="L740" s="17" t="n"/>
      <c r="M740" s="16" t="n"/>
      <c r="N740" s="16" t="n"/>
      <c r="O740" s="18" t="n"/>
      <c r="P740" s="18" t="n"/>
      <c r="Q740" s="16" t="n"/>
    </row>
    <row r="741">
      <c r="E741" s="15" t="n"/>
      <c r="F741" s="15" t="n"/>
      <c r="G741" s="15" t="n"/>
      <c r="H741" s="16" t="n"/>
      <c r="I741" s="16" t="n"/>
      <c r="J741" s="17" t="n"/>
      <c r="K741" s="17" t="n"/>
      <c r="L741" s="17" t="n"/>
      <c r="M741" s="16" t="n"/>
      <c r="N741" s="16" t="n"/>
      <c r="O741" s="18" t="n"/>
      <c r="P741" s="18" t="n"/>
      <c r="Q741" s="16" t="n"/>
    </row>
    <row r="742">
      <c r="E742" s="15" t="n"/>
      <c r="F742" s="15" t="n"/>
      <c r="G742" s="15" t="n"/>
      <c r="H742" s="16" t="n"/>
      <c r="I742" s="16" t="n"/>
      <c r="J742" s="17" t="n"/>
      <c r="K742" s="17" t="n"/>
      <c r="L742" s="17" t="n"/>
      <c r="M742" s="16" t="n"/>
      <c r="N742" s="16" t="n"/>
      <c r="O742" s="18" t="n"/>
      <c r="P742" s="18" t="n"/>
      <c r="Q742" s="16" t="n"/>
    </row>
    <row r="743">
      <c r="E743" s="15" t="n"/>
      <c r="F743" s="15" t="n"/>
      <c r="G743" s="15" t="n"/>
      <c r="H743" s="16" t="n"/>
      <c r="I743" s="16" t="n"/>
      <c r="J743" s="17" t="n"/>
      <c r="K743" s="17" t="n"/>
      <c r="L743" s="17" t="n"/>
      <c r="M743" s="16" t="n"/>
      <c r="N743" s="16" t="n"/>
      <c r="O743" s="18" t="n"/>
      <c r="P743" s="18" t="n"/>
      <c r="Q743" s="16" t="n"/>
    </row>
    <row r="744">
      <c r="E744" s="15" t="n"/>
      <c r="F744" s="15" t="n"/>
      <c r="G744" s="15" t="n"/>
      <c r="H744" s="16" t="n"/>
      <c r="I744" s="16" t="n"/>
      <c r="J744" s="17" t="n"/>
      <c r="K744" s="17" t="n"/>
      <c r="L744" s="17" t="n"/>
      <c r="M744" s="16" t="n"/>
      <c r="N744" s="16" t="n"/>
      <c r="O744" s="18" t="n"/>
      <c r="P744" s="18" t="n"/>
      <c r="Q744" s="16" t="n"/>
    </row>
    <row r="745">
      <c r="E745" s="15" t="n"/>
      <c r="F745" s="15" t="n"/>
      <c r="G745" s="15" t="n"/>
      <c r="H745" s="16" t="n"/>
      <c r="I745" s="16" t="n"/>
      <c r="J745" s="17" t="n"/>
      <c r="K745" s="17" t="n"/>
      <c r="L745" s="17" t="n"/>
      <c r="M745" s="16" t="n"/>
      <c r="N745" s="16" t="n"/>
      <c r="O745" s="18" t="n"/>
      <c r="P745" s="18" t="n"/>
      <c r="Q745" s="16" t="n"/>
    </row>
    <row r="746">
      <c r="E746" s="15" t="n"/>
      <c r="F746" s="15" t="n"/>
      <c r="G746" s="15" t="n"/>
      <c r="H746" s="16" t="n"/>
      <c r="I746" s="16" t="n"/>
      <c r="J746" s="17" t="n"/>
      <c r="K746" s="17" t="n"/>
      <c r="L746" s="17" t="n"/>
      <c r="M746" s="16" t="n"/>
      <c r="N746" s="16" t="n"/>
      <c r="O746" s="18" t="n"/>
      <c r="P746" s="18" t="n"/>
      <c r="Q746" s="16" t="n"/>
    </row>
    <row r="747">
      <c r="E747" s="15" t="n"/>
      <c r="F747" s="15" t="n"/>
      <c r="G747" s="15" t="n"/>
      <c r="H747" s="16" t="n"/>
      <c r="I747" s="16" t="n"/>
      <c r="J747" s="17" t="n"/>
      <c r="K747" s="17" t="n"/>
      <c r="L747" s="17" t="n"/>
      <c r="M747" s="16" t="n"/>
      <c r="N747" s="16" t="n"/>
      <c r="O747" s="18" t="n"/>
      <c r="P747" s="18" t="n"/>
      <c r="Q747" s="16" t="n"/>
    </row>
    <row r="748">
      <c r="E748" s="15" t="n"/>
      <c r="F748" s="15" t="n"/>
      <c r="G748" s="15" t="n"/>
      <c r="H748" s="16" t="n"/>
      <c r="I748" s="16" t="n"/>
      <c r="J748" s="17" t="n"/>
      <c r="K748" s="17" t="n"/>
      <c r="L748" s="17" t="n"/>
      <c r="M748" s="16" t="n"/>
      <c r="N748" s="16" t="n"/>
      <c r="O748" s="18" t="n"/>
      <c r="P748" s="18" t="n"/>
      <c r="Q748" s="16" t="n"/>
    </row>
    <row r="749">
      <c r="E749" s="15" t="n"/>
      <c r="F749" s="15" t="n"/>
      <c r="G749" s="15" t="n"/>
      <c r="H749" s="16" t="n"/>
      <c r="I749" s="16" t="n"/>
      <c r="J749" s="17" t="n"/>
      <c r="K749" s="17" t="n"/>
      <c r="L749" s="17" t="n"/>
      <c r="M749" s="16" t="n"/>
      <c r="N749" s="16" t="n"/>
      <c r="O749" s="18" t="n"/>
      <c r="P749" s="18" t="n"/>
      <c r="Q749" s="16" t="n"/>
    </row>
    <row r="750">
      <c r="E750" s="15" t="n"/>
      <c r="F750" s="15" t="n"/>
      <c r="G750" s="15" t="n"/>
      <c r="H750" s="16" t="n"/>
      <c r="I750" s="16" t="n"/>
      <c r="J750" s="17" t="n"/>
      <c r="K750" s="17" t="n"/>
      <c r="L750" s="17" t="n"/>
      <c r="M750" s="16" t="n"/>
      <c r="N750" s="16" t="n"/>
      <c r="O750" s="18" t="n"/>
      <c r="P750" s="18" t="n"/>
      <c r="Q750" s="16" t="n"/>
    </row>
    <row r="751">
      <c r="E751" s="15" t="n"/>
      <c r="F751" s="15" t="n"/>
      <c r="G751" s="15" t="n"/>
      <c r="H751" s="16" t="n"/>
      <c r="I751" s="16" t="n"/>
      <c r="J751" s="17" t="n"/>
      <c r="K751" s="17" t="n"/>
      <c r="L751" s="17" t="n"/>
      <c r="M751" s="16" t="n"/>
      <c r="N751" s="16" t="n"/>
      <c r="O751" s="18" t="n"/>
      <c r="P751" s="18" t="n"/>
      <c r="Q751" s="16" t="n"/>
    </row>
    <row r="752">
      <c r="E752" s="15" t="n"/>
      <c r="F752" s="15" t="n"/>
      <c r="G752" s="15" t="n"/>
      <c r="H752" s="16" t="n"/>
      <c r="I752" s="16" t="n"/>
      <c r="J752" s="17" t="n"/>
      <c r="K752" s="17" t="n"/>
      <c r="L752" s="17" t="n"/>
      <c r="M752" s="16" t="n"/>
      <c r="N752" s="16" t="n"/>
      <c r="O752" s="18" t="n"/>
      <c r="P752" s="18" t="n"/>
      <c r="Q752" s="16" t="n"/>
    </row>
    <row r="753">
      <c r="E753" s="15" t="n"/>
      <c r="F753" s="15" t="n"/>
      <c r="G753" s="15" t="n"/>
      <c r="H753" s="16" t="n"/>
      <c r="I753" s="16" t="n"/>
      <c r="J753" s="17" t="n"/>
      <c r="K753" s="17" t="n"/>
      <c r="L753" s="17" t="n"/>
      <c r="M753" s="16" t="n"/>
      <c r="N753" s="16" t="n"/>
      <c r="O753" s="18" t="n"/>
      <c r="P753" s="18" t="n"/>
      <c r="Q753" s="16" t="n"/>
    </row>
    <row r="754">
      <c r="E754" s="15" t="n"/>
      <c r="F754" s="15" t="n"/>
      <c r="G754" s="15" t="n"/>
      <c r="H754" s="16" t="n"/>
      <c r="I754" s="16" t="n"/>
      <c r="J754" s="17" t="n"/>
      <c r="K754" s="17" t="n"/>
      <c r="L754" s="17" t="n"/>
      <c r="M754" s="16" t="n"/>
      <c r="N754" s="16" t="n"/>
      <c r="O754" s="18" t="n"/>
      <c r="P754" s="18" t="n"/>
      <c r="Q754" s="16" t="n"/>
    </row>
    <row r="755">
      <c r="E755" s="15" t="n"/>
      <c r="F755" s="15" t="n"/>
      <c r="G755" s="15" t="n"/>
      <c r="H755" s="16" t="n"/>
      <c r="I755" s="16" t="n"/>
      <c r="J755" s="17" t="n"/>
      <c r="K755" s="17" t="n"/>
      <c r="L755" s="17" t="n"/>
      <c r="M755" s="16" t="n"/>
      <c r="N755" s="16" t="n"/>
      <c r="O755" s="18" t="n"/>
      <c r="P755" s="18" t="n"/>
      <c r="Q755" s="16" t="n"/>
    </row>
    <row r="756">
      <c r="E756" s="15" t="n"/>
      <c r="F756" s="15" t="n"/>
      <c r="G756" s="15" t="n"/>
      <c r="H756" s="16" t="n"/>
      <c r="I756" s="16" t="n"/>
      <c r="J756" s="17" t="n"/>
      <c r="K756" s="17" t="n"/>
      <c r="L756" s="17" t="n"/>
      <c r="M756" s="16" t="n"/>
      <c r="N756" s="16" t="n"/>
      <c r="O756" s="18" t="n"/>
      <c r="P756" s="18" t="n"/>
      <c r="Q756" s="16" t="n"/>
    </row>
    <row r="757">
      <c r="E757" s="15" t="n"/>
      <c r="F757" s="15" t="n"/>
      <c r="G757" s="15" t="n"/>
      <c r="H757" s="16" t="n"/>
      <c r="I757" s="16" t="n"/>
      <c r="J757" s="17" t="n"/>
      <c r="K757" s="17" t="n"/>
      <c r="L757" s="17" t="n"/>
      <c r="M757" s="16" t="n"/>
      <c r="N757" s="16" t="n"/>
      <c r="O757" s="18" t="n"/>
      <c r="P757" s="18" t="n"/>
      <c r="Q757" s="16" t="n"/>
    </row>
    <row r="758">
      <c r="E758" s="15" t="n"/>
      <c r="F758" s="15" t="n"/>
      <c r="G758" s="15" t="n"/>
      <c r="H758" s="16" t="n"/>
      <c r="I758" s="16" t="n"/>
      <c r="J758" s="17" t="n"/>
      <c r="K758" s="17" t="n"/>
      <c r="L758" s="17" t="n"/>
      <c r="M758" s="16" t="n"/>
      <c r="N758" s="16" t="n"/>
      <c r="O758" s="18" t="n"/>
      <c r="P758" s="18" t="n"/>
      <c r="Q758" s="16" t="n"/>
    </row>
    <row r="759">
      <c r="E759" s="15" t="n"/>
      <c r="F759" s="15" t="n"/>
      <c r="G759" s="15" t="n"/>
      <c r="H759" s="16" t="n"/>
      <c r="I759" s="16" t="n"/>
      <c r="J759" s="17" t="n"/>
      <c r="K759" s="17" t="n"/>
      <c r="L759" s="17" t="n"/>
      <c r="M759" s="16" t="n"/>
      <c r="N759" s="16" t="n"/>
      <c r="O759" s="18" t="n"/>
      <c r="P759" s="18" t="n"/>
      <c r="Q759" s="16" t="n"/>
    </row>
    <row r="760">
      <c r="E760" s="15" t="n"/>
      <c r="F760" s="15" t="n"/>
      <c r="G760" s="15" t="n"/>
      <c r="H760" s="16" t="n"/>
      <c r="I760" s="16" t="n"/>
      <c r="J760" s="17" t="n"/>
      <c r="K760" s="17" t="n"/>
      <c r="L760" s="17" t="n"/>
      <c r="M760" s="16" t="n"/>
      <c r="N760" s="16" t="n"/>
      <c r="O760" s="18" t="n"/>
      <c r="P760" s="18" t="n"/>
      <c r="Q760" s="16" t="n"/>
    </row>
    <row r="761">
      <c r="E761" s="15" t="n"/>
      <c r="F761" s="15" t="n"/>
      <c r="G761" s="15" t="n"/>
      <c r="H761" s="16" t="n"/>
      <c r="I761" s="16" t="n"/>
      <c r="J761" s="17" t="n"/>
      <c r="K761" s="17" t="n"/>
      <c r="L761" s="17" t="n"/>
      <c r="M761" s="16" t="n"/>
      <c r="N761" s="16" t="n"/>
      <c r="O761" s="18" t="n"/>
      <c r="P761" s="18" t="n"/>
      <c r="Q761" s="16" t="n"/>
    </row>
    <row r="762">
      <c r="E762" s="15" t="n"/>
      <c r="F762" s="15" t="n"/>
      <c r="G762" s="15" t="n"/>
      <c r="H762" s="16" t="n"/>
      <c r="I762" s="16" t="n"/>
      <c r="J762" s="17" t="n"/>
      <c r="K762" s="17" t="n"/>
      <c r="L762" s="17" t="n"/>
      <c r="M762" s="16" t="n"/>
      <c r="N762" s="16" t="n"/>
      <c r="O762" s="18" t="n"/>
      <c r="P762" s="18" t="n"/>
      <c r="Q762" s="16" t="n"/>
    </row>
    <row r="763">
      <c r="E763" s="15" t="n"/>
      <c r="F763" s="15" t="n"/>
      <c r="G763" s="15" t="n"/>
      <c r="H763" s="16" t="n"/>
      <c r="I763" s="16" t="n"/>
      <c r="J763" s="17" t="n"/>
      <c r="K763" s="17" t="n"/>
      <c r="L763" s="17" t="n"/>
      <c r="M763" s="16" t="n"/>
      <c r="N763" s="16" t="n"/>
      <c r="O763" s="18" t="n"/>
      <c r="P763" s="18" t="n"/>
      <c r="Q763" s="16" t="n"/>
    </row>
    <row r="764">
      <c r="E764" s="15" t="n"/>
      <c r="F764" s="15" t="n"/>
      <c r="G764" s="15" t="n"/>
      <c r="H764" s="16" t="n"/>
      <c r="I764" s="16" t="n"/>
      <c r="J764" s="17" t="n"/>
      <c r="K764" s="17" t="n"/>
      <c r="L764" s="17" t="n"/>
      <c r="M764" s="16" t="n"/>
      <c r="N764" s="16" t="n"/>
      <c r="O764" s="18" t="n"/>
      <c r="P764" s="18" t="n"/>
      <c r="Q764" s="16" t="n"/>
    </row>
    <row r="765">
      <c r="E765" s="15" t="n"/>
      <c r="F765" s="15" t="n"/>
      <c r="G765" s="15" t="n"/>
      <c r="H765" s="16" t="n"/>
      <c r="I765" s="16" t="n"/>
      <c r="J765" s="17" t="n"/>
      <c r="K765" s="17" t="n"/>
      <c r="L765" s="17" t="n"/>
      <c r="M765" s="16" t="n"/>
      <c r="N765" s="16" t="n"/>
      <c r="O765" s="18" t="n"/>
      <c r="P765" s="18" t="n"/>
      <c r="Q765" s="16" t="n"/>
    </row>
    <row r="766">
      <c r="E766" s="15" t="n"/>
      <c r="F766" s="15" t="n"/>
      <c r="G766" s="15" t="n"/>
      <c r="H766" s="16" t="n"/>
      <c r="I766" s="16" t="n"/>
      <c r="J766" s="17" t="n"/>
      <c r="K766" s="17" t="n"/>
      <c r="L766" s="17" t="n"/>
      <c r="M766" s="16" t="n"/>
      <c r="N766" s="16" t="n"/>
      <c r="O766" s="18" t="n"/>
      <c r="P766" s="18" t="n"/>
      <c r="Q766" s="16" t="n"/>
    </row>
    <row r="767">
      <c r="E767" s="15" t="n"/>
      <c r="F767" s="15" t="n"/>
      <c r="G767" s="15" t="n"/>
      <c r="H767" s="16" t="n"/>
      <c r="I767" s="16" t="n"/>
      <c r="J767" s="17" t="n"/>
      <c r="K767" s="17" t="n"/>
      <c r="L767" s="17" t="n"/>
      <c r="M767" s="16" t="n"/>
      <c r="N767" s="16" t="n"/>
      <c r="O767" s="18" t="n"/>
      <c r="P767" s="18" t="n"/>
      <c r="Q767" s="16" t="n"/>
    </row>
    <row r="768">
      <c r="E768" s="15" t="n"/>
      <c r="F768" s="15" t="n"/>
      <c r="G768" s="15" t="n"/>
      <c r="H768" s="16" t="n"/>
      <c r="I768" s="16" t="n"/>
      <c r="J768" s="17" t="n"/>
      <c r="K768" s="17" t="n"/>
      <c r="L768" s="17" t="n"/>
      <c r="M768" s="16" t="n"/>
      <c r="N768" s="16" t="n"/>
      <c r="O768" s="18" t="n"/>
      <c r="P768" s="18" t="n"/>
      <c r="Q768" s="16" t="n"/>
    </row>
    <row r="769">
      <c r="E769" s="15" t="n"/>
      <c r="F769" s="15" t="n"/>
      <c r="G769" s="15" t="n"/>
      <c r="H769" s="16" t="n"/>
      <c r="I769" s="16" t="n"/>
      <c r="J769" s="17" t="n"/>
      <c r="K769" s="17" t="n"/>
      <c r="L769" s="17" t="n"/>
      <c r="M769" s="16" t="n"/>
      <c r="N769" s="16" t="n"/>
      <c r="O769" s="18" t="n"/>
      <c r="P769" s="18" t="n"/>
      <c r="Q769" s="16" t="n"/>
    </row>
    <row r="770">
      <c r="E770" s="15" t="n"/>
      <c r="F770" s="15" t="n"/>
      <c r="G770" s="15" t="n"/>
      <c r="H770" s="16" t="n"/>
      <c r="I770" s="16" t="n"/>
      <c r="J770" s="17" t="n"/>
      <c r="K770" s="17" t="n"/>
      <c r="L770" s="17" t="n"/>
      <c r="M770" s="16" t="n"/>
      <c r="N770" s="16" t="n"/>
      <c r="O770" s="18" t="n"/>
      <c r="P770" s="18" t="n"/>
      <c r="Q770" s="16" t="n"/>
    </row>
    <row r="771">
      <c r="E771" s="15" t="n"/>
      <c r="F771" s="15" t="n"/>
      <c r="G771" s="15" t="n"/>
      <c r="H771" s="16" t="n"/>
      <c r="I771" s="16" t="n"/>
      <c r="J771" s="17" t="n"/>
      <c r="K771" s="17" t="n"/>
      <c r="L771" s="17" t="n"/>
      <c r="M771" s="16" t="n"/>
      <c r="N771" s="16" t="n"/>
      <c r="O771" s="18" t="n"/>
      <c r="P771" s="18" t="n"/>
      <c r="Q771" s="16" t="n"/>
    </row>
    <row r="772">
      <c r="E772" s="15" t="n"/>
      <c r="F772" s="15" t="n"/>
      <c r="G772" s="15" t="n"/>
      <c r="H772" s="16" t="n"/>
      <c r="I772" s="16" t="n"/>
      <c r="J772" s="17" t="n"/>
      <c r="K772" s="17" t="n"/>
      <c r="L772" s="17" t="n"/>
      <c r="M772" s="16" t="n"/>
      <c r="N772" s="16" t="n"/>
      <c r="O772" s="18" t="n"/>
      <c r="P772" s="18" t="n"/>
      <c r="Q772" s="16" t="n"/>
    </row>
    <row r="773">
      <c r="E773" s="15" t="n"/>
      <c r="F773" s="15" t="n"/>
      <c r="G773" s="15" t="n"/>
      <c r="H773" s="16" t="n"/>
      <c r="I773" s="16" t="n"/>
      <c r="J773" s="17" t="n"/>
      <c r="K773" s="17" t="n"/>
      <c r="L773" s="17" t="n"/>
      <c r="M773" s="16" t="n"/>
      <c r="N773" s="16" t="n"/>
      <c r="O773" s="18" t="n"/>
      <c r="P773" s="18" t="n"/>
      <c r="Q773" s="16" t="n"/>
    </row>
    <row r="774">
      <c r="E774" s="15" t="n"/>
      <c r="F774" s="15" t="n"/>
      <c r="G774" s="15" t="n"/>
      <c r="H774" s="16" t="n"/>
      <c r="I774" s="16" t="n"/>
      <c r="J774" s="17" t="n"/>
      <c r="K774" s="17" t="n"/>
      <c r="L774" s="17" t="n"/>
      <c r="M774" s="16" t="n"/>
      <c r="N774" s="16" t="n"/>
      <c r="O774" s="18" t="n"/>
      <c r="P774" s="18" t="n"/>
      <c r="Q774" s="16" t="n"/>
    </row>
    <row r="775">
      <c r="E775" s="15" t="n"/>
      <c r="F775" s="15" t="n"/>
      <c r="G775" s="15" t="n"/>
      <c r="H775" s="16" t="n"/>
      <c r="I775" s="16" t="n"/>
      <c r="J775" s="17" t="n"/>
      <c r="K775" s="17" t="n"/>
      <c r="L775" s="17" t="n"/>
      <c r="M775" s="16" t="n"/>
      <c r="N775" s="16" t="n"/>
      <c r="O775" s="18" t="n"/>
      <c r="P775" s="18" t="n"/>
      <c r="Q775" s="16" t="n"/>
    </row>
    <row r="776">
      <c r="E776" s="15" t="n"/>
      <c r="F776" s="15" t="n"/>
      <c r="G776" s="15" t="n"/>
      <c r="H776" s="16" t="n"/>
      <c r="I776" s="16" t="n"/>
      <c r="J776" s="17" t="n"/>
      <c r="K776" s="17" t="n"/>
      <c r="L776" s="17" t="n"/>
      <c r="M776" s="16" t="n"/>
      <c r="N776" s="16" t="n"/>
      <c r="O776" s="18" t="n"/>
      <c r="P776" s="18" t="n"/>
      <c r="Q776" s="16" t="n"/>
    </row>
    <row r="777">
      <c r="E777" s="15" t="n"/>
      <c r="F777" s="15" t="n"/>
      <c r="G777" s="15" t="n"/>
      <c r="H777" s="16" t="n"/>
      <c r="I777" s="16" t="n"/>
      <c r="J777" s="17" t="n"/>
      <c r="K777" s="17" t="n"/>
      <c r="L777" s="17" t="n"/>
      <c r="M777" s="16" t="n"/>
      <c r="N777" s="16" t="n"/>
      <c r="O777" s="18" t="n"/>
      <c r="P777" s="18" t="n"/>
      <c r="Q777" s="16" t="n"/>
    </row>
    <row r="778">
      <c r="E778" s="15" t="n"/>
      <c r="F778" s="15" t="n"/>
      <c r="G778" s="15" t="n"/>
      <c r="H778" s="16" t="n"/>
      <c r="I778" s="16" t="n"/>
      <c r="J778" s="17" t="n"/>
      <c r="K778" s="17" t="n"/>
      <c r="L778" s="17" t="n"/>
      <c r="M778" s="16" t="n"/>
      <c r="N778" s="16" t="n"/>
      <c r="O778" s="18" t="n"/>
      <c r="P778" s="18" t="n"/>
      <c r="Q778" s="16" t="n"/>
    </row>
    <row r="779">
      <c r="E779" s="15" t="n"/>
      <c r="F779" s="15" t="n"/>
      <c r="G779" s="15" t="n"/>
      <c r="H779" s="16" t="n"/>
      <c r="I779" s="16" t="n"/>
      <c r="J779" s="17" t="n"/>
      <c r="K779" s="17" t="n"/>
      <c r="L779" s="17" t="n"/>
      <c r="M779" s="16" t="n"/>
      <c r="N779" s="16" t="n"/>
      <c r="O779" s="18" t="n"/>
      <c r="P779" s="18" t="n"/>
      <c r="Q779" s="16" t="n"/>
    </row>
    <row r="780">
      <c r="E780" s="15" t="n"/>
      <c r="F780" s="15" t="n"/>
      <c r="G780" s="15" t="n"/>
      <c r="H780" s="16" t="n"/>
      <c r="I780" s="16" t="n"/>
      <c r="J780" s="17" t="n"/>
      <c r="K780" s="17" t="n"/>
      <c r="L780" s="17" t="n"/>
      <c r="M780" s="16" t="n"/>
      <c r="N780" s="16" t="n"/>
      <c r="O780" s="18" t="n"/>
      <c r="P780" s="18" t="n"/>
      <c r="Q780" s="16" t="n"/>
    </row>
    <row r="781">
      <c r="E781" s="15" t="n"/>
      <c r="F781" s="15" t="n"/>
      <c r="G781" s="15" t="n"/>
      <c r="H781" s="16" t="n"/>
      <c r="I781" s="16" t="n"/>
      <c r="J781" s="17" t="n"/>
      <c r="K781" s="17" t="n"/>
      <c r="L781" s="17" t="n"/>
      <c r="M781" s="16" t="n"/>
      <c r="N781" s="16" t="n"/>
      <c r="O781" s="18" t="n"/>
      <c r="P781" s="18" t="n"/>
      <c r="Q781" s="16" t="n"/>
    </row>
    <row r="782">
      <c r="E782" s="15" t="n"/>
      <c r="F782" s="15" t="n"/>
      <c r="G782" s="15" t="n"/>
      <c r="H782" s="16" t="n"/>
      <c r="I782" s="16" t="n"/>
      <c r="J782" s="17" t="n"/>
      <c r="K782" s="17" t="n"/>
      <c r="L782" s="17" t="n"/>
      <c r="M782" s="16" t="n"/>
      <c r="N782" s="16" t="n"/>
      <c r="O782" s="18" t="n"/>
      <c r="P782" s="18" t="n"/>
      <c r="Q782" s="16" t="n"/>
    </row>
    <row r="783">
      <c r="E783" s="15" t="n"/>
      <c r="F783" s="15" t="n"/>
      <c r="G783" s="15" t="n"/>
      <c r="H783" s="16" t="n"/>
      <c r="I783" s="16" t="n"/>
      <c r="J783" s="17" t="n"/>
      <c r="K783" s="17" t="n"/>
      <c r="L783" s="17" t="n"/>
      <c r="M783" s="16" t="n"/>
      <c r="N783" s="16" t="n"/>
      <c r="O783" s="18" t="n"/>
      <c r="P783" s="18" t="n"/>
      <c r="Q783" s="16" t="n"/>
    </row>
    <row r="784">
      <c r="E784" s="15" t="n"/>
      <c r="F784" s="15" t="n"/>
      <c r="G784" s="15" t="n"/>
      <c r="H784" s="16" t="n"/>
      <c r="I784" s="16" t="n"/>
      <c r="J784" s="17" t="n"/>
      <c r="K784" s="17" t="n"/>
      <c r="L784" s="17" t="n"/>
      <c r="M784" s="16" t="n"/>
      <c r="N784" s="16" t="n"/>
      <c r="O784" s="18" t="n"/>
      <c r="P784" s="18" t="n"/>
      <c r="Q784" s="16" t="n"/>
    </row>
    <row r="785">
      <c r="E785" s="15" t="n"/>
      <c r="F785" s="15" t="n"/>
      <c r="G785" s="15" t="n"/>
      <c r="H785" s="16" t="n"/>
      <c r="I785" s="16" t="n"/>
      <c r="J785" s="17" t="n"/>
      <c r="K785" s="17" t="n"/>
      <c r="L785" s="17" t="n"/>
      <c r="M785" s="16" t="n"/>
      <c r="N785" s="16" t="n"/>
      <c r="O785" s="18" t="n"/>
      <c r="P785" s="18" t="n"/>
      <c r="Q785" s="16" t="n"/>
    </row>
    <row r="786">
      <c r="E786" s="15" t="n"/>
      <c r="F786" s="15" t="n"/>
      <c r="G786" s="15" t="n"/>
      <c r="H786" s="16" t="n"/>
      <c r="I786" s="16" t="n"/>
      <c r="J786" s="17" t="n"/>
      <c r="K786" s="17" t="n"/>
      <c r="L786" s="17" t="n"/>
      <c r="M786" s="16" t="n"/>
      <c r="N786" s="16" t="n"/>
      <c r="O786" s="18" t="n"/>
      <c r="P786" s="18" t="n"/>
      <c r="Q786" s="16" t="n"/>
    </row>
    <row r="787">
      <c r="E787" s="15" t="n"/>
      <c r="F787" s="15" t="n"/>
      <c r="G787" s="15" t="n"/>
      <c r="H787" s="16" t="n"/>
      <c r="I787" s="16" t="n"/>
      <c r="J787" s="17" t="n"/>
      <c r="K787" s="17" t="n"/>
      <c r="L787" s="17" t="n"/>
      <c r="M787" s="16" t="n"/>
      <c r="N787" s="16" t="n"/>
      <c r="O787" s="18" t="n"/>
      <c r="P787" s="18" t="n"/>
      <c r="Q787" s="16" t="n"/>
    </row>
    <row r="788">
      <c r="E788" s="15" t="n"/>
      <c r="F788" s="15" t="n"/>
      <c r="G788" s="15" t="n"/>
      <c r="H788" s="16" t="n"/>
      <c r="I788" s="16" t="n"/>
      <c r="J788" s="17" t="n"/>
      <c r="K788" s="17" t="n"/>
      <c r="L788" s="17" t="n"/>
      <c r="M788" s="16" t="n"/>
      <c r="N788" s="16" t="n"/>
      <c r="O788" s="18" t="n"/>
      <c r="P788" s="18" t="n"/>
      <c r="Q788" s="16" t="n"/>
    </row>
    <row r="789">
      <c r="E789" s="15" t="n"/>
      <c r="F789" s="15" t="n"/>
      <c r="G789" s="15" t="n"/>
      <c r="H789" s="16" t="n"/>
      <c r="I789" s="16" t="n"/>
      <c r="J789" s="17" t="n"/>
      <c r="K789" s="17" t="n"/>
      <c r="L789" s="17" t="n"/>
      <c r="M789" s="16" t="n"/>
      <c r="N789" s="16" t="n"/>
      <c r="O789" s="18" t="n"/>
      <c r="P789" s="18" t="n"/>
      <c r="Q789" s="16" t="n"/>
    </row>
    <row r="790">
      <c r="E790" s="15" t="n"/>
      <c r="F790" s="15" t="n"/>
      <c r="G790" s="15" t="n"/>
      <c r="H790" s="16" t="n"/>
      <c r="I790" s="16" t="n"/>
      <c r="J790" s="17" t="n"/>
      <c r="K790" s="17" t="n"/>
      <c r="L790" s="17" t="n"/>
      <c r="M790" s="16" t="n"/>
      <c r="N790" s="16" t="n"/>
      <c r="O790" s="18" t="n"/>
      <c r="P790" s="18" t="n"/>
      <c r="Q790" s="16" t="n"/>
    </row>
    <row r="791">
      <c r="E791" s="15" t="n"/>
      <c r="F791" s="15" t="n"/>
      <c r="G791" s="15" t="n"/>
      <c r="H791" s="16" t="n"/>
      <c r="I791" s="16" t="n"/>
      <c r="J791" s="17" t="n"/>
      <c r="K791" s="17" t="n"/>
      <c r="L791" s="17" t="n"/>
      <c r="M791" s="16" t="n"/>
      <c r="N791" s="16" t="n"/>
      <c r="O791" s="18" t="n"/>
      <c r="P791" s="18" t="n"/>
      <c r="Q791" s="16" t="n"/>
    </row>
    <row r="792">
      <c r="E792" s="15" t="n"/>
      <c r="F792" s="15" t="n"/>
      <c r="G792" s="15" t="n"/>
      <c r="H792" s="16" t="n"/>
      <c r="I792" s="16" t="n"/>
      <c r="J792" s="17" t="n"/>
      <c r="K792" s="17" t="n"/>
      <c r="L792" s="17" t="n"/>
      <c r="M792" s="16" t="n"/>
      <c r="N792" s="16" t="n"/>
      <c r="O792" s="18" t="n"/>
      <c r="P792" s="18" t="n"/>
      <c r="Q792" s="16" t="n"/>
    </row>
    <row r="793">
      <c r="E793" s="15" t="n"/>
      <c r="F793" s="15" t="n"/>
      <c r="G793" s="15" t="n"/>
      <c r="H793" s="16" t="n"/>
      <c r="I793" s="16" t="n"/>
      <c r="J793" s="17" t="n"/>
      <c r="K793" s="17" t="n"/>
      <c r="L793" s="17" t="n"/>
      <c r="M793" s="16" t="n"/>
      <c r="N793" s="16" t="n"/>
      <c r="O793" s="18" t="n"/>
      <c r="P793" s="18" t="n"/>
      <c r="Q793" s="16" t="n"/>
    </row>
    <row r="794">
      <c r="E794" s="15" t="n"/>
      <c r="F794" s="15" t="n"/>
      <c r="G794" s="15" t="n"/>
      <c r="H794" s="16" t="n"/>
      <c r="I794" s="16" t="n"/>
      <c r="J794" s="17" t="n"/>
      <c r="K794" s="17" t="n"/>
      <c r="L794" s="17" t="n"/>
      <c r="M794" s="16" t="n"/>
      <c r="N794" s="16" t="n"/>
      <c r="O794" s="18" t="n"/>
      <c r="P794" s="18" t="n"/>
      <c r="Q794" s="16" t="n"/>
    </row>
    <row r="795">
      <c r="E795" s="15" t="n"/>
      <c r="F795" s="15" t="n"/>
      <c r="G795" s="15" t="n"/>
      <c r="H795" s="16" t="n"/>
      <c r="I795" s="16" t="n"/>
      <c r="J795" s="17" t="n"/>
      <c r="K795" s="17" t="n"/>
      <c r="L795" s="17" t="n"/>
      <c r="M795" s="16" t="n"/>
      <c r="N795" s="16" t="n"/>
      <c r="O795" s="18" t="n"/>
      <c r="P795" s="18" t="n"/>
      <c r="Q795" s="16" t="n"/>
    </row>
    <row r="796">
      <c r="E796" s="15" t="n"/>
      <c r="F796" s="15" t="n"/>
      <c r="G796" s="15" t="n"/>
      <c r="H796" s="16" t="n"/>
      <c r="I796" s="16" t="n"/>
      <c r="J796" s="17" t="n"/>
      <c r="K796" s="17" t="n"/>
      <c r="L796" s="17" t="n"/>
      <c r="M796" s="16" t="n"/>
      <c r="N796" s="16" t="n"/>
      <c r="O796" s="18" t="n"/>
      <c r="P796" s="18" t="n"/>
      <c r="Q796" s="16" t="n"/>
    </row>
    <row r="797">
      <c r="E797" s="15" t="n"/>
      <c r="F797" s="15" t="n"/>
      <c r="G797" s="15" t="n"/>
      <c r="H797" s="16" t="n"/>
      <c r="I797" s="16" t="n"/>
      <c r="J797" s="17" t="n"/>
      <c r="K797" s="17" t="n"/>
      <c r="L797" s="17" t="n"/>
      <c r="M797" s="16" t="n"/>
      <c r="N797" s="16" t="n"/>
      <c r="O797" s="18" t="n"/>
      <c r="P797" s="18" t="n"/>
      <c r="Q797" s="16" t="n"/>
    </row>
    <row r="798">
      <c r="E798" s="15" t="n"/>
      <c r="F798" s="15" t="n"/>
      <c r="G798" s="15" t="n"/>
      <c r="H798" s="16" t="n"/>
      <c r="I798" s="16" t="n"/>
      <c r="J798" s="17" t="n"/>
      <c r="K798" s="17" t="n"/>
      <c r="L798" s="17" t="n"/>
      <c r="M798" s="16" t="n"/>
      <c r="N798" s="16" t="n"/>
      <c r="O798" s="18" t="n"/>
      <c r="P798" s="18" t="n"/>
      <c r="Q798" s="16" t="n"/>
    </row>
    <row r="799">
      <c r="E799" s="15" t="n"/>
      <c r="F799" s="15" t="n"/>
      <c r="G799" s="15" t="n"/>
      <c r="H799" s="16" t="n"/>
      <c r="I799" s="16" t="n"/>
      <c r="J799" s="17" t="n"/>
      <c r="K799" s="17" t="n"/>
      <c r="L799" s="17" t="n"/>
      <c r="M799" s="16" t="n"/>
      <c r="N799" s="16" t="n"/>
      <c r="O799" s="18" t="n"/>
      <c r="P799" s="18" t="n"/>
      <c r="Q799" s="16" t="n"/>
    </row>
    <row r="800">
      <c r="E800" s="15" t="n"/>
      <c r="F800" s="15" t="n"/>
      <c r="G800" s="15" t="n"/>
      <c r="H800" s="16" t="n"/>
      <c r="I800" s="16" t="n"/>
      <c r="J800" s="17" t="n"/>
      <c r="K800" s="17" t="n"/>
      <c r="L800" s="17" t="n"/>
      <c r="M800" s="16" t="n"/>
      <c r="N800" s="16" t="n"/>
      <c r="O800" s="18" t="n"/>
      <c r="P800" s="18" t="n"/>
      <c r="Q800" s="16" t="n"/>
    </row>
    <row r="801">
      <c r="E801" s="15" t="n"/>
      <c r="F801" s="15" t="n"/>
      <c r="G801" s="15" t="n"/>
      <c r="H801" s="16" t="n"/>
      <c r="I801" s="16" t="n"/>
      <c r="J801" s="17" t="n"/>
      <c r="K801" s="17" t="n"/>
      <c r="L801" s="17" t="n"/>
      <c r="M801" s="16" t="n"/>
      <c r="N801" s="16" t="n"/>
      <c r="O801" s="18" t="n"/>
      <c r="P801" s="18" t="n"/>
      <c r="Q801" s="16" t="n"/>
    </row>
    <row r="802">
      <c r="E802" s="15" t="n"/>
      <c r="F802" s="15" t="n"/>
      <c r="G802" s="15" t="n"/>
      <c r="H802" s="16" t="n"/>
      <c r="I802" s="16" t="n"/>
      <c r="J802" s="17" t="n"/>
      <c r="K802" s="17" t="n"/>
      <c r="L802" s="17" t="n"/>
      <c r="M802" s="16" t="n"/>
      <c r="N802" s="16" t="n"/>
      <c r="O802" s="18" t="n"/>
      <c r="P802" s="18" t="n"/>
      <c r="Q802" s="16" t="n"/>
    </row>
    <row r="803">
      <c r="E803" s="15" t="n"/>
      <c r="F803" s="15" t="n"/>
      <c r="G803" s="15" t="n"/>
      <c r="H803" s="16" t="n"/>
      <c r="I803" s="16" t="n"/>
      <c r="J803" s="17" t="n"/>
      <c r="K803" s="17" t="n"/>
      <c r="L803" s="17" t="n"/>
      <c r="M803" s="16" t="n"/>
      <c r="N803" s="16" t="n"/>
      <c r="O803" s="18" t="n"/>
      <c r="P803" s="18" t="n"/>
      <c r="Q803" s="16" t="n"/>
    </row>
    <row r="804">
      <c r="E804" s="15" t="n"/>
      <c r="F804" s="15" t="n"/>
      <c r="G804" s="15" t="n"/>
      <c r="H804" s="16" t="n"/>
      <c r="I804" s="16" t="n"/>
      <c r="J804" s="17" t="n"/>
      <c r="K804" s="17" t="n"/>
      <c r="L804" s="17" t="n"/>
      <c r="M804" s="16" t="n"/>
      <c r="N804" s="16" t="n"/>
      <c r="O804" s="18" t="n"/>
      <c r="P804" s="18" t="n"/>
      <c r="Q804" s="16" t="n"/>
    </row>
    <row r="805">
      <c r="E805" s="15" t="n"/>
      <c r="F805" s="15" t="n"/>
      <c r="G805" s="15" t="n"/>
      <c r="H805" s="16" t="n"/>
      <c r="I805" s="16" t="n"/>
      <c r="J805" s="17" t="n"/>
      <c r="K805" s="17" t="n"/>
      <c r="L805" s="17" t="n"/>
      <c r="M805" s="16" t="n"/>
      <c r="N805" s="16" t="n"/>
      <c r="O805" s="18" t="n"/>
      <c r="P805" s="18" t="n"/>
      <c r="Q805" s="16" t="n"/>
    </row>
    <row r="806">
      <c r="E806" s="15" t="n"/>
      <c r="F806" s="15" t="n"/>
      <c r="G806" s="15" t="n"/>
      <c r="H806" s="16" t="n"/>
      <c r="I806" s="16" t="n"/>
      <c r="J806" s="17" t="n"/>
      <c r="K806" s="17" t="n"/>
      <c r="L806" s="17" t="n"/>
      <c r="M806" s="16" t="n"/>
      <c r="N806" s="16" t="n"/>
      <c r="O806" s="18" t="n"/>
      <c r="P806" s="18" t="n"/>
      <c r="Q806" s="16" t="n"/>
    </row>
    <row r="807">
      <c r="E807" s="15" t="n"/>
      <c r="F807" s="15" t="n"/>
      <c r="G807" s="15" t="n"/>
      <c r="H807" s="16" t="n"/>
      <c r="I807" s="16" t="n"/>
      <c r="J807" s="17" t="n"/>
      <c r="K807" s="17" t="n"/>
      <c r="L807" s="17" t="n"/>
      <c r="M807" s="16" t="n"/>
      <c r="N807" s="16" t="n"/>
      <c r="O807" s="18" t="n"/>
      <c r="P807" s="18" t="n"/>
      <c r="Q807" s="16" t="n"/>
    </row>
    <row r="808">
      <c r="E808" s="15" t="n"/>
      <c r="F808" s="15" t="n"/>
      <c r="G808" s="15" t="n"/>
      <c r="H808" s="16" t="n"/>
      <c r="I808" s="16" t="n"/>
      <c r="J808" s="17" t="n"/>
      <c r="K808" s="17" t="n"/>
      <c r="L808" s="17" t="n"/>
      <c r="M808" s="16" t="n"/>
      <c r="N808" s="16" t="n"/>
      <c r="O808" s="18" t="n"/>
      <c r="P808" s="18" t="n"/>
      <c r="Q808" s="16" t="n"/>
    </row>
    <row r="809">
      <c r="E809" s="15" t="n"/>
      <c r="F809" s="15" t="n"/>
      <c r="G809" s="15" t="n"/>
      <c r="H809" s="16" t="n"/>
      <c r="I809" s="16" t="n"/>
      <c r="J809" s="17" t="n"/>
      <c r="K809" s="17" t="n"/>
      <c r="L809" s="17" t="n"/>
      <c r="M809" s="16" t="n"/>
      <c r="N809" s="16" t="n"/>
      <c r="O809" s="18" t="n"/>
      <c r="P809" s="18" t="n"/>
      <c r="Q809" s="16" t="n"/>
    </row>
    <row r="810">
      <c r="E810" s="15" t="n"/>
      <c r="F810" s="15" t="n"/>
      <c r="G810" s="15" t="n"/>
      <c r="H810" s="16" t="n"/>
      <c r="I810" s="16" t="n"/>
      <c r="J810" s="17" t="n"/>
      <c r="K810" s="17" t="n"/>
      <c r="L810" s="17" t="n"/>
      <c r="M810" s="16" t="n"/>
      <c r="N810" s="16" t="n"/>
      <c r="O810" s="18" t="n"/>
      <c r="P810" s="18" t="n"/>
      <c r="Q810" s="16" t="n"/>
    </row>
    <row r="811">
      <c r="E811" s="15" t="n"/>
      <c r="F811" s="15" t="n"/>
      <c r="G811" s="15" t="n"/>
      <c r="H811" s="16" t="n"/>
      <c r="I811" s="16" t="n"/>
      <c r="J811" s="17" t="n"/>
      <c r="K811" s="17" t="n"/>
      <c r="L811" s="17" t="n"/>
      <c r="M811" s="16" t="n"/>
      <c r="N811" s="16" t="n"/>
      <c r="O811" s="18" t="n"/>
      <c r="P811" s="18" t="n"/>
      <c r="Q811" s="16" t="n"/>
    </row>
    <row r="812">
      <c r="E812" s="15" t="n"/>
      <c r="F812" s="15" t="n"/>
      <c r="G812" s="15" t="n"/>
      <c r="H812" s="16" t="n"/>
      <c r="I812" s="16" t="n"/>
      <c r="J812" s="17" t="n"/>
      <c r="K812" s="17" t="n"/>
      <c r="L812" s="17" t="n"/>
      <c r="M812" s="16" t="n"/>
      <c r="N812" s="16" t="n"/>
      <c r="O812" s="18" t="n"/>
      <c r="P812" s="18" t="n"/>
      <c r="Q812" s="16" t="n"/>
    </row>
    <row r="813">
      <c r="E813" s="15" t="n"/>
      <c r="F813" s="15" t="n"/>
      <c r="G813" s="15" t="n"/>
      <c r="H813" s="16" t="n"/>
      <c r="I813" s="16" t="n"/>
      <c r="J813" s="17" t="n"/>
      <c r="K813" s="17" t="n"/>
      <c r="L813" s="17" t="n"/>
      <c r="M813" s="16" t="n"/>
      <c r="N813" s="16" t="n"/>
      <c r="O813" s="18" t="n"/>
      <c r="P813" s="18" t="n"/>
      <c r="Q813" s="16" t="n"/>
    </row>
    <row r="814">
      <c r="E814" s="15" t="n"/>
      <c r="F814" s="15" t="n"/>
      <c r="G814" s="15" t="n"/>
      <c r="H814" s="16" t="n"/>
      <c r="I814" s="16" t="n"/>
      <c r="J814" s="17" t="n"/>
      <c r="K814" s="17" t="n"/>
      <c r="L814" s="17" t="n"/>
      <c r="M814" s="16" t="n"/>
      <c r="N814" s="16" t="n"/>
      <c r="O814" s="18" t="n"/>
      <c r="P814" s="18" t="n"/>
      <c r="Q814" s="16" t="n"/>
    </row>
    <row r="815">
      <c r="E815" s="15" t="n"/>
      <c r="F815" s="15" t="n"/>
      <c r="G815" s="15" t="n"/>
      <c r="H815" s="16" t="n"/>
      <c r="I815" s="16" t="n"/>
      <c r="J815" s="17" t="n"/>
      <c r="K815" s="17" t="n"/>
      <c r="L815" s="17" t="n"/>
      <c r="M815" s="16" t="n"/>
      <c r="N815" s="16" t="n"/>
      <c r="O815" s="18" t="n"/>
      <c r="P815" s="18" t="n"/>
      <c r="Q815" s="16" t="n"/>
    </row>
    <row r="816">
      <c r="E816" s="15" t="n"/>
      <c r="F816" s="15" t="n"/>
      <c r="G816" s="15" t="n"/>
      <c r="H816" s="16" t="n"/>
      <c r="I816" s="16" t="n"/>
      <c r="J816" s="17" t="n"/>
      <c r="K816" s="17" t="n"/>
      <c r="L816" s="17" t="n"/>
      <c r="M816" s="16" t="n"/>
      <c r="N816" s="16" t="n"/>
      <c r="O816" s="18" t="n"/>
      <c r="P816" s="18" t="n"/>
      <c r="Q816" s="16" t="n"/>
    </row>
    <row r="817">
      <c r="E817" s="15" t="n"/>
      <c r="F817" s="15" t="n"/>
      <c r="G817" s="15" t="n"/>
      <c r="H817" s="16" t="n"/>
      <c r="I817" s="16" t="n"/>
      <c r="J817" s="17" t="n"/>
      <c r="K817" s="17" t="n"/>
      <c r="L817" s="17" t="n"/>
      <c r="M817" s="16" t="n"/>
      <c r="N817" s="16" t="n"/>
      <c r="O817" s="18" t="n"/>
      <c r="P817" s="18" t="n"/>
      <c r="Q817" s="16" t="n"/>
    </row>
    <row r="818">
      <c r="E818" s="15" t="n"/>
      <c r="F818" s="15" t="n"/>
      <c r="G818" s="15" t="n"/>
      <c r="H818" s="16" t="n"/>
      <c r="I818" s="16" t="n"/>
      <c r="J818" s="17" t="n"/>
      <c r="K818" s="17" t="n"/>
      <c r="L818" s="17" t="n"/>
      <c r="M818" s="16" t="n"/>
      <c r="N818" s="16" t="n"/>
      <c r="O818" s="18" t="n"/>
      <c r="P818" s="18" t="n"/>
      <c r="Q818" s="16" t="n"/>
    </row>
    <row r="819">
      <c r="E819" s="15" t="n"/>
      <c r="F819" s="15" t="n"/>
      <c r="G819" s="15" t="n"/>
      <c r="H819" s="16" t="n"/>
      <c r="I819" s="16" t="n"/>
      <c r="J819" s="17" t="n"/>
      <c r="K819" s="17" t="n"/>
      <c r="L819" s="17" t="n"/>
      <c r="M819" s="16" t="n"/>
      <c r="N819" s="16" t="n"/>
      <c r="O819" s="18" t="n"/>
      <c r="P819" s="18" t="n"/>
      <c r="Q819" s="16" t="n"/>
    </row>
    <row r="820">
      <c r="E820" s="15" t="n"/>
      <c r="F820" s="15" t="n"/>
      <c r="G820" s="15" t="n"/>
      <c r="H820" s="16" t="n"/>
      <c r="I820" s="16" t="n"/>
      <c r="J820" s="17" t="n"/>
      <c r="K820" s="17" t="n"/>
      <c r="L820" s="17" t="n"/>
      <c r="M820" s="16" t="n"/>
      <c r="N820" s="16" t="n"/>
      <c r="O820" s="18" t="n"/>
      <c r="P820" s="18" t="n"/>
      <c r="Q820" s="16" t="n"/>
    </row>
    <row r="821">
      <c r="E821" s="15" t="n"/>
      <c r="F821" s="15" t="n"/>
      <c r="G821" s="15" t="n"/>
      <c r="H821" s="16" t="n"/>
      <c r="I821" s="16" t="n"/>
      <c r="J821" s="17" t="n"/>
      <c r="K821" s="17" t="n"/>
      <c r="L821" s="17" t="n"/>
      <c r="M821" s="16" t="n"/>
      <c r="N821" s="16" t="n"/>
      <c r="O821" s="18" t="n"/>
      <c r="P821" s="18" t="n"/>
      <c r="Q821" s="16" t="n"/>
    </row>
    <row r="822">
      <c r="E822" s="15" t="n"/>
      <c r="F822" s="15" t="n"/>
      <c r="G822" s="15" t="n"/>
      <c r="H822" s="16" t="n"/>
      <c r="I822" s="16" t="n"/>
      <c r="J822" s="17" t="n"/>
      <c r="K822" s="17" t="n"/>
      <c r="L822" s="17" t="n"/>
      <c r="M822" s="16" t="n"/>
      <c r="N822" s="16" t="n"/>
      <c r="O822" s="18" t="n"/>
      <c r="P822" s="18" t="n"/>
      <c r="Q822" s="16" t="n"/>
    </row>
    <row r="823">
      <c r="E823" s="15" t="n"/>
      <c r="F823" s="15" t="n"/>
      <c r="G823" s="15" t="n"/>
      <c r="H823" s="16" t="n"/>
      <c r="I823" s="16" t="n"/>
      <c r="J823" s="17" t="n"/>
      <c r="K823" s="17" t="n"/>
      <c r="L823" s="17" t="n"/>
      <c r="M823" s="16" t="n"/>
      <c r="N823" s="16" t="n"/>
      <c r="O823" s="18" t="n"/>
      <c r="P823" s="18" t="n"/>
      <c r="Q823" s="16" t="n"/>
    </row>
    <row r="824">
      <c r="E824" s="15" t="n"/>
      <c r="F824" s="15" t="n"/>
      <c r="G824" s="15" t="n"/>
      <c r="H824" s="16" t="n"/>
      <c r="I824" s="16" t="n"/>
      <c r="J824" s="17" t="n"/>
      <c r="K824" s="17" t="n"/>
      <c r="L824" s="17" t="n"/>
      <c r="M824" s="16" t="n"/>
      <c r="N824" s="16" t="n"/>
      <c r="O824" s="18" t="n"/>
      <c r="P824" s="18" t="n"/>
      <c r="Q824" s="16" t="n"/>
    </row>
    <row r="825">
      <c r="E825" s="15" t="n"/>
      <c r="F825" s="15" t="n"/>
      <c r="G825" s="15" t="n"/>
      <c r="H825" s="16" t="n"/>
      <c r="I825" s="16" t="n"/>
      <c r="J825" s="17" t="n"/>
      <c r="K825" s="17" t="n"/>
      <c r="L825" s="17" t="n"/>
      <c r="M825" s="16" t="n"/>
      <c r="N825" s="16" t="n"/>
      <c r="O825" s="18" t="n"/>
      <c r="P825" s="18" t="n"/>
      <c r="Q825" s="16" t="n"/>
    </row>
    <row r="826">
      <c r="E826" s="15" t="n"/>
      <c r="F826" s="15" t="n"/>
      <c r="G826" s="15" t="n"/>
      <c r="H826" s="16" t="n"/>
      <c r="I826" s="16" t="n"/>
      <c r="J826" s="17" t="n"/>
      <c r="K826" s="17" t="n"/>
      <c r="L826" s="17" t="n"/>
      <c r="M826" s="16" t="n"/>
      <c r="N826" s="16" t="n"/>
      <c r="O826" s="18" t="n"/>
      <c r="P826" s="18" t="n"/>
      <c r="Q826" s="16" t="n"/>
    </row>
    <row r="827">
      <c r="E827" s="15" t="n"/>
      <c r="F827" s="15" t="n"/>
      <c r="G827" s="15" t="n"/>
      <c r="H827" s="16" t="n"/>
      <c r="I827" s="16" t="n"/>
      <c r="J827" s="17" t="n"/>
      <c r="K827" s="17" t="n"/>
      <c r="L827" s="17" t="n"/>
      <c r="M827" s="16" t="n"/>
      <c r="N827" s="16" t="n"/>
      <c r="O827" s="18" t="n"/>
      <c r="P827" s="18" t="n"/>
      <c r="Q827" s="16" t="n"/>
    </row>
    <row r="828">
      <c r="E828" s="15" t="n"/>
      <c r="F828" s="15" t="n"/>
      <c r="G828" s="15" t="n"/>
      <c r="H828" s="16" t="n"/>
      <c r="I828" s="16" t="n"/>
      <c r="J828" s="17" t="n"/>
      <c r="K828" s="17" t="n"/>
      <c r="L828" s="17" t="n"/>
      <c r="M828" s="16" t="n"/>
      <c r="N828" s="16" t="n"/>
      <c r="O828" s="18" t="n"/>
      <c r="P828" s="18" t="n"/>
      <c r="Q828" s="16" t="n"/>
    </row>
    <row r="829">
      <c r="E829" s="15" t="n"/>
      <c r="F829" s="15" t="n"/>
      <c r="G829" s="15" t="n"/>
      <c r="H829" s="16" t="n"/>
      <c r="I829" s="16" t="n"/>
      <c r="J829" s="17" t="n"/>
      <c r="K829" s="17" t="n"/>
      <c r="L829" s="17" t="n"/>
      <c r="M829" s="16" t="n"/>
      <c r="N829" s="16" t="n"/>
      <c r="O829" s="18" t="n"/>
      <c r="P829" s="18" t="n"/>
      <c r="Q829" s="16" t="n"/>
    </row>
    <row r="830">
      <c r="E830" s="15" t="n"/>
      <c r="F830" s="15" t="n"/>
      <c r="G830" s="15" t="n"/>
      <c r="H830" s="16" t="n"/>
      <c r="I830" s="16" t="n"/>
      <c r="J830" s="17" t="n"/>
      <c r="K830" s="17" t="n"/>
      <c r="L830" s="17" t="n"/>
      <c r="M830" s="16" t="n"/>
      <c r="N830" s="16" t="n"/>
      <c r="O830" s="18" t="n"/>
      <c r="P830" s="18" t="n"/>
      <c r="Q830" s="16" t="n"/>
    </row>
    <row r="831">
      <c r="E831" s="15" t="n"/>
      <c r="F831" s="15" t="n"/>
      <c r="G831" s="15" t="n"/>
      <c r="H831" s="16" t="n"/>
      <c r="I831" s="16" t="n"/>
      <c r="J831" s="17" t="n"/>
      <c r="K831" s="17" t="n"/>
      <c r="L831" s="17" t="n"/>
      <c r="M831" s="16" t="n"/>
      <c r="N831" s="16" t="n"/>
      <c r="O831" s="18" t="n"/>
      <c r="P831" s="18" t="n"/>
      <c r="Q831" s="16" t="n"/>
    </row>
    <row r="832">
      <c r="E832" s="15" t="n"/>
      <c r="F832" s="15" t="n"/>
      <c r="G832" s="15" t="n"/>
      <c r="H832" s="16" t="n"/>
      <c r="I832" s="16" t="n"/>
      <c r="J832" s="17" t="n"/>
      <c r="K832" s="17" t="n"/>
      <c r="L832" s="17" t="n"/>
      <c r="M832" s="16" t="n"/>
      <c r="N832" s="16" t="n"/>
      <c r="O832" s="18" t="n"/>
      <c r="P832" s="18" t="n"/>
      <c r="Q832" s="16" t="n"/>
    </row>
    <row r="833">
      <c r="E833" s="15" t="n"/>
      <c r="F833" s="15" t="n"/>
      <c r="G833" s="15" t="n"/>
      <c r="H833" s="16" t="n"/>
      <c r="I833" s="16" t="n"/>
      <c r="J833" s="17" t="n"/>
      <c r="K833" s="17" t="n"/>
      <c r="L833" s="17" t="n"/>
      <c r="M833" s="16" t="n"/>
      <c r="N833" s="16" t="n"/>
      <c r="O833" s="18" t="n"/>
      <c r="P833" s="18" t="n"/>
      <c r="Q833" s="16" t="n"/>
    </row>
    <row r="834">
      <c r="E834" s="15" t="n"/>
      <c r="F834" s="15" t="n"/>
      <c r="G834" s="15" t="n"/>
      <c r="H834" s="16" t="n"/>
      <c r="I834" s="16" t="n"/>
      <c r="J834" s="17" t="n"/>
      <c r="K834" s="17" t="n"/>
      <c r="L834" s="17" t="n"/>
      <c r="M834" s="16" t="n"/>
      <c r="N834" s="16" t="n"/>
      <c r="O834" s="18" t="n"/>
      <c r="P834" s="18" t="n"/>
      <c r="Q834" s="16" t="n"/>
    </row>
    <row r="835">
      <c r="E835" s="15" t="n"/>
      <c r="F835" s="15" t="n"/>
      <c r="G835" s="15" t="n"/>
      <c r="H835" s="16" t="n"/>
      <c r="I835" s="16" t="n"/>
      <c r="J835" s="17" t="n"/>
      <c r="K835" s="17" t="n"/>
      <c r="L835" s="17" t="n"/>
      <c r="M835" s="16" t="n"/>
      <c r="N835" s="16" t="n"/>
      <c r="O835" s="18" t="n"/>
      <c r="P835" s="18" t="n"/>
      <c r="Q835" s="16" t="n"/>
    </row>
    <row r="836">
      <c r="E836" s="15" t="n"/>
      <c r="F836" s="15" t="n"/>
      <c r="G836" s="15" t="n"/>
      <c r="H836" s="16" t="n"/>
      <c r="I836" s="16" t="n"/>
      <c r="J836" s="17" t="n"/>
      <c r="K836" s="17" t="n"/>
      <c r="L836" s="17" t="n"/>
      <c r="M836" s="16" t="n"/>
      <c r="N836" s="16" t="n"/>
      <c r="O836" s="18" t="n"/>
      <c r="P836" s="18" t="n"/>
      <c r="Q836" s="16" t="n"/>
    </row>
    <row r="837">
      <c r="E837" s="15" t="n"/>
      <c r="F837" s="15" t="n"/>
      <c r="G837" s="15" t="n"/>
      <c r="H837" s="16" t="n"/>
      <c r="I837" s="16" t="n"/>
      <c r="J837" s="17" t="n"/>
      <c r="K837" s="17" t="n"/>
      <c r="L837" s="17" t="n"/>
      <c r="M837" s="16" t="n"/>
      <c r="N837" s="16" t="n"/>
      <c r="O837" s="18" t="n"/>
      <c r="P837" s="18" t="n"/>
      <c r="Q837" s="16" t="n"/>
    </row>
    <row r="838">
      <c r="E838" s="15" t="n"/>
      <c r="F838" s="15" t="n"/>
      <c r="G838" s="15" t="n"/>
      <c r="H838" s="16" t="n"/>
      <c r="I838" s="16" t="n"/>
      <c r="J838" s="17" t="n"/>
      <c r="K838" s="17" t="n"/>
      <c r="L838" s="17" t="n"/>
      <c r="M838" s="16" t="n"/>
      <c r="N838" s="16" t="n"/>
      <c r="O838" s="18" t="n"/>
      <c r="P838" s="18" t="n"/>
      <c r="Q838" s="16" t="n"/>
    </row>
    <row r="839">
      <c r="E839" s="15" t="n"/>
      <c r="F839" s="15" t="n"/>
      <c r="G839" s="15" t="n"/>
      <c r="H839" s="16" t="n"/>
      <c r="I839" s="16" t="n"/>
      <c r="J839" s="17" t="n"/>
      <c r="K839" s="17" t="n"/>
      <c r="L839" s="17" t="n"/>
      <c r="M839" s="16" t="n"/>
      <c r="N839" s="16" t="n"/>
      <c r="O839" s="18" t="n"/>
      <c r="P839" s="18" t="n"/>
      <c r="Q839" s="16" t="n"/>
    </row>
    <row r="840">
      <c r="E840" s="15" t="n"/>
      <c r="F840" s="15" t="n"/>
      <c r="G840" s="15" t="n"/>
      <c r="H840" s="16" t="n"/>
      <c r="I840" s="16" t="n"/>
      <c r="J840" s="17" t="n"/>
      <c r="K840" s="17" t="n"/>
      <c r="L840" s="17" t="n"/>
      <c r="M840" s="16" t="n"/>
      <c r="N840" s="16" t="n"/>
      <c r="O840" s="18" t="n"/>
      <c r="P840" s="18" t="n"/>
      <c r="Q840" s="16" t="n"/>
    </row>
    <row r="841">
      <c r="E841" s="15" t="n"/>
      <c r="F841" s="15" t="n"/>
      <c r="G841" s="15" t="n"/>
      <c r="H841" s="16" t="n"/>
      <c r="I841" s="16" t="n"/>
      <c r="J841" s="17" t="n"/>
      <c r="K841" s="17" t="n"/>
      <c r="L841" s="17" t="n"/>
      <c r="M841" s="16" t="n"/>
      <c r="N841" s="16" t="n"/>
      <c r="O841" s="18" t="n"/>
      <c r="P841" s="18" t="n"/>
      <c r="Q841" s="16" t="n"/>
    </row>
    <row r="842">
      <c r="E842" s="15" t="n"/>
      <c r="F842" s="15" t="n"/>
      <c r="G842" s="15" t="n"/>
      <c r="H842" s="16" t="n"/>
      <c r="I842" s="16" t="n"/>
      <c r="J842" s="17" t="n"/>
      <c r="K842" s="17" t="n"/>
      <c r="L842" s="17" t="n"/>
      <c r="M842" s="16" t="n"/>
      <c r="N842" s="16" t="n"/>
      <c r="O842" s="18" t="n"/>
      <c r="P842" s="18" t="n"/>
      <c r="Q842" s="16" t="n"/>
    </row>
    <row r="843">
      <c r="E843" s="15" t="n"/>
      <c r="F843" s="15" t="n"/>
      <c r="G843" s="15" t="n"/>
      <c r="H843" s="16" t="n"/>
      <c r="I843" s="16" t="n"/>
      <c r="J843" s="17" t="n"/>
      <c r="K843" s="17" t="n"/>
      <c r="L843" s="17" t="n"/>
      <c r="M843" s="16" t="n"/>
      <c r="N843" s="16" t="n"/>
      <c r="O843" s="18" t="n"/>
      <c r="P843" s="18" t="n"/>
      <c r="Q843" s="16" t="n"/>
    </row>
    <row r="844">
      <c r="E844" s="15" t="n"/>
      <c r="F844" s="15" t="n"/>
      <c r="G844" s="15" t="n"/>
      <c r="H844" s="16" t="n"/>
      <c r="I844" s="16" t="n"/>
      <c r="J844" s="17" t="n"/>
      <c r="K844" s="17" t="n"/>
      <c r="L844" s="17" t="n"/>
      <c r="M844" s="16" t="n"/>
      <c r="N844" s="16" t="n"/>
      <c r="O844" s="18" t="n"/>
      <c r="P844" s="18" t="n"/>
      <c r="Q844" s="16" t="n"/>
    </row>
    <row r="845">
      <c r="E845" s="15" t="n"/>
      <c r="F845" s="15" t="n"/>
      <c r="G845" s="15" t="n"/>
      <c r="H845" s="16" t="n"/>
      <c r="I845" s="16" t="n"/>
      <c r="J845" s="17" t="n"/>
      <c r="K845" s="17" t="n"/>
      <c r="L845" s="17" t="n"/>
      <c r="M845" s="16" t="n"/>
      <c r="N845" s="16" t="n"/>
      <c r="O845" s="18" t="n"/>
      <c r="P845" s="18" t="n"/>
      <c r="Q845" s="16" t="n"/>
    </row>
    <row r="846">
      <c r="E846" s="15" t="n"/>
      <c r="F846" s="15" t="n"/>
      <c r="G846" s="15" t="n"/>
      <c r="H846" s="16" t="n"/>
      <c r="I846" s="16" t="n"/>
      <c r="J846" s="17" t="n"/>
      <c r="K846" s="17" t="n"/>
      <c r="L846" s="17" t="n"/>
      <c r="M846" s="16" t="n"/>
      <c r="N846" s="16" t="n"/>
      <c r="O846" s="18" t="n"/>
      <c r="P846" s="18" t="n"/>
      <c r="Q846" s="16" t="n"/>
    </row>
    <row r="847">
      <c r="E847" s="15" t="n"/>
      <c r="F847" s="15" t="n"/>
      <c r="G847" s="15" t="n"/>
      <c r="H847" s="16" t="n"/>
      <c r="I847" s="16" t="n"/>
      <c r="J847" s="17" t="n"/>
      <c r="K847" s="17" t="n"/>
      <c r="L847" s="17" t="n"/>
      <c r="M847" s="16" t="n"/>
      <c r="N847" s="16" t="n"/>
      <c r="O847" s="18" t="n"/>
      <c r="P847" s="18" t="n"/>
      <c r="Q847" s="16" t="n"/>
    </row>
    <row r="848">
      <c r="E848" s="15" t="n"/>
      <c r="F848" s="15" t="n"/>
      <c r="G848" s="15" t="n"/>
      <c r="H848" s="16" t="n"/>
      <c r="I848" s="16" t="n"/>
      <c r="J848" s="17" t="n"/>
      <c r="K848" s="17" t="n"/>
      <c r="L848" s="17" t="n"/>
      <c r="M848" s="16" t="n"/>
      <c r="N848" s="16" t="n"/>
      <c r="O848" s="18" t="n"/>
      <c r="P848" s="18" t="n"/>
      <c r="Q848" s="16" t="n"/>
    </row>
    <row r="849">
      <c r="E849" s="15" t="n"/>
      <c r="F849" s="15" t="n"/>
      <c r="G849" s="15" t="n"/>
      <c r="H849" s="16" t="n"/>
      <c r="I849" s="16" t="n"/>
      <c r="J849" s="17" t="n"/>
      <c r="K849" s="17" t="n"/>
      <c r="L849" s="17" t="n"/>
      <c r="M849" s="16" t="n"/>
      <c r="N849" s="16" t="n"/>
      <c r="O849" s="18" t="n"/>
      <c r="P849" s="18" t="n"/>
      <c r="Q849" s="16" t="n"/>
    </row>
    <row r="850">
      <c r="E850" s="15" t="n"/>
      <c r="F850" s="15" t="n"/>
      <c r="G850" s="15" t="n"/>
      <c r="H850" s="16" t="n"/>
      <c r="I850" s="16" t="n"/>
      <c r="J850" s="17" t="n"/>
      <c r="K850" s="17" t="n"/>
      <c r="L850" s="17" t="n"/>
      <c r="M850" s="16" t="n"/>
      <c r="N850" s="16" t="n"/>
      <c r="O850" s="18" t="n"/>
      <c r="P850" s="18" t="n"/>
      <c r="Q850" s="16" t="n"/>
    </row>
    <row r="851">
      <c r="E851" s="15" t="n"/>
      <c r="F851" s="15" t="n"/>
      <c r="G851" s="15" t="n"/>
      <c r="H851" s="16" t="n"/>
      <c r="I851" s="16" t="n"/>
      <c r="J851" s="17" t="n"/>
      <c r="K851" s="17" t="n"/>
      <c r="L851" s="17" t="n"/>
      <c r="M851" s="16" t="n"/>
      <c r="N851" s="16" t="n"/>
      <c r="O851" s="18" t="n"/>
      <c r="P851" s="18" t="n"/>
      <c r="Q851" s="16" t="n"/>
    </row>
    <row r="852">
      <c r="E852" s="15" t="n"/>
      <c r="F852" s="15" t="n"/>
      <c r="G852" s="15" t="n"/>
      <c r="H852" s="16" t="n"/>
      <c r="I852" s="16" t="n"/>
      <c r="J852" s="17" t="n"/>
      <c r="K852" s="17" t="n"/>
      <c r="L852" s="17" t="n"/>
      <c r="M852" s="16" t="n"/>
      <c r="N852" s="16" t="n"/>
      <c r="O852" s="18" t="n"/>
      <c r="P852" s="18" t="n"/>
      <c r="Q852" s="16" t="n"/>
    </row>
    <row r="853">
      <c r="E853" s="15" t="n"/>
      <c r="F853" s="15" t="n"/>
      <c r="G853" s="15" t="n"/>
      <c r="H853" s="16" t="n"/>
      <c r="I853" s="16" t="n"/>
      <c r="J853" s="17" t="n"/>
      <c r="K853" s="17" t="n"/>
      <c r="L853" s="17" t="n"/>
      <c r="M853" s="16" t="n"/>
      <c r="N853" s="16" t="n"/>
      <c r="O853" s="18" t="n"/>
      <c r="P853" s="18" t="n"/>
      <c r="Q853" s="16" t="n"/>
    </row>
    <row r="854">
      <c r="E854" s="15" t="n"/>
      <c r="F854" s="15" t="n"/>
      <c r="G854" s="15" t="n"/>
      <c r="H854" s="16" t="n"/>
      <c r="I854" s="16" t="n"/>
      <c r="J854" s="17" t="n"/>
      <c r="K854" s="17" t="n"/>
      <c r="L854" s="17" t="n"/>
      <c r="M854" s="16" t="n"/>
      <c r="N854" s="16" t="n"/>
      <c r="O854" s="18" t="n"/>
      <c r="P854" s="18" t="n"/>
      <c r="Q854" s="16" t="n"/>
    </row>
    <row r="855">
      <c r="E855" s="15" t="n"/>
      <c r="F855" s="15" t="n"/>
      <c r="G855" s="15" t="n"/>
      <c r="H855" s="16" t="n"/>
      <c r="I855" s="16" t="n"/>
      <c r="J855" s="17" t="n"/>
      <c r="K855" s="17" t="n"/>
      <c r="L855" s="17" t="n"/>
      <c r="M855" s="16" t="n"/>
      <c r="N855" s="16" t="n"/>
      <c r="O855" s="18" t="n"/>
      <c r="P855" s="18" t="n"/>
      <c r="Q855" s="16" t="n"/>
    </row>
    <row r="856">
      <c r="E856" s="15" t="n"/>
      <c r="F856" s="15" t="n"/>
      <c r="G856" s="15" t="n"/>
      <c r="H856" s="16" t="n"/>
      <c r="I856" s="16" t="n"/>
      <c r="J856" s="17" t="n"/>
      <c r="K856" s="17" t="n"/>
      <c r="L856" s="17" t="n"/>
      <c r="M856" s="16" t="n"/>
      <c r="N856" s="16" t="n"/>
      <c r="O856" s="18" t="n"/>
      <c r="P856" s="18" t="n"/>
      <c r="Q856" s="16" t="n"/>
    </row>
    <row r="857">
      <c r="E857" s="15" t="n"/>
      <c r="F857" s="15" t="n"/>
      <c r="G857" s="15" t="n"/>
      <c r="H857" s="16" t="n"/>
      <c r="I857" s="16" t="n"/>
      <c r="J857" s="17" t="n"/>
      <c r="K857" s="17" t="n"/>
      <c r="L857" s="17" t="n"/>
      <c r="M857" s="16" t="n"/>
      <c r="N857" s="16" t="n"/>
      <c r="O857" s="18" t="n"/>
      <c r="P857" s="18" t="n"/>
      <c r="Q857" s="16" t="n"/>
    </row>
    <row r="858">
      <c r="E858" s="15" t="n"/>
      <c r="F858" s="15" t="n"/>
      <c r="G858" s="15" t="n"/>
      <c r="H858" s="16" t="n"/>
      <c r="I858" s="16" t="n"/>
      <c r="J858" s="17" t="n"/>
      <c r="K858" s="17" t="n"/>
      <c r="L858" s="17" t="n"/>
      <c r="M858" s="16" t="n"/>
      <c r="N858" s="16" t="n"/>
      <c r="O858" s="18" t="n"/>
      <c r="P858" s="18" t="n"/>
      <c r="Q858" s="16" t="n"/>
    </row>
    <row r="859">
      <c r="E859" s="15" t="n"/>
      <c r="F859" s="15" t="n"/>
      <c r="G859" s="15" t="n"/>
      <c r="H859" s="16" t="n"/>
      <c r="I859" s="16" t="n"/>
      <c r="J859" s="17" t="n"/>
      <c r="K859" s="17" t="n"/>
      <c r="L859" s="17" t="n"/>
      <c r="M859" s="16" t="n"/>
      <c r="N859" s="16" t="n"/>
      <c r="O859" s="18" t="n"/>
      <c r="P859" s="18" t="n"/>
      <c r="Q859" s="16" t="n"/>
    </row>
    <row r="860">
      <c r="E860" s="15" t="n"/>
      <c r="F860" s="15" t="n"/>
      <c r="G860" s="15" t="n"/>
      <c r="H860" s="16" t="n"/>
      <c r="I860" s="16" t="n"/>
      <c r="J860" s="17" t="n"/>
      <c r="K860" s="17" t="n"/>
      <c r="L860" s="17" t="n"/>
      <c r="M860" s="16" t="n"/>
      <c r="N860" s="16" t="n"/>
      <c r="O860" s="18" t="n"/>
      <c r="P860" s="18" t="n"/>
      <c r="Q860" s="16" t="n"/>
    </row>
    <row r="861">
      <c r="E861" s="15" t="n"/>
      <c r="F861" s="15" t="n"/>
      <c r="G861" s="15" t="n"/>
      <c r="H861" s="16" t="n"/>
      <c r="I861" s="16" t="n"/>
      <c r="J861" s="17" t="n"/>
      <c r="K861" s="17" t="n"/>
      <c r="L861" s="17" t="n"/>
      <c r="M861" s="16" t="n"/>
      <c r="N861" s="16" t="n"/>
      <c r="O861" s="18" t="n"/>
      <c r="P861" s="18" t="n"/>
      <c r="Q861" s="16" t="n"/>
    </row>
    <row r="862">
      <c r="E862" s="15" t="n"/>
      <c r="F862" s="15" t="n"/>
      <c r="G862" s="15" t="n"/>
      <c r="H862" s="16" t="n"/>
      <c r="I862" s="16" t="n"/>
      <c r="J862" s="17" t="n"/>
      <c r="K862" s="17" t="n"/>
      <c r="L862" s="17" t="n"/>
      <c r="M862" s="16" t="n"/>
      <c r="N862" s="16" t="n"/>
      <c r="O862" s="18" t="n"/>
      <c r="P862" s="18" t="n"/>
      <c r="Q862" s="16" t="n"/>
    </row>
    <row r="863">
      <c r="E863" s="15" t="n"/>
      <c r="F863" s="15" t="n"/>
      <c r="G863" s="15" t="n"/>
      <c r="H863" s="16" t="n"/>
      <c r="I863" s="16" t="n"/>
      <c r="J863" s="17" t="n"/>
      <c r="K863" s="17" t="n"/>
      <c r="L863" s="17" t="n"/>
      <c r="M863" s="16" t="n"/>
      <c r="N863" s="16" t="n"/>
      <c r="O863" s="18" t="n"/>
      <c r="P863" s="18" t="n"/>
      <c r="Q863" s="16" t="n"/>
    </row>
    <row r="864">
      <c r="E864" s="15" t="n"/>
      <c r="F864" s="15" t="n"/>
      <c r="G864" s="15" t="n"/>
      <c r="H864" s="16" t="n"/>
      <c r="I864" s="16" t="n"/>
      <c r="J864" s="17" t="n"/>
      <c r="K864" s="17" t="n"/>
      <c r="L864" s="17" t="n"/>
      <c r="M864" s="16" t="n"/>
      <c r="N864" s="16" t="n"/>
      <c r="O864" s="18" t="n"/>
      <c r="P864" s="18" t="n"/>
      <c r="Q864" s="16" t="n"/>
    </row>
    <row r="865">
      <c r="E865" s="15" t="n"/>
      <c r="F865" s="15" t="n"/>
      <c r="G865" s="15" t="n"/>
      <c r="H865" s="16" t="n"/>
      <c r="I865" s="16" t="n"/>
      <c r="J865" s="17" t="n"/>
      <c r="K865" s="17" t="n"/>
      <c r="L865" s="17" t="n"/>
      <c r="M865" s="16" t="n"/>
      <c r="N865" s="16" t="n"/>
      <c r="O865" s="18" t="n"/>
      <c r="P865" s="18" t="n"/>
      <c r="Q865" s="16" t="n"/>
    </row>
    <row r="866">
      <c r="E866" s="15" t="n"/>
      <c r="F866" s="15" t="n"/>
      <c r="G866" s="15" t="n"/>
      <c r="H866" s="16" t="n"/>
      <c r="I866" s="16" t="n"/>
      <c r="J866" s="17" t="n"/>
      <c r="K866" s="17" t="n"/>
      <c r="L866" s="17" t="n"/>
      <c r="M866" s="16" t="n"/>
      <c r="N866" s="16" t="n"/>
      <c r="O866" s="18" t="n"/>
      <c r="P866" s="18" t="n"/>
      <c r="Q866" s="16" t="n"/>
    </row>
    <row r="867">
      <c r="E867" s="15" t="n"/>
      <c r="F867" s="15" t="n"/>
      <c r="G867" s="15" t="n"/>
      <c r="H867" s="16" t="n"/>
      <c r="I867" s="16" t="n"/>
      <c r="J867" s="17" t="n"/>
      <c r="K867" s="17" t="n"/>
      <c r="L867" s="17" t="n"/>
      <c r="M867" s="16" t="n"/>
      <c r="N867" s="16" t="n"/>
      <c r="O867" s="18" t="n"/>
      <c r="P867" s="18" t="n"/>
      <c r="Q867" s="16" t="n"/>
    </row>
    <row r="868">
      <c r="E868" s="15" t="n"/>
      <c r="F868" s="15" t="n"/>
      <c r="G868" s="15" t="n"/>
      <c r="H868" s="16" t="n"/>
      <c r="I868" s="16" t="n"/>
      <c r="J868" s="17" t="n"/>
      <c r="K868" s="17" t="n"/>
      <c r="L868" s="17" t="n"/>
      <c r="M868" s="16" t="n"/>
      <c r="N868" s="16" t="n"/>
      <c r="O868" s="18" t="n"/>
      <c r="P868" s="18" t="n"/>
      <c r="Q868" s="16" t="n"/>
    </row>
    <row r="869">
      <c r="E869" s="15" t="n"/>
      <c r="F869" s="15" t="n"/>
      <c r="G869" s="15" t="n"/>
      <c r="H869" s="16" t="n"/>
      <c r="I869" s="16" t="n"/>
      <c r="J869" s="17" t="n"/>
      <c r="K869" s="17" t="n"/>
      <c r="L869" s="17" t="n"/>
      <c r="M869" s="16" t="n"/>
      <c r="N869" s="16" t="n"/>
      <c r="O869" s="18" t="n"/>
      <c r="P869" s="18" t="n"/>
      <c r="Q869" s="16" t="n"/>
    </row>
    <row r="870">
      <c r="E870" s="15" t="n"/>
      <c r="F870" s="15" t="n"/>
      <c r="G870" s="15" t="n"/>
      <c r="H870" s="16" t="n"/>
      <c r="I870" s="16" t="n"/>
      <c r="J870" s="17" t="n"/>
      <c r="K870" s="17" t="n"/>
      <c r="L870" s="17" t="n"/>
      <c r="M870" s="16" t="n"/>
      <c r="N870" s="16" t="n"/>
      <c r="O870" s="18" t="n"/>
      <c r="P870" s="18" t="n"/>
      <c r="Q870" s="16" t="n"/>
    </row>
    <row r="871">
      <c r="E871" s="15" t="n"/>
      <c r="F871" s="15" t="n"/>
      <c r="G871" s="15" t="n"/>
      <c r="H871" s="16" t="n"/>
      <c r="I871" s="16" t="n"/>
      <c r="J871" s="17" t="n"/>
      <c r="K871" s="17" t="n"/>
      <c r="L871" s="17" t="n"/>
      <c r="M871" s="16" t="n"/>
      <c r="N871" s="16" t="n"/>
      <c r="O871" s="18" t="n"/>
      <c r="P871" s="18" t="n"/>
      <c r="Q871" s="16" t="n"/>
    </row>
    <row r="872">
      <c r="E872" s="15" t="n"/>
      <c r="F872" s="15" t="n"/>
      <c r="G872" s="15" t="n"/>
      <c r="H872" s="16" t="n"/>
      <c r="I872" s="16" t="n"/>
      <c r="J872" s="17" t="n"/>
      <c r="K872" s="17" t="n"/>
      <c r="L872" s="17" t="n"/>
      <c r="M872" s="16" t="n"/>
      <c r="N872" s="16" t="n"/>
      <c r="O872" s="18" t="n"/>
      <c r="P872" s="18" t="n"/>
      <c r="Q872" s="16" t="n"/>
    </row>
    <row r="873">
      <c r="E873" s="15" t="n"/>
      <c r="F873" s="15" t="n"/>
      <c r="G873" s="15" t="n"/>
      <c r="H873" s="16" t="n"/>
      <c r="I873" s="16" t="n"/>
      <c r="J873" s="17" t="n"/>
      <c r="K873" s="17" t="n"/>
      <c r="L873" s="17" t="n"/>
      <c r="M873" s="16" t="n"/>
      <c r="N873" s="16" t="n"/>
      <c r="O873" s="18" t="n"/>
      <c r="P873" s="18" t="n"/>
      <c r="Q873" s="16" t="n"/>
    </row>
    <row r="874">
      <c r="E874" s="15" t="n"/>
      <c r="F874" s="15" t="n"/>
      <c r="G874" s="15" t="n"/>
      <c r="H874" s="16" t="n"/>
      <c r="I874" s="16" t="n"/>
      <c r="J874" s="17" t="n"/>
      <c r="K874" s="17" t="n"/>
      <c r="L874" s="17" t="n"/>
      <c r="M874" s="16" t="n"/>
      <c r="N874" s="16" t="n"/>
      <c r="O874" s="18" t="n"/>
      <c r="P874" s="18" t="n"/>
      <c r="Q874" s="16" t="n"/>
    </row>
    <row r="875">
      <c r="E875" s="15" t="n"/>
      <c r="F875" s="15" t="n"/>
      <c r="G875" s="15" t="n"/>
      <c r="H875" s="16" t="n"/>
      <c r="I875" s="16" t="n"/>
      <c r="J875" s="17" t="n"/>
      <c r="K875" s="17" t="n"/>
      <c r="L875" s="17" t="n"/>
      <c r="M875" s="16" t="n"/>
      <c r="N875" s="16" t="n"/>
      <c r="O875" s="18" t="n"/>
      <c r="P875" s="18" t="n"/>
      <c r="Q875" s="16" t="n"/>
    </row>
    <row r="876">
      <c r="E876" s="15" t="n"/>
      <c r="F876" s="15" t="n"/>
      <c r="G876" s="15" t="n"/>
      <c r="H876" s="16" t="n"/>
      <c r="I876" s="16" t="n"/>
      <c r="J876" s="17" t="n"/>
      <c r="K876" s="17" t="n"/>
      <c r="L876" s="17" t="n"/>
      <c r="M876" s="16" t="n"/>
      <c r="N876" s="16" t="n"/>
      <c r="O876" s="18" t="n"/>
      <c r="P876" s="18" t="n"/>
      <c r="Q876" s="16" t="n"/>
    </row>
    <row r="877">
      <c r="E877" s="15" t="n"/>
      <c r="F877" s="15" t="n"/>
      <c r="G877" s="15" t="n"/>
      <c r="H877" s="16" t="n"/>
      <c r="I877" s="16" t="n"/>
      <c r="J877" s="17" t="n"/>
      <c r="K877" s="17" t="n"/>
      <c r="L877" s="17" t="n"/>
      <c r="M877" s="16" t="n"/>
      <c r="N877" s="16" t="n"/>
      <c r="O877" s="18" t="n"/>
      <c r="P877" s="18" t="n"/>
      <c r="Q877" s="16" t="n"/>
    </row>
    <row r="878">
      <c r="E878" s="15" t="n"/>
      <c r="F878" s="15" t="n"/>
      <c r="G878" s="15" t="n"/>
      <c r="H878" s="16" t="n"/>
      <c r="I878" s="16" t="n"/>
      <c r="J878" s="17" t="n"/>
      <c r="K878" s="17" t="n"/>
      <c r="L878" s="17" t="n"/>
      <c r="M878" s="16" t="n"/>
      <c r="N878" s="16" t="n"/>
      <c r="O878" s="18" t="n"/>
      <c r="P878" s="18" t="n"/>
      <c r="Q878" s="16" t="n"/>
    </row>
    <row r="879">
      <c r="E879" s="15" t="n"/>
      <c r="F879" s="15" t="n"/>
      <c r="G879" s="15" t="n"/>
      <c r="H879" s="16" t="n"/>
      <c r="I879" s="16" t="n"/>
      <c r="J879" s="17" t="n"/>
      <c r="K879" s="17" t="n"/>
      <c r="L879" s="17" t="n"/>
      <c r="M879" s="16" t="n"/>
      <c r="N879" s="16" t="n"/>
      <c r="O879" s="18" t="n"/>
      <c r="P879" s="18" t="n"/>
      <c r="Q879" s="16" t="n"/>
    </row>
    <row r="880">
      <c r="E880" s="15" t="n"/>
      <c r="F880" s="15" t="n"/>
      <c r="G880" s="15" t="n"/>
      <c r="H880" s="16" t="n"/>
      <c r="I880" s="16" t="n"/>
      <c r="J880" s="17" t="n"/>
      <c r="K880" s="17" t="n"/>
      <c r="L880" s="17" t="n"/>
      <c r="M880" s="16" t="n"/>
      <c r="N880" s="16" t="n"/>
      <c r="O880" s="18" t="n"/>
      <c r="P880" s="18" t="n"/>
      <c r="Q880" s="16" t="n"/>
    </row>
    <row r="881">
      <c r="E881" s="15" t="n"/>
      <c r="F881" s="15" t="n"/>
      <c r="G881" s="15" t="n"/>
      <c r="H881" s="16" t="n"/>
      <c r="I881" s="16" t="n"/>
      <c r="J881" s="17" t="n"/>
      <c r="K881" s="17" t="n"/>
      <c r="L881" s="17" t="n"/>
      <c r="M881" s="16" t="n"/>
      <c r="N881" s="16" t="n"/>
      <c r="O881" s="18" t="n"/>
      <c r="P881" s="18" t="n"/>
      <c r="Q881" s="16" t="n"/>
    </row>
    <row r="882">
      <c r="E882" s="15" t="n"/>
      <c r="F882" s="15" t="n"/>
      <c r="G882" s="15" t="n"/>
      <c r="H882" s="16" t="n"/>
      <c r="I882" s="16" t="n"/>
      <c r="J882" s="17" t="n"/>
      <c r="K882" s="17" t="n"/>
      <c r="L882" s="17" t="n"/>
      <c r="M882" s="16" t="n"/>
      <c r="N882" s="16" t="n"/>
      <c r="O882" s="18" t="n"/>
      <c r="P882" s="18" t="n"/>
      <c r="Q882" s="16" t="n"/>
    </row>
    <row r="883">
      <c r="E883" s="15" t="n"/>
      <c r="F883" s="15" t="n"/>
      <c r="G883" s="15" t="n"/>
      <c r="H883" s="16" t="n"/>
      <c r="I883" s="16" t="n"/>
      <c r="J883" s="17" t="n"/>
      <c r="K883" s="17" t="n"/>
      <c r="L883" s="17" t="n"/>
      <c r="M883" s="16" t="n"/>
      <c r="N883" s="16" t="n"/>
      <c r="O883" s="18" t="n"/>
      <c r="P883" s="18" t="n"/>
      <c r="Q883" s="16" t="n"/>
    </row>
    <row r="884">
      <c r="E884" s="15" t="n"/>
      <c r="F884" s="15" t="n"/>
      <c r="G884" s="15" t="n"/>
      <c r="H884" s="16" t="n"/>
      <c r="I884" s="16" t="n"/>
      <c r="J884" s="17" t="n"/>
      <c r="K884" s="17" t="n"/>
      <c r="L884" s="17" t="n"/>
      <c r="M884" s="16" t="n"/>
      <c r="N884" s="16" t="n"/>
      <c r="O884" s="18" t="n"/>
      <c r="P884" s="18" t="n"/>
      <c r="Q884" s="16" t="n"/>
    </row>
    <row r="885">
      <c r="E885" s="15" t="n"/>
      <c r="F885" s="15" t="n"/>
      <c r="G885" s="15" t="n"/>
      <c r="H885" s="16" t="n"/>
      <c r="I885" s="16" t="n"/>
      <c r="J885" s="17" t="n"/>
      <c r="K885" s="17" t="n"/>
      <c r="L885" s="17" t="n"/>
      <c r="M885" s="16" t="n"/>
      <c r="N885" s="16" t="n"/>
      <c r="O885" s="18" t="n"/>
      <c r="P885" s="18" t="n"/>
      <c r="Q885" s="16" t="n"/>
    </row>
    <row r="886">
      <c r="E886" s="15" t="n"/>
      <c r="F886" s="15" t="n"/>
      <c r="G886" s="15" t="n"/>
      <c r="H886" s="16" t="n"/>
      <c r="I886" s="16" t="n"/>
      <c r="J886" s="17" t="n"/>
      <c r="K886" s="17" t="n"/>
      <c r="L886" s="17" t="n"/>
      <c r="M886" s="16" t="n"/>
      <c r="N886" s="16" t="n"/>
      <c r="O886" s="18" t="n"/>
      <c r="P886" s="18" t="n"/>
      <c r="Q886" s="16" t="n"/>
    </row>
    <row r="887">
      <c r="E887" s="15" t="n"/>
      <c r="F887" s="15" t="n"/>
      <c r="G887" s="15" t="n"/>
      <c r="H887" s="16" t="n"/>
      <c r="I887" s="16" t="n"/>
      <c r="J887" s="17" t="n"/>
      <c r="K887" s="17" t="n"/>
      <c r="L887" s="17" t="n"/>
      <c r="M887" s="16" t="n"/>
      <c r="N887" s="16" t="n"/>
      <c r="O887" s="18" t="n"/>
      <c r="P887" s="18" t="n"/>
      <c r="Q887" s="16" t="n"/>
    </row>
    <row r="888">
      <c r="E888" s="15" t="n"/>
      <c r="F888" s="15" t="n"/>
      <c r="G888" s="15" t="n"/>
      <c r="H888" s="16" t="n"/>
      <c r="I888" s="16" t="n"/>
      <c r="J888" s="17" t="n"/>
      <c r="K888" s="17" t="n"/>
      <c r="L888" s="17" t="n"/>
      <c r="M888" s="16" t="n"/>
      <c r="N888" s="16" t="n"/>
      <c r="O888" s="18" t="n"/>
      <c r="P888" s="18" t="n"/>
      <c r="Q888" s="16" t="n"/>
    </row>
    <row r="889">
      <c r="E889" s="15" t="n"/>
      <c r="F889" s="15" t="n"/>
      <c r="G889" s="15" t="n"/>
      <c r="H889" s="16" t="n"/>
      <c r="I889" s="16" t="n"/>
      <c r="J889" s="17" t="n"/>
      <c r="K889" s="17" t="n"/>
      <c r="L889" s="17" t="n"/>
      <c r="M889" s="16" t="n"/>
      <c r="N889" s="16" t="n"/>
      <c r="O889" s="18" t="n"/>
      <c r="P889" s="18" t="n"/>
      <c r="Q889" s="16" t="n"/>
    </row>
    <row r="890">
      <c r="E890" s="15" t="n"/>
      <c r="F890" s="15" t="n"/>
      <c r="G890" s="15" t="n"/>
      <c r="H890" s="16" t="n"/>
      <c r="I890" s="16" t="n"/>
      <c r="J890" s="17" t="n"/>
      <c r="K890" s="17" t="n"/>
      <c r="L890" s="17" t="n"/>
      <c r="M890" s="16" t="n"/>
      <c r="N890" s="16" t="n"/>
      <c r="O890" s="18" t="n"/>
      <c r="P890" s="18" t="n"/>
      <c r="Q890" s="16" t="n"/>
    </row>
    <row r="891">
      <c r="E891" s="15" t="n"/>
      <c r="F891" s="15" t="n"/>
      <c r="G891" s="15" t="n"/>
      <c r="H891" s="16" t="n"/>
      <c r="I891" s="16" t="n"/>
      <c r="J891" s="17" t="n"/>
      <c r="K891" s="17" t="n"/>
      <c r="L891" s="17" t="n"/>
      <c r="M891" s="16" t="n"/>
      <c r="N891" s="16" t="n"/>
      <c r="O891" s="18" t="n"/>
      <c r="P891" s="18" t="n"/>
      <c r="Q891" s="16" t="n"/>
    </row>
    <row r="892">
      <c r="E892" s="15" t="n"/>
      <c r="F892" s="15" t="n"/>
      <c r="G892" s="15" t="n"/>
      <c r="H892" s="16" t="n"/>
      <c r="I892" s="16" t="n"/>
      <c r="J892" s="17" t="n"/>
      <c r="K892" s="17" t="n"/>
      <c r="L892" s="17" t="n"/>
      <c r="M892" s="16" t="n"/>
      <c r="N892" s="16" t="n"/>
      <c r="O892" s="18" t="n"/>
      <c r="P892" s="18" t="n"/>
      <c r="Q892" s="16" t="n"/>
    </row>
    <row r="893">
      <c r="E893" s="15" t="n"/>
      <c r="F893" s="15" t="n"/>
      <c r="G893" s="15" t="n"/>
      <c r="H893" s="16" t="n"/>
      <c r="I893" s="16" t="n"/>
      <c r="J893" s="17" t="n"/>
      <c r="K893" s="17" t="n"/>
      <c r="L893" s="17" t="n"/>
      <c r="M893" s="16" t="n"/>
      <c r="N893" s="16" t="n"/>
      <c r="O893" s="18" t="n"/>
      <c r="P893" s="18" t="n"/>
      <c r="Q893" s="16" t="n"/>
    </row>
    <row r="894">
      <c r="E894" s="15" t="n"/>
      <c r="F894" s="15" t="n"/>
      <c r="G894" s="15" t="n"/>
      <c r="H894" s="16" t="n"/>
      <c r="I894" s="16" t="n"/>
      <c r="J894" s="17" t="n"/>
      <c r="K894" s="17" t="n"/>
      <c r="L894" s="17" t="n"/>
      <c r="M894" s="16" t="n"/>
      <c r="N894" s="16" t="n"/>
      <c r="O894" s="18" t="n"/>
      <c r="P894" s="18" t="n"/>
      <c r="Q894" s="16" t="n"/>
    </row>
    <row r="895">
      <c r="E895" s="15" t="n"/>
      <c r="F895" s="15" t="n"/>
      <c r="G895" s="15" t="n"/>
      <c r="H895" s="16" t="n"/>
      <c r="I895" s="16" t="n"/>
      <c r="J895" s="17" t="n"/>
      <c r="K895" s="17" t="n"/>
      <c r="L895" s="17" t="n"/>
      <c r="M895" s="16" t="n"/>
      <c r="N895" s="16" t="n"/>
      <c r="O895" s="18" t="n"/>
      <c r="P895" s="18" t="n"/>
      <c r="Q895" s="16" t="n"/>
    </row>
    <row r="896">
      <c r="E896" s="15" t="n"/>
      <c r="F896" s="15" t="n"/>
      <c r="G896" s="15" t="n"/>
      <c r="H896" s="16" t="n"/>
      <c r="I896" s="16" t="n"/>
      <c r="J896" s="17" t="n"/>
      <c r="K896" s="17" t="n"/>
      <c r="L896" s="17" t="n"/>
      <c r="M896" s="16" t="n"/>
      <c r="N896" s="16" t="n"/>
      <c r="O896" s="18" t="n"/>
      <c r="P896" s="18" t="n"/>
      <c r="Q896" s="16" t="n"/>
    </row>
    <row r="897">
      <c r="E897" s="15" t="n"/>
      <c r="F897" s="15" t="n"/>
      <c r="G897" s="15" t="n"/>
      <c r="H897" s="16" t="n"/>
      <c r="I897" s="16" t="n"/>
      <c r="J897" s="17" t="n"/>
      <c r="K897" s="17" t="n"/>
      <c r="L897" s="17" t="n"/>
      <c r="M897" s="16" t="n"/>
      <c r="N897" s="16" t="n"/>
      <c r="O897" s="18" t="n"/>
      <c r="P897" s="18" t="n"/>
      <c r="Q897" s="16" t="n"/>
    </row>
    <row r="898">
      <c r="E898" s="15" t="n"/>
      <c r="F898" s="15" t="n"/>
      <c r="G898" s="15" t="n"/>
      <c r="H898" s="16" t="n"/>
      <c r="I898" s="16" t="n"/>
      <c r="J898" s="17" t="n"/>
      <c r="K898" s="17" t="n"/>
      <c r="L898" s="17" t="n"/>
      <c r="M898" s="16" t="n"/>
      <c r="N898" s="16" t="n"/>
      <c r="O898" s="18" t="n"/>
      <c r="P898" s="18" t="n"/>
      <c r="Q898" s="16" t="n"/>
    </row>
    <row r="899">
      <c r="E899" s="15" t="n"/>
      <c r="F899" s="15" t="n"/>
      <c r="G899" s="15" t="n"/>
      <c r="H899" s="16" t="n"/>
      <c r="I899" s="16" t="n"/>
      <c r="J899" s="17" t="n"/>
      <c r="K899" s="17" t="n"/>
      <c r="L899" s="17" t="n"/>
      <c r="M899" s="16" t="n"/>
      <c r="N899" s="16" t="n"/>
      <c r="O899" s="18" t="n"/>
      <c r="P899" s="18" t="n"/>
      <c r="Q899" s="16" t="n"/>
    </row>
    <row r="900">
      <c r="E900" s="15" t="n"/>
      <c r="F900" s="15" t="n"/>
      <c r="G900" s="15" t="n"/>
      <c r="H900" s="16" t="n"/>
      <c r="I900" s="16" t="n"/>
      <c r="J900" s="17" t="n"/>
      <c r="K900" s="17" t="n"/>
      <c r="L900" s="17" t="n"/>
      <c r="M900" s="16" t="n"/>
      <c r="N900" s="16" t="n"/>
      <c r="O900" s="18" t="n"/>
      <c r="P900" s="18" t="n"/>
      <c r="Q900" s="16" t="n"/>
    </row>
    <row r="901">
      <c r="E901" s="15" t="n"/>
      <c r="F901" s="15" t="n"/>
      <c r="G901" s="15" t="n"/>
      <c r="H901" s="16" t="n"/>
      <c r="I901" s="16" t="n"/>
      <c r="J901" s="17" t="n"/>
      <c r="K901" s="17" t="n"/>
      <c r="L901" s="17" t="n"/>
      <c r="M901" s="16" t="n"/>
      <c r="N901" s="16" t="n"/>
      <c r="O901" s="18" t="n"/>
      <c r="P901" s="18" t="n"/>
      <c r="Q901" s="16" t="n"/>
    </row>
    <row r="902">
      <c r="E902" s="15" t="n"/>
      <c r="F902" s="15" t="n"/>
      <c r="G902" s="15" t="n"/>
      <c r="H902" s="16" t="n"/>
      <c r="I902" s="16" t="n"/>
      <c r="J902" s="17" t="n"/>
      <c r="K902" s="17" t="n"/>
      <c r="L902" s="17" t="n"/>
      <c r="M902" s="16" t="n"/>
      <c r="N902" s="16" t="n"/>
      <c r="O902" s="18" t="n"/>
      <c r="P902" s="18" t="n"/>
      <c r="Q902" s="16" t="n"/>
    </row>
    <row r="903">
      <c r="E903" s="15" t="n"/>
      <c r="F903" s="15" t="n"/>
      <c r="G903" s="15" t="n"/>
      <c r="H903" s="16" t="n"/>
      <c r="I903" s="16" t="n"/>
      <c r="J903" s="17" t="n"/>
      <c r="K903" s="17" t="n"/>
      <c r="L903" s="17" t="n"/>
      <c r="M903" s="16" t="n"/>
      <c r="N903" s="16" t="n"/>
      <c r="O903" s="18" t="n"/>
      <c r="P903" s="18" t="n"/>
      <c r="Q903" s="16" t="n"/>
    </row>
    <row r="904">
      <c r="E904" s="15" t="n"/>
      <c r="F904" s="15" t="n"/>
      <c r="G904" s="15" t="n"/>
      <c r="H904" s="16" t="n"/>
      <c r="I904" s="16" t="n"/>
      <c r="J904" s="17" t="n"/>
      <c r="K904" s="17" t="n"/>
      <c r="L904" s="17" t="n"/>
      <c r="M904" s="16" t="n"/>
      <c r="N904" s="16" t="n"/>
      <c r="O904" s="18" t="n"/>
      <c r="P904" s="18" t="n"/>
      <c r="Q904" s="16" t="n"/>
    </row>
    <row r="905">
      <c r="E905" s="15" t="n"/>
      <c r="F905" s="15" t="n"/>
      <c r="G905" s="15" t="n"/>
      <c r="H905" s="16" t="n"/>
      <c r="I905" s="16" t="n"/>
      <c r="J905" s="17" t="n"/>
      <c r="K905" s="17" t="n"/>
      <c r="L905" s="17" t="n"/>
      <c r="M905" s="16" t="n"/>
      <c r="N905" s="16" t="n"/>
      <c r="O905" s="18" t="n"/>
      <c r="P905" s="18" t="n"/>
      <c r="Q905" s="16" t="n"/>
    </row>
    <row r="906">
      <c r="E906" s="15" t="n"/>
      <c r="F906" s="15" t="n"/>
      <c r="G906" s="15" t="n"/>
      <c r="H906" s="16" t="n"/>
      <c r="I906" s="16" t="n"/>
      <c r="J906" s="17" t="n"/>
      <c r="K906" s="17" t="n"/>
      <c r="L906" s="17" t="n"/>
      <c r="M906" s="16" t="n"/>
      <c r="N906" s="16" t="n"/>
      <c r="O906" s="18" t="n"/>
      <c r="P906" s="18" t="n"/>
      <c r="Q906" s="16" t="n"/>
    </row>
    <row r="907">
      <c r="E907" s="15" t="n"/>
      <c r="F907" s="15" t="n"/>
      <c r="G907" s="15" t="n"/>
      <c r="H907" s="16" t="n"/>
      <c r="I907" s="16" t="n"/>
      <c r="J907" s="17" t="n"/>
      <c r="K907" s="17" t="n"/>
      <c r="L907" s="17" t="n"/>
      <c r="M907" s="16" t="n"/>
      <c r="N907" s="16" t="n"/>
      <c r="O907" s="18" t="n"/>
      <c r="P907" s="18" t="n"/>
      <c r="Q907" s="16" t="n"/>
    </row>
    <row r="908">
      <c r="E908" s="15" t="n"/>
      <c r="F908" s="15" t="n"/>
      <c r="G908" s="15" t="n"/>
      <c r="H908" s="16" t="n"/>
      <c r="I908" s="16" t="n"/>
      <c r="J908" s="17" t="n"/>
      <c r="K908" s="17" t="n"/>
      <c r="L908" s="17" t="n"/>
      <c r="M908" s="16" t="n"/>
      <c r="N908" s="16" t="n"/>
      <c r="O908" s="18" t="n"/>
      <c r="P908" s="18" t="n"/>
      <c r="Q908" s="16" t="n"/>
    </row>
    <row r="909">
      <c r="E909" s="15" t="n"/>
      <c r="F909" s="15" t="n"/>
      <c r="G909" s="15" t="n"/>
      <c r="H909" s="16" t="n"/>
      <c r="I909" s="16" t="n"/>
      <c r="J909" s="17" t="n"/>
      <c r="K909" s="17" t="n"/>
      <c r="L909" s="17" t="n"/>
      <c r="M909" s="16" t="n"/>
      <c r="N909" s="16" t="n"/>
      <c r="O909" s="18" t="n"/>
      <c r="P909" s="18" t="n"/>
      <c r="Q909" s="16" t="n"/>
    </row>
    <row r="910">
      <c r="E910" s="15" t="n"/>
      <c r="F910" s="15" t="n"/>
      <c r="G910" s="15" t="n"/>
      <c r="H910" s="16" t="n"/>
      <c r="I910" s="16" t="n"/>
      <c r="J910" s="17" t="n"/>
      <c r="K910" s="17" t="n"/>
      <c r="L910" s="17" t="n"/>
      <c r="M910" s="16" t="n"/>
      <c r="N910" s="16" t="n"/>
      <c r="O910" s="18" t="n"/>
      <c r="P910" s="18" t="n"/>
      <c r="Q910" s="16" t="n"/>
    </row>
    <row r="911">
      <c r="E911" s="15" t="n"/>
      <c r="F911" s="15" t="n"/>
      <c r="G911" s="15" t="n"/>
      <c r="H911" s="16" t="n"/>
      <c r="I911" s="16" t="n"/>
      <c r="J911" s="17" t="n"/>
      <c r="K911" s="17" t="n"/>
      <c r="L911" s="17" t="n"/>
      <c r="M911" s="16" t="n"/>
      <c r="N911" s="16" t="n"/>
      <c r="O911" s="18" t="n"/>
      <c r="P911" s="18" t="n"/>
      <c r="Q911" s="16" t="n"/>
    </row>
    <row r="912">
      <c r="E912" s="15" t="n"/>
      <c r="F912" s="15" t="n"/>
      <c r="G912" s="15" t="n"/>
      <c r="H912" s="16" t="n"/>
      <c r="I912" s="16" t="n"/>
      <c r="J912" s="17" t="n"/>
      <c r="K912" s="17" t="n"/>
      <c r="L912" s="17" t="n"/>
      <c r="M912" s="16" t="n"/>
      <c r="N912" s="16" t="n"/>
      <c r="O912" s="18" t="n"/>
      <c r="P912" s="18" t="n"/>
      <c r="Q912" s="16" t="n"/>
    </row>
    <row r="913">
      <c r="E913" s="15" t="n"/>
      <c r="F913" s="15" t="n"/>
      <c r="G913" s="15" t="n"/>
      <c r="H913" s="16" t="n"/>
      <c r="I913" s="16" t="n"/>
      <c r="J913" s="17" t="n"/>
      <c r="K913" s="17" t="n"/>
      <c r="L913" s="17" t="n"/>
      <c r="M913" s="16" t="n"/>
      <c r="N913" s="16" t="n"/>
      <c r="O913" s="18" t="n"/>
      <c r="P913" s="18" t="n"/>
      <c r="Q913" s="16" t="n"/>
    </row>
    <row r="914">
      <c r="E914" s="15" t="n"/>
      <c r="F914" s="15" t="n"/>
      <c r="G914" s="15" t="n"/>
      <c r="H914" s="16" t="n"/>
      <c r="I914" s="16" t="n"/>
      <c r="J914" s="17" t="n"/>
      <c r="K914" s="17" t="n"/>
      <c r="L914" s="17" t="n"/>
      <c r="M914" s="16" t="n"/>
      <c r="N914" s="16" t="n"/>
      <c r="O914" s="18" t="n"/>
      <c r="P914" s="18" t="n"/>
      <c r="Q914" s="16" t="n"/>
    </row>
    <row r="915">
      <c r="E915" s="15" t="n"/>
      <c r="F915" s="15" t="n"/>
      <c r="G915" s="15" t="n"/>
      <c r="H915" s="16" t="n"/>
      <c r="I915" s="16" t="n"/>
      <c r="J915" s="17" t="n"/>
      <c r="K915" s="17" t="n"/>
      <c r="L915" s="17" t="n"/>
      <c r="M915" s="16" t="n"/>
      <c r="N915" s="16" t="n"/>
      <c r="O915" s="18" t="n"/>
      <c r="P915" s="18" t="n"/>
      <c r="Q915" s="16" t="n"/>
    </row>
    <row r="916">
      <c r="E916" s="15" t="n"/>
      <c r="F916" s="15" t="n"/>
      <c r="G916" s="15" t="n"/>
      <c r="H916" s="16" t="n"/>
      <c r="I916" s="16" t="n"/>
      <c r="J916" s="17" t="n"/>
      <c r="K916" s="17" t="n"/>
      <c r="L916" s="17" t="n"/>
      <c r="M916" s="16" t="n"/>
      <c r="N916" s="16" t="n"/>
      <c r="O916" s="18" t="n"/>
      <c r="P916" s="18" t="n"/>
      <c r="Q916" s="16" t="n"/>
    </row>
    <row r="917">
      <c r="E917" s="15" t="n"/>
      <c r="F917" s="15" t="n"/>
      <c r="G917" s="15" t="n"/>
      <c r="H917" s="16" t="n"/>
      <c r="I917" s="16" t="n"/>
      <c r="J917" s="17" t="n"/>
      <c r="K917" s="17" t="n"/>
      <c r="L917" s="17" t="n"/>
      <c r="M917" s="16" t="n"/>
      <c r="N917" s="16" t="n"/>
      <c r="O917" s="18" t="n"/>
      <c r="P917" s="18" t="n"/>
      <c r="Q917" s="16" t="n"/>
    </row>
    <row r="918">
      <c r="E918" s="15" t="n"/>
      <c r="F918" s="15" t="n"/>
      <c r="G918" s="15" t="n"/>
      <c r="H918" s="16" t="n"/>
      <c r="I918" s="16" t="n"/>
      <c r="J918" s="17" t="n"/>
      <c r="K918" s="17" t="n"/>
      <c r="L918" s="17" t="n"/>
      <c r="M918" s="16" t="n"/>
      <c r="N918" s="16" t="n"/>
      <c r="O918" s="18" t="n"/>
      <c r="P918" s="18" t="n"/>
      <c r="Q918" s="16" t="n"/>
    </row>
    <row r="919">
      <c r="E919" s="15" t="n"/>
      <c r="F919" s="15" t="n"/>
      <c r="G919" s="15" t="n"/>
      <c r="H919" s="16" t="n"/>
      <c r="I919" s="16" t="n"/>
      <c r="J919" s="17" t="n"/>
      <c r="K919" s="17" t="n"/>
      <c r="L919" s="17" t="n"/>
      <c r="M919" s="16" t="n"/>
      <c r="N919" s="16" t="n"/>
      <c r="O919" s="18" t="n"/>
      <c r="P919" s="18" t="n"/>
      <c r="Q919" s="16" t="n"/>
    </row>
    <row r="920">
      <c r="E920" s="15" t="n"/>
      <c r="F920" s="15" t="n"/>
      <c r="G920" s="15" t="n"/>
      <c r="H920" s="16" t="n"/>
      <c r="I920" s="16" t="n"/>
      <c r="J920" s="17" t="n"/>
      <c r="K920" s="17" t="n"/>
      <c r="L920" s="17" t="n"/>
      <c r="M920" s="16" t="n"/>
      <c r="N920" s="16" t="n"/>
      <c r="O920" s="18" t="n"/>
      <c r="P920" s="18" t="n"/>
      <c r="Q920" s="16" t="n"/>
    </row>
    <row r="921">
      <c r="E921" s="15" t="n"/>
      <c r="F921" s="15" t="n"/>
      <c r="G921" s="15" t="n"/>
      <c r="H921" s="16" t="n"/>
      <c r="I921" s="16" t="n"/>
      <c r="J921" s="17" t="n"/>
      <c r="K921" s="17" t="n"/>
      <c r="L921" s="17" t="n"/>
      <c r="M921" s="16" t="n"/>
      <c r="N921" s="16" t="n"/>
      <c r="O921" s="18" t="n"/>
      <c r="P921" s="18" t="n"/>
      <c r="Q921" s="16" t="n"/>
    </row>
    <row r="922">
      <c r="E922" s="15" t="n"/>
      <c r="F922" s="15" t="n"/>
      <c r="G922" s="15" t="n"/>
      <c r="H922" s="16" t="n"/>
      <c r="I922" s="16" t="n"/>
      <c r="J922" s="17" t="n"/>
      <c r="K922" s="17" t="n"/>
      <c r="L922" s="17" t="n"/>
      <c r="M922" s="16" t="n"/>
      <c r="N922" s="16" t="n"/>
      <c r="O922" s="18" t="n"/>
      <c r="P922" s="18" t="n"/>
      <c r="Q922" s="16" t="n"/>
    </row>
    <row r="923">
      <c r="E923" s="15" t="n"/>
      <c r="F923" s="15" t="n"/>
      <c r="G923" s="15" t="n"/>
      <c r="H923" s="16" t="n"/>
      <c r="I923" s="16" t="n"/>
      <c r="J923" s="17" t="n"/>
      <c r="K923" s="17" t="n"/>
      <c r="L923" s="17" t="n"/>
      <c r="M923" s="16" t="n"/>
      <c r="N923" s="16" t="n"/>
      <c r="O923" s="18" t="n"/>
      <c r="P923" s="18" t="n"/>
      <c r="Q923" s="16" t="n"/>
    </row>
    <row r="924">
      <c r="E924" s="15" t="n"/>
      <c r="F924" s="15" t="n"/>
      <c r="G924" s="15" t="n"/>
      <c r="H924" s="16" t="n"/>
      <c r="I924" s="16" t="n"/>
      <c r="J924" s="17" t="n"/>
      <c r="K924" s="17" t="n"/>
      <c r="L924" s="17" t="n"/>
      <c r="M924" s="16" t="n"/>
      <c r="N924" s="16" t="n"/>
      <c r="O924" s="18" t="n"/>
      <c r="P924" s="18" t="n"/>
      <c r="Q924" s="16" t="n"/>
    </row>
    <row r="925">
      <c r="E925" s="15" t="n"/>
      <c r="F925" s="15" t="n"/>
      <c r="G925" s="15" t="n"/>
      <c r="H925" s="16" t="n"/>
      <c r="I925" s="16" t="n"/>
      <c r="J925" s="17" t="n"/>
      <c r="K925" s="17" t="n"/>
      <c r="L925" s="17" t="n"/>
      <c r="M925" s="16" t="n"/>
      <c r="N925" s="16" t="n"/>
      <c r="O925" s="18" t="n"/>
      <c r="P925" s="18" t="n"/>
      <c r="Q925" s="16" t="n"/>
    </row>
    <row r="926">
      <c r="E926" s="15" t="n"/>
      <c r="F926" s="15" t="n"/>
      <c r="G926" s="15" t="n"/>
      <c r="H926" s="16" t="n"/>
      <c r="I926" s="16" t="n"/>
      <c r="J926" s="17" t="n"/>
      <c r="K926" s="17" t="n"/>
      <c r="L926" s="17" t="n"/>
      <c r="M926" s="16" t="n"/>
      <c r="N926" s="16" t="n"/>
      <c r="O926" s="18" t="n"/>
      <c r="P926" s="18" t="n"/>
      <c r="Q926" s="16" t="n"/>
    </row>
    <row r="927">
      <c r="E927" s="15" t="n"/>
      <c r="F927" s="15" t="n"/>
      <c r="G927" s="15" t="n"/>
      <c r="H927" s="16" t="n"/>
      <c r="I927" s="16" t="n"/>
      <c r="J927" s="17" t="n"/>
      <c r="K927" s="17" t="n"/>
      <c r="L927" s="17" t="n"/>
      <c r="M927" s="16" t="n"/>
      <c r="N927" s="16" t="n"/>
      <c r="O927" s="18" t="n"/>
      <c r="P927" s="18" t="n"/>
      <c r="Q927" s="16" t="n"/>
    </row>
    <row r="928">
      <c r="E928" s="15" t="n"/>
      <c r="F928" s="15" t="n"/>
      <c r="G928" s="15" t="n"/>
      <c r="H928" s="16" t="n"/>
      <c r="I928" s="16" t="n"/>
      <c r="J928" s="17" t="n"/>
      <c r="K928" s="17" t="n"/>
      <c r="L928" s="17" t="n"/>
      <c r="M928" s="16" t="n"/>
      <c r="N928" s="16" t="n"/>
      <c r="O928" s="18" t="n"/>
      <c r="P928" s="18" t="n"/>
      <c r="Q928" s="16" t="n"/>
    </row>
    <row r="929">
      <c r="E929" s="15" t="n"/>
      <c r="F929" s="15" t="n"/>
      <c r="G929" s="15" t="n"/>
      <c r="H929" s="16" t="n"/>
      <c r="I929" s="16" t="n"/>
      <c r="J929" s="17" t="n"/>
      <c r="K929" s="17" t="n"/>
      <c r="L929" s="17" t="n"/>
      <c r="M929" s="16" t="n"/>
      <c r="N929" s="16" t="n"/>
      <c r="O929" s="18" t="n"/>
      <c r="P929" s="18" t="n"/>
      <c r="Q929" s="16" t="n"/>
    </row>
    <row r="930">
      <c r="E930" s="15" t="n"/>
      <c r="F930" s="15" t="n"/>
      <c r="G930" s="15" t="n"/>
      <c r="H930" s="16" t="n"/>
      <c r="I930" s="16" t="n"/>
      <c r="J930" s="17" t="n"/>
      <c r="K930" s="17" t="n"/>
      <c r="L930" s="17" t="n"/>
      <c r="M930" s="16" t="n"/>
      <c r="N930" s="16" t="n"/>
      <c r="O930" s="18" t="n"/>
      <c r="P930" s="18" t="n"/>
      <c r="Q930" s="16" t="n"/>
    </row>
    <row r="931">
      <c r="E931" s="15" t="n"/>
      <c r="F931" s="15" t="n"/>
      <c r="G931" s="15" t="n"/>
      <c r="H931" s="16" t="n"/>
      <c r="I931" s="16" t="n"/>
      <c r="J931" s="17" t="n"/>
      <c r="K931" s="17" t="n"/>
      <c r="L931" s="17" t="n"/>
      <c r="M931" s="16" t="n"/>
      <c r="N931" s="16" t="n"/>
      <c r="O931" s="18" t="n"/>
      <c r="P931" s="18" t="n"/>
      <c r="Q931" s="16" t="n"/>
    </row>
    <row r="932">
      <c r="E932" s="15" t="n"/>
      <c r="F932" s="15" t="n"/>
      <c r="G932" s="15" t="n"/>
      <c r="H932" s="16" t="n"/>
      <c r="I932" s="16" t="n"/>
      <c r="J932" s="17" t="n"/>
      <c r="K932" s="17" t="n"/>
      <c r="L932" s="17" t="n"/>
      <c r="M932" s="16" t="n"/>
      <c r="N932" s="16" t="n"/>
      <c r="O932" s="18" t="n"/>
      <c r="P932" s="18" t="n"/>
      <c r="Q932" s="16" t="n"/>
    </row>
    <row r="933">
      <c r="E933" s="15" t="n"/>
      <c r="F933" s="15" t="n"/>
      <c r="G933" s="15" t="n"/>
      <c r="H933" s="16" t="n"/>
      <c r="I933" s="16" t="n"/>
      <c r="J933" s="17" t="n"/>
      <c r="K933" s="17" t="n"/>
      <c r="L933" s="17" t="n"/>
      <c r="M933" s="16" t="n"/>
      <c r="N933" s="16" t="n"/>
      <c r="O933" s="18" t="n"/>
      <c r="P933" s="18" t="n"/>
      <c r="Q933" s="16" t="n"/>
    </row>
    <row r="934">
      <c r="E934" s="15" t="n"/>
      <c r="F934" s="15" t="n"/>
      <c r="G934" s="15" t="n"/>
      <c r="H934" s="16" t="n"/>
      <c r="I934" s="16" t="n"/>
      <c r="J934" s="17" t="n"/>
      <c r="K934" s="17" t="n"/>
      <c r="L934" s="17" t="n"/>
      <c r="M934" s="16" t="n"/>
      <c r="N934" s="16" t="n"/>
      <c r="O934" s="18" t="n"/>
      <c r="P934" s="18" t="n"/>
      <c r="Q934" s="16" t="n"/>
    </row>
    <row r="935">
      <c r="E935" s="15" t="n"/>
      <c r="F935" s="15" t="n"/>
      <c r="G935" s="15" t="n"/>
      <c r="H935" s="16" t="n"/>
      <c r="I935" s="16" t="n"/>
      <c r="J935" s="17" t="n"/>
      <c r="K935" s="17" t="n"/>
      <c r="L935" s="17" t="n"/>
      <c r="M935" s="16" t="n"/>
      <c r="N935" s="16" t="n"/>
      <c r="O935" s="18" t="n"/>
      <c r="P935" s="18" t="n"/>
      <c r="Q935" s="16" t="n"/>
    </row>
    <row r="936">
      <c r="E936" s="15" t="n"/>
      <c r="F936" s="15" t="n"/>
      <c r="G936" s="15" t="n"/>
      <c r="H936" s="16" t="n"/>
      <c r="I936" s="16" t="n"/>
      <c r="J936" s="17" t="n"/>
      <c r="K936" s="17" t="n"/>
      <c r="L936" s="17" t="n"/>
      <c r="M936" s="16" t="n"/>
      <c r="N936" s="16" t="n"/>
      <c r="O936" s="18" t="n"/>
      <c r="P936" s="18" t="n"/>
      <c r="Q936" s="16" t="n"/>
    </row>
    <row r="937">
      <c r="E937" s="15" t="n"/>
      <c r="F937" s="15" t="n"/>
      <c r="G937" s="15" t="n"/>
      <c r="H937" s="16" t="n"/>
      <c r="I937" s="16" t="n"/>
      <c r="J937" s="17" t="n"/>
      <c r="K937" s="17" t="n"/>
      <c r="L937" s="17" t="n"/>
      <c r="M937" s="16" t="n"/>
      <c r="N937" s="16" t="n"/>
      <c r="O937" s="18" t="n"/>
      <c r="P937" s="18" t="n"/>
      <c r="Q937" s="16" t="n"/>
    </row>
    <row r="938">
      <c r="E938" s="15" t="n"/>
      <c r="F938" s="15" t="n"/>
      <c r="G938" s="15" t="n"/>
      <c r="H938" s="16" t="n"/>
      <c r="I938" s="16" t="n"/>
      <c r="J938" s="17" t="n"/>
      <c r="K938" s="17" t="n"/>
      <c r="L938" s="17" t="n"/>
      <c r="M938" s="16" t="n"/>
      <c r="N938" s="16" t="n"/>
      <c r="O938" s="18" t="n"/>
      <c r="P938" s="18" t="n"/>
      <c r="Q938" s="16" t="n"/>
    </row>
    <row r="939">
      <c r="E939" s="15" t="n"/>
      <c r="F939" s="15" t="n"/>
      <c r="G939" s="15" t="n"/>
      <c r="H939" s="16" t="n"/>
      <c r="I939" s="16" t="n"/>
      <c r="J939" s="17" t="n"/>
      <c r="K939" s="17" t="n"/>
      <c r="L939" s="17" t="n"/>
      <c r="M939" s="16" t="n"/>
      <c r="N939" s="16" t="n"/>
      <c r="O939" s="18" t="n"/>
      <c r="P939" s="18" t="n"/>
      <c r="Q939" s="16" t="n"/>
    </row>
    <row r="940">
      <c r="E940" s="15" t="n"/>
      <c r="F940" s="15" t="n"/>
      <c r="G940" s="15" t="n"/>
      <c r="H940" s="16" t="n"/>
      <c r="I940" s="16" t="n"/>
      <c r="J940" s="17" t="n"/>
      <c r="K940" s="17" t="n"/>
      <c r="L940" s="17" t="n"/>
      <c r="M940" s="16" t="n"/>
      <c r="N940" s="16" t="n"/>
      <c r="O940" s="18" t="n"/>
      <c r="P940" s="18" t="n"/>
      <c r="Q940" s="16" t="n"/>
    </row>
    <row r="941">
      <c r="E941" s="15" t="n"/>
      <c r="F941" s="15" t="n"/>
      <c r="G941" s="15" t="n"/>
      <c r="H941" s="16" t="n"/>
      <c r="I941" s="16" t="n"/>
      <c r="J941" s="17" t="n"/>
      <c r="K941" s="17" t="n"/>
      <c r="L941" s="17" t="n"/>
      <c r="M941" s="16" t="n"/>
      <c r="N941" s="16" t="n"/>
      <c r="O941" s="18" t="n"/>
      <c r="P941" s="18" t="n"/>
      <c r="Q941" s="16" t="n"/>
    </row>
    <row r="942">
      <c r="E942" s="15" t="n"/>
      <c r="F942" s="15" t="n"/>
      <c r="G942" s="15" t="n"/>
      <c r="H942" s="16" t="n"/>
      <c r="I942" s="16" t="n"/>
      <c r="J942" s="17" t="n"/>
      <c r="K942" s="17" t="n"/>
      <c r="L942" s="17" t="n"/>
      <c r="M942" s="16" t="n"/>
      <c r="N942" s="16" t="n"/>
      <c r="O942" s="18" t="n"/>
      <c r="P942" s="18" t="n"/>
      <c r="Q942" s="16" t="n"/>
    </row>
    <row r="943">
      <c r="E943" s="15" t="n"/>
      <c r="F943" s="15" t="n"/>
      <c r="G943" s="15" t="n"/>
      <c r="H943" s="16" t="n"/>
      <c r="I943" s="16" t="n"/>
      <c r="J943" s="17" t="n"/>
      <c r="K943" s="17" t="n"/>
      <c r="L943" s="17" t="n"/>
      <c r="M943" s="16" t="n"/>
      <c r="N943" s="16" t="n"/>
      <c r="O943" s="18" t="n"/>
      <c r="P943" s="18" t="n"/>
      <c r="Q943" s="16" t="n"/>
    </row>
    <row r="944">
      <c r="E944" s="15" t="n"/>
      <c r="F944" s="15" t="n"/>
      <c r="G944" s="15" t="n"/>
      <c r="H944" s="16" t="n"/>
      <c r="I944" s="16" t="n"/>
      <c r="J944" s="17" t="n"/>
      <c r="K944" s="17" t="n"/>
      <c r="L944" s="17" t="n"/>
      <c r="M944" s="16" t="n"/>
      <c r="N944" s="16" t="n"/>
      <c r="O944" s="18" t="n"/>
      <c r="P944" s="18" t="n"/>
      <c r="Q944" s="16" t="n"/>
    </row>
    <row r="945">
      <c r="E945" s="15" t="n"/>
      <c r="F945" s="15" t="n"/>
      <c r="G945" s="15" t="n"/>
      <c r="H945" s="16" t="n"/>
      <c r="I945" s="16" t="n"/>
      <c r="J945" s="17" t="n"/>
      <c r="K945" s="17" t="n"/>
      <c r="L945" s="17" t="n"/>
      <c r="M945" s="16" t="n"/>
      <c r="N945" s="16" t="n"/>
      <c r="O945" s="18" t="n"/>
      <c r="P945" s="18" t="n"/>
      <c r="Q945" s="16" t="n"/>
    </row>
    <row r="946">
      <c r="E946" s="15" t="n"/>
      <c r="F946" s="15" t="n"/>
      <c r="G946" s="15" t="n"/>
      <c r="H946" s="16" t="n"/>
      <c r="I946" s="16" t="n"/>
      <c r="J946" s="17" t="n"/>
      <c r="K946" s="17" t="n"/>
      <c r="L946" s="17" t="n"/>
      <c r="M946" s="16" t="n"/>
      <c r="N946" s="16" t="n"/>
      <c r="O946" s="18" t="n"/>
      <c r="P946" s="18" t="n"/>
      <c r="Q946" s="16" t="n"/>
    </row>
    <row r="947">
      <c r="E947" s="15" t="n"/>
      <c r="F947" s="15" t="n"/>
      <c r="G947" s="15" t="n"/>
      <c r="H947" s="16" t="n"/>
      <c r="I947" s="16" t="n"/>
      <c r="J947" s="17" t="n"/>
      <c r="K947" s="17" t="n"/>
      <c r="L947" s="17" t="n"/>
      <c r="M947" s="16" t="n"/>
      <c r="N947" s="16" t="n"/>
      <c r="O947" s="18" t="n"/>
      <c r="P947" s="18" t="n"/>
      <c r="Q947" s="16" t="n"/>
    </row>
    <row r="948">
      <c r="E948" s="15" t="n"/>
      <c r="F948" s="15" t="n"/>
      <c r="G948" s="15" t="n"/>
      <c r="H948" s="16" t="n"/>
      <c r="I948" s="16" t="n"/>
      <c r="J948" s="17" t="n"/>
      <c r="K948" s="17" t="n"/>
      <c r="L948" s="17" t="n"/>
      <c r="M948" s="16" t="n"/>
      <c r="N948" s="16" t="n"/>
      <c r="O948" s="18" t="n"/>
      <c r="P948" s="18" t="n"/>
      <c r="Q948" s="16" t="n"/>
    </row>
    <row r="949">
      <c r="E949" s="15" t="n"/>
      <c r="F949" s="15" t="n"/>
      <c r="G949" s="15" t="n"/>
      <c r="H949" s="16" t="n"/>
      <c r="I949" s="16" t="n"/>
      <c r="J949" s="17" t="n"/>
      <c r="K949" s="17" t="n"/>
      <c r="L949" s="17" t="n"/>
      <c r="M949" s="16" t="n"/>
      <c r="N949" s="16" t="n"/>
      <c r="O949" s="18" t="n"/>
      <c r="P949" s="18" t="n"/>
      <c r="Q949" s="16" t="n"/>
    </row>
    <row r="950">
      <c r="E950" s="15" t="n"/>
      <c r="F950" s="15" t="n"/>
      <c r="G950" s="15" t="n"/>
      <c r="H950" s="16" t="n"/>
      <c r="I950" s="16" t="n"/>
      <c r="J950" s="17" t="n"/>
      <c r="K950" s="17" t="n"/>
      <c r="L950" s="17" t="n"/>
      <c r="M950" s="16" t="n"/>
      <c r="N950" s="16" t="n"/>
      <c r="O950" s="18" t="n"/>
      <c r="P950" s="18" t="n"/>
      <c r="Q950" s="16" t="n"/>
    </row>
    <row r="951">
      <c r="E951" s="15" t="n"/>
      <c r="F951" s="15" t="n"/>
      <c r="G951" s="15" t="n"/>
      <c r="H951" s="16" t="n"/>
      <c r="I951" s="16" t="n"/>
      <c r="J951" s="17" t="n"/>
      <c r="K951" s="17" t="n"/>
      <c r="L951" s="17" t="n"/>
      <c r="M951" s="16" t="n"/>
      <c r="N951" s="16" t="n"/>
      <c r="O951" s="18" t="n"/>
      <c r="P951" s="18" t="n"/>
      <c r="Q951" s="16" t="n"/>
    </row>
    <row r="952">
      <c r="E952" s="15" t="n"/>
      <c r="F952" s="15" t="n"/>
      <c r="G952" s="15" t="n"/>
      <c r="H952" s="16" t="n"/>
      <c r="I952" s="16" t="n"/>
      <c r="J952" s="17" t="n"/>
      <c r="K952" s="17" t="n"/>
      <c r="L952" s="17" t="n"/>
      <c r="M952" s="16" t="n"/>
      <c r="N952" s="16" t="n"/>
      <c r="O952" s="18" t="n"/>
      <c r="P952" s="18" t="n"/>
      <c r="Q952" s="16" t="n"/>
    </row>
    <row r="953">
      <c r="E953" s="15" t="n"/>
      <c r="F953" s="15" t="n"/>
      <c r="G953" s="15" t="n"/>
      <c r="H953" s="16" t="n"/>
      <c r="I953" s="16" t="n"/>
      <c r="J953" s="17" t="n"/>
      <c r="K953" s="17" t="n"/>
      <c r="L953" s="17" t="n"/>
      <c r="M953" s="16" t="n"/>
      <c r="N953" s="16" t="n"/>
      <c r="O953" s="18" t="n"/>
      <c r="P953" s="18" t="n"/>
      <c r="Q953" s="16" t="n"/>
    </row>
    <row r="954">
      <c r="E954" s="15" t="n"/>
      <c r="F954" s="15" t="n"/>
      <c r="G954" s="15" t="n"/>
      <c r="H954" s="16" t="n"/>
      <c r="I954" s="16" t="n"/>
      <c r="J954" s="17" t="n"/>
      <c r="K954" s="17" t="n"/>
      <c r="L954" s="17" t="n"/>
      <c r="M954" s="16" t="n"/>
      <c r="N954" s="16" t="n"/>
      <c r="O954" s="18" t="n"/>
      <c r="P954" s="18" t="n"/>
      <c r="Q954" s="16" t="n"/>
    </row>
    <row r="955">
      <c r="E955" s="15" t="n"/>
      <c r="F955" s="15" t="n"/>
      <c r="G955" s="15" t="n"/>
      <c r="H955" s="16" t="n"/>
      <c r="I955" s="16" t="n"/>
      <c r="J955" s="17" t="n"/>
      <c r="K955" s="17" t="n"/>
      <c r="L955" s="17" t="n"/>
      <c r="M955" s="16" t="n"/>
      <c r="N955" s="16" t="n"/>
      <c r="O955" s="18" t="n"/>
      <c r="P955" s="18" t="n"/>
      <c r="Q955" s="16" t="n"/>
    </row>
    <row r="956">
      <c r="E956" s="15" t="n"/>
      <c r="F956" s="15" t="n"/>
      <c r="G956" s="15" t="n"/>
      <c r="H956" s="16" t="n"/>
      <c r="I956" s="16" t="n"/>
      <c r="J956" s="17" t="n"/>
      <c r="K956" s="17" t="n"/>
      <c r="L956" s="17" t="n"/>
      <c r="M956" s="16" t="n"/>
      <c r="N956" s="16" t="n"/>
      <c r="O956" s="18" t="n"/>
      <c r="P956" s="18" t="n"/>
      <c r="Q956" s="16" t="n"/>
    </row>
    <row r="957">
      <c r="E957" s="15" t="n"/>
      <c r="F957" s="15" t="n"/>
      <c r="G957" s="15" t="n"/>
      <c r="H957" s="16" t="n"/>
      <c r="I957" s="16" t="n"/>
      <c r="J957" s="17" t="n"/>
      <c r="K957" s="17" t="n"/>
      <c r="L957" s="17" t="n"/>
      <c r="M957" s="16" t="n"/>
      <c r="N957" s="16" t="n"/>
      <c r="O957" s="18" t="n"/>
      <c r="P957" s="18" t="n"/>
      <c r="Q957" s="16" t="n"/>
    </row>
    <row r="958">
      <c r="E958" s="15" t="n"/>
      <c r="F958" s="15" t="n"/>
      <c r="G958" s="15" t="n"/>
      <c r="H958" s="16" t="n"/>
      <c r="I958" s="16" t="n"/>
      <c r="J958" s="17" t="n"/>
      <c r="K958" s="17" t="n"/>
      <c r="L958" s="17" t="n"/>
      <c r="M958" s="16" t="n"/>
      <c r="N958" s="16" t="n"/>
      <c r="O958" s="18" t="n"/>
      <c r="P958" s="18" t="n"/>
      <c r="Q958" s="16" t="n"/>
    </row>
    <row r="959">
      <c r="E959" s="15" t="n"/>
      <c r="F959" s="15" t="n"/>
      <c r="G959" s="15" t="n"/>
      <c r="H959" s="16" t="n"/>
      <c r="I959" s="16" t="n"/>
      <c r="J959" s="17" t="n"/>
      <c r="K959" s="17" t="n"/>
      <c r="L959" s="17" t="n"/>
      <c r="M959" s="16" t="n"/>
      <c r="N959" s="16" t="n"/>
      <c r="O959" s="18" t="n"/>
      <c r="P959" s="18" t="n"/>
      <c r="Q959" s="16" t="n"/>
    </row>
    <row r="960">
      <c r="E960" s="15" t="n"/>
      <c r="F960" s="15" t="n"/>
      <c r="G960" s="15" t="n"/>
      <c r="H960" s="16" t="n"/>
      <c r="I960" s="16" t="n"/>
      <c r="J960" s="17" t="n"/>
      <c r="K960" s="17" t="n"/>
      <c r="L960" s="17" t="n"/>
      <c r="M960" s="16" t="n"/>
      <c r="N960" s="16" t="n"/>
      <c r="O960" s="18" t="n"/>
      <c r="P960" s="18" t="n"/>
      <c r="Q960" s="16" t="n"/>
    </row>
    <row r="961">
      <c r="E961" s="15" t="n"/>
      <c r="F961" s="15" t="n"/>
      <c r="G961" s="15" t="n"/>
      <c r="H961" s="16" t="n"/>
      <c r="I961" s="16" t="n"/>
      <c r="J961" s="17" t="n"/>
      <c r="K961" s="17" t="n"/>
      <c r="L961" s="17" t="n"/>
      <c r="M961" s="16" t="n"/>
      <c r="N961" s="16" t="n"/>
      <c r="O961" s="18" t="n"/>
      <c r="P961" s="18" t="n"/>
      <c r="Q961" s="16" t="n"/>
    </row>
    <row r="962">
      <c r="E962" s="15" t="n"/>
      <c r="F962" s="15" t="n"/>
      <c r="G962" s="15" t="n"/>
      <c r="H962" s="16" t="n"/>
      <c r="I962" s="16" t="n"/>
      <c r="J962" s="17" t="n"/>
      <c r="K962" s="17" t="n"/>
      <c r="L962" s="17" t="n"/>
      <c r="M962" s="16" t="n"/>
      <c r="N962" s="16" t="n"/>
      <c r="O962" s="18" t="n"/>
      <c r="P962" s="18" t="n"/>
      <c r="Q962" s="16" t="n"/>
    </row>
    <row r="963">
      <c r="E963" s="15" t="n"/>
      <c r="F963" s="15" t="n"/>
      <c r="G963" s="15" t="n"/>
      <c r="H963" s="16" t="n"/>
      <c r="I963" s="16" t="n"/>
      <c r="J963" s="17" t="n"/>
      <c r="K963" s="17" t="n"/>
      <c r="L963" s="17" t="n"/>
      <c r="M963" s="16" t="n"/>
      <c r="N963" s="16" t="n"/>
      <c r="O963" s="18" t="n"/>
      <c r="P963" s="18" t="n"/>
      <c r="Q963" s="16" t="n"/>
    </row>
    <row r="964">
      <c r="E964" s="15" t="n"/>
      <c r="F964" s="15" t="n"/>
      <c r="G964" s="15" t="n"/>
      <c r="H964" s="16" t="n"/>
      <c r="I964" s="16" t="n"/>
      <c r="J964" s="17" t="n"/>
      <c r="K964" s="17" t="n"/>
      <c r="L964" s="17" t="n"/>
      <c r="M964" s="16" t="n"/>
      <c r="N964" s="16" t="n"/>
      <c r="O964" s="18" t="n"/>
      <c r="P964" s="18" t="n"/>
      <c r="Q964" s="16" t="n"/>
    </row>
    <row r="965">
      <c r="E965" s="15" t="n"/>
      <c r="F965" s="15" t="n"/>
      <c r="G965" s="15" t="n"/>
      <c r="H965" s="16" t="n"/>
      <c r="I965" s="16" t="n"/>
      <c r="J965" s="17" t="n"/>
      <c r="K965" s="17" t="n"/>
      <c r="L965" s="17" t="n"/>
      <c r="M965" s="16" t="n"/>
      <c r="N965" s="16" t="n"/>
      <c r="O965" s="18" t="n"/>
      <c r="P965" s="18" t="n"/>
      <c r="Q965" s="16" t="n"/>
    </row>
    <row r="966">
      <c r="E966" s="15" t="n"/>
      <c r="F966" s="15" t="n"/>
      <c r="G966" s="15" t="n"/>
      <c r="H966" s="16" t="n"/>
      <c r="I966" s="16" t="n"/>
      <c r="J966" s="17" t="n"/>
      <c r="K966" s="17" t="n"/>
      <c r="L966" s="17" t="n"/>
      <c r="M966" s="16" t="n"/>
      <c r="N966" s="16" t="n"/>
      <c r="O966" s="18" t="n"/>
      <c r="P966" s="18" t="n"/>
      <c r="Q966" s="16" t="n"/>
    </row>
    <row r="967">
      <c r="E967" s="15" t="n"/>
      <c r="F967" s="15" t="n"/>
      <c r="G967" s="15" t="n"/>
      <c r="H967" s="16" t="n"/>
      <c r="I967" s="16" t="n"/>
      <c r="J967" s="17" t="n"/>
      <c r="K967" s="17" t="n"/>
      <c r="L967" s="17" t="n"/>
      <c r="M967" s="16" t="n"/>
      <c r="N967" s="16" t="n"/>
      <c r="O967" s="18" t="n"/>
      <c r="P967" s="18" t="n"/>
      <c r="Q967" s="16" t="n"/>
    </row>
    <row r="968">
      <c r="E968" s="15" t="n"/>
      <c r="F968" s="15" t="n"/>
      <c r="G968" s="15" t="n"/>
      <c r="H968" s="16" t="n"/>
      <c r="I968" s="16" t="n"/>
      <c r="J968" s="17" t="n"/>
      <c r="K968" s="17" t="n"/>
      <c r="L968" s="17" t="n"/>
      <c r="M968" s="16" t="n"/>
      <c r="N968" s="16" t="n"/>
      <c r="O968" s="18" t="n"/>
      <c r="P968" s="18" t="n"/>
      <c r="Q968" s="16" t="n"/>
    </row>
    <row r="969">
      <c r="E969" s="15" t="n"/>
      <c r="F969" s="15" t="n"/>
      <c r="G969" s="15" t="n"/>
      <c r="H969" s="16" t="n"/>
      <c r="I969" s="16" t="n"/>
      <c r="J969" s="17" t="n"/>
      <c r="K969" s="17" t="n"/>
      <c r="L969" s="17" t="n"/>
      <c r="M969" s="16" t="n"/>
      <c r="N969" s="16" t="n"/>
      <c r="O969" s="18" t="n"/>
      <c r="P969" s="18" t="n"/>
      <c r="Q969" s="16" t="n"/>
    </row>
    <row r="970">
      <c r="E970" s="15" t="n"/>
      <c r="F970" s="15" t="n"/>
      <c r="G970" s="15" t="n"/>
      <c r="H970" s="16" t="n"/>
      <c r="I970" s="16" t="n"/>
      <c r="J970" s="17" t="n"/>
      <c r="K970" s="17" t="n"/>
      <c r="L970" s="17" t="n"/>
      <c r="M970" s="16" t="n"/>
      <c r="N970" s="16" t="n"/>
      <c r="O970" s="18" t="n"/>
      <c r="P970" s="18" t="n"/>
      <c r="Q97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M9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1.75" customWidth="1" style="21" min="1" max="1"/>
    <col width="14.75" customWidth="1" style="21" min="2" max="2"/>
    <col width="9.630000000000001" customWidth="1" style="21" min="3" max="3"/>
    <col width="9.75" customWidth="1" style="21" min="4" max="4"/>
    <col width="30.75" customWidth="1" style="21" min="5" max="5"/>
    <col width="13.75" customWidth="1" style="21" min="6" max="6"/>
    <col width="18.13" customWidth="1" style="21" min="7" max="7"/>
    <col width="12.88" customWidth="1" style="21" min="8" max="9"/>
    <col width="30.63" customWidth="1" style="21" min="10" max="10"/>
    <col width="13.63" customWidth="1" style="21" min="11" max="11"/>
    <col width="18" customWidth="1" style="21" min="12" max="12"/>
    <col width="13.13" customWidth="1" style="21" min="13" max="13"/>
    <col width="10.88" customWidth="1" style="21" min="14" max="14"/>
    <col width="15.88" customWidth="1" style="21" min="15" max="15"/>
    <col width="20.38" customWidth="1" style="21" min="16" max="16"/>
    <col width="15.13" customWidth="1" style="21" min="17" max="17"/>
    <col width="25.88" customWidth="1" style="21" min="18" max="18"/>
    <col width="17.13" customWidth="1" style="21" min="19" max="19"/>
    <col width="8.75" customWidth="1" style="21" min="20" max="24"/>
    <col width="21.5" customWidth="1" style="21" min="25" max="25"/>
    <col width="14.38" customWidth="1" style="21" min="26" max="26"/>
    <col width="22.13" customWidth="1" style="21" min="27" max="27"/>
    <col width="19" customWidth="1" style="21" min="28" max="28"/>
    <col width="13.88" customWidth="1" style="21" min="29" max="29"/>
    <col width="14.75" customWidth="1" style="21" min="30" max="30"/>
    <col width="14.63" customWidth="1" style="21" min="31" max="31"/>
    <col width="13.38" customWidth="1" style="21" min="32" max="32"/>
    <col width="18.25" customWidth="1" style="21" min="33" max="33"/>
    <col width="14.25" customWidth="1" style="21" min="34" max="34"/>
    <col width="14.75" customWidth="1" style="21" min="35" max="35"/>
    <col width="14.63" customWidth="1" style="21" min="36" max="36"/>
    <col width="13.38" customWidth="1" style="21" min="37" max="37"/>
    <col width="18.25" customWidth="1" style="21" min="38" max="38"/>
    <col width="14.25" customWidth="1" style="21" min="39" max="39"/>
  </cols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match_type</t>
        </is>
      </c>
      <c r="D1" s="1" t="inlineStr">
        <is>
          <t>q_threshold</t>
        </is>
      </c>
      <c r="E1" s="15" t="inlineStr">
        <is>
          <t>known_drugs_available_in_tahoe_count</t>
        </is>
      </c>
      <c r="F1" s="15" t="inlineStr">
        <is>
          <t>tahoe_hits_count</t>
        </is>
      </c>
      <c r="G1" s="15" t="inlineStr">
        <is>
          <t>tahoe_in_known_count</t>
        </is>
      </c>
      <c r="H1" s="8" t="inlineStr">
        <is>
          <t>Tahoe Precision</t>
        </is>
      </c>
      <c r="I1" s="8" t="inlineStr">
        <is>
          <t>Tahoe Recall</t>
        </is>
      </c>
      <c r="J1" s="4" t="inlineStr">
        <is>
          <t>known_drugs_available_in_cmap_count</t>
        </is>
      </c>
      <c r="K1" s="17" t="inlineStr">
        <is>
          <t>cmap_hits_count</t>
        </is>
      </c>
      <c r="L1" s="17" t="inlineStr">
        <is>
          <t>cmap_in_known_count</t>
        </is>
      </c>
      <c r="M1" s="8" t="inlineStr">
        <is>
          <t>CMAP Precision</t>
        </is>
      </c>
      <c r="N1" s="8" t="inlineStr">
        <is>
          <t>CMAP Recall</t>
        </is>
      </c>
      <c r="O1" s="18" t="inlineStr">
        <is>
          <t>common_hits_count</t>
        </is>
      </c>
      <c r="P1" s="7" t="inlineStr">
        <is>
          <t>common_in_known_count</t>
        </is>
      </c>
      <c r="Q1" s="8" t="inlineStr">
        <is>
          <t>Common Precision</t>
        </is>
      </c>
      <c r="R1" s="9" t="inlineStr">
        <is>
          <t>known_drugs_in_database_count</t>
        </is>
      </c>
      <c r="S1" s="9" t="inlineStr">
        <is>
          <t>total_in_known_count</t>
        </is>
      </c>
      <c r="T1" s="1" t="inlineStr">
        <is>
          <t>phase_0.5</t>
        </is>
      </c>
      <c r="U1" s="1" t="inlineStr">
        <is>
          <t>phase_1.0</t>
        </is>
      </c>
      <c r="V1" s="9" t="inlineStr">
        <is>
          <t>phase_2.0</t>
        </is>
      </c>
      <c r="W1" s="1" t="inlineStr">
        <is>
          <t>phase_3.0</t>
        </is>
      </c>
      <c r="X1" s="1" t="inlineStr">
        <is>
          <t>phase_4.0</t>
        </is>
      </c>
      <c r="Y1" s="1" t="inlineStr">
        <is>
          <t>status_Active, not recruiting</t>
        </is>
      </c>
      <c r="Z1" s="1" t="inlineStr">
        <is>
          <t>status_Completed</t>
        </is>
      </c>
      <c r="AA1" s="1" t="inlineStr">
        <is>
          <t>status_Enrolling by invitation</t>
        </is>
      </c>
      <c r="AB1" s="1" t="inlineStr">
        <is>
          <t>status_Not yet recruiting</t>
        </is>
      </c>
      <c r="AC1" s="1" t="inlineStr">
        <is>
          <t>status_Recruiting</t>
        </is>
      </c>
      <c r="AD1" s="1" t="inlineStr">
        <is>
          <t>status_Suspended</t>
        </is>
      </c>
      <c r="AE1" s="1" t="inlineStr">
        <is>
          <t>status_Terminated</t>
        </is>
      </c>
      <c r="AF1" s="1" t="inlineStr">
        <is>
          <t>status_Unknown</t>
        </is>
      </c>
      <c r="AG1" s="1" t="inlineStr">
        <is>
          <t>status_Unknown status</t>
        </is>
      </c>
      <c r="AH1" s="1" t="inlineStr">
        <is>
          <t>status_Withdrawn</t>
        </is>
      </c>
      <c r="AI1" s="1" t="inlineStr">
        <is>
          <t>status_Suspended</t>
        </is>
      </c>
      <c r="AJ1" s="1" t="inlineStr">
        <is>
          <t>status_Terminated</t>
        </is>
      </c>
      <c r="AK1" s="1" t="inlineStr">
        <is>
          <t>status_Unknown</t>
        </is>
      </c>
      <c r="AL1" s="1" t="inlineStr">
        <is>
          <t>status_Unknown status</t>
        </is>
      </c>
      <c r="AM1" s="1" t="inlineStr">
        <is>
          <t>status_Withdrawn</t>
        </is>
      </c>
    </row>
    <row r="2">
      <c r="A2" s="1" t="inlineStr">
        <is>
          <t>multiple myeloma</t>
        </is>
      </c>
      <c r="B2" s="1" t="inlineStr">
        <is>
          <t>EFO_0001378</t>
        </is>
      </c>
      <c r="C2" s="1" t="inlineStr">
        <is>
          <t>name</t>
        </is>
      </c>
      <c r="D2" s="1" t="n">
        <v>0.05</v>
      </c>
      <c r="E2" s="15" t="n">
        <v>62</v>
      </c>
      <c r="F2" s="15" t="n">
        <v>152</v>
      </c>
      <c r="G2" s="15" t="n">
        <v>26</v>
      </c>
      <c r="H2" s="16">
        <f>G2/F2</f>
        <v/>
      </c>
      <c r="I2" s="16">
        <f>G2/E2</f>
        <v/>
      </c>
      <c r="J2" s="17" t="n">
        <v>40</v>
      </c>
      <c r="K2" s="17" t="n">
        <v>433</v>
      </c>
      <c r="L2" s="17" t="n">
        <v>10</v>
      </c>
      <c r="M2" s="16">
        <f>L2/K2</f>
        <v/>
      </c>
      <c r="N2" s="16">
        <f>L2/J2</f>
        <v/>
      </c>
      <c r="O2" s="18" t="n">
        <v>9</v>
      </c>
      <c r="P2" s="18" t="n">
        <v>3</v>
      </c>
      <c r="Q2" s="16">
        <f>P2/O2</f>
        <v/>
      </c>
      <c r="R2" s="1" t="n">
        <v>2564</v>
      </c>
      <c r="S2" s="1" t="n">
        <v>33</v>
      </c>
      <c r="T2" s="1" t="n">
        <v>6</v>
      </c>
      <c r="U2" s="1" t="n">
        <v>39</v>
      </c>
      <c r="V2" s="1" t="n">
        <v>54</v>
      </c>
      <c r="W2" s="1" t="n">
        <v>21</v>
      </c>
      <c r="X2" s="1" t="n">
        <v>2</v>
      </c>
      <c r="Y2" s="1" t="n">
        <v>15</v>
      </c>
      <c r="Z2" s="1" t="n">
        <v>39</v>
      </c>
      <c r="AA2" s="1" t="n">
        <v>2</v>
      </c>
      <c r="AB2" s="1" t="n">
        <v>5</v>
      </c>
      <c r="AC2" s="1" t="n">
        <v>16</v>
      </c>
      <c r="AD2" s="1" t="n">
        <v>1</v>
      </c>
      <c r="AE2" s="1" t="n">
        <v>21</v>
      </c>
      <c r="AF2" s="1" t="n">
        <v>1</v>
      </c>
      <c r="AG2" s="1" t="n">
        <v>13</v>
      </c>
      <c r="AH2" s="1" t="n">
        <v>9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</row>
    <row r="3">
      <c r="A3" s="1" t="inlineStr">
        <is>
          <t>type 2 diabetes mellitus</t>
        </is>
      </c>
      <c r="B3" s="1" t="inlineStr">
        <is>
          <t>MONDO_0005148</t>
        </is>
      </c>
      <c r="C3" s="1" t="inlineStr">
        <is>
          <t>name</t>
        </is>
      </c>
      <c r="D3" s="1" t="n">
        <v>0.05</v>
      </c>
      <c r="E3" s="15" t="n">
        <v>21</v>
      </c>
      <c r="F3" s="15" t="n">
        <v>311</v>
      </c>
      <c r="G3" s="15" t="n">
        <v>14</v>
      </c>
      <c r="H3" s="16">
        <f>G3/F3</f>
        <v/>
      </c>
      <c r="I3" s="16">
        <f>G3/E3</f>
        <v/>
      </c>
      <c r="J3" s="17" t="n">
        <v>56</v>
      </c>
      <c r="K3" s="17" t="n">
        <v>721</v>
      </c>
      <c r="L3" s="17" t="n">
        <v>31</v>
      </c>
      <c r="M3" s="16">
        <f>L3/K3</f>
        <v/>
      </c>
      <c r="N3" s="16">
        <f>L3/J3</f>
        <v/>
      </c>
      <c r="O3" s="18" t="n">
        <v>27</v>
      </c>
      <c r="P3" s="18" t="n">
        <v>3</v>
      </c>
      <c r="Q3" s="16">
        <f>P3/O3</f>
        <v/>
      </c>
      <c r="R3" s="1" t="n">
        <v>2321</v>
      </c>
      <c r="S3" s="1" t="n">
        <v>42</v>
      </c>
      <c r="T3" s="1" t="n">
        <v>4</v>
      </c>
      <c r="U3" s="1" t="n">
        <v>36</v>
      </c>
      <c r="V3" s="1" t="n">
        <v>29</v>
      </c>
      <c r="W3" s="1" t="n">
        <v>50</v>
      </c>
      <c r="X3" s="1" t="n">
        <v>20</v>
      </c>
      <c r="Y3" s="1" t="n">
        <v>9</v>
      </c>
      <c r="Z3" s="1" t="n">
        <v>58</v>
      </c>
      <c r="AA3" s="1" t="n">
        <v>3</v>
      </c>
      <c r="AB3" s="1" t="n">
        <v>10</v>
      </c>
      <c r="AC3" s="1" t="n">
        <v>10</v>
      </c>
      <c r="AD3" s="1" t="n">
        <v>4</v>
      </c>
      <c r="AE3" s="1" t="n">
        <v>18</v>
      </c>
      <c r="AF3" s="1" t="n">
        <v>6</v>
      </c>
      <c r="AG3" s="1" t="n">
        <v>12</v>
      </c>
      <c r="AH3" s="1" t="n">
        <v>9</v>
      </c>
      <c r="AI3" s="1" t="n">
        <v>2</v>
      </c>
      <c r="AJ3" s="1" t="n">
        <v>46</v>
      </c>
      <c r="AK3" s="1" t="n">
        <v>5</v>
      </c>
      <c r="AL3" s="1" t="n">
        <v>19</v>
      </c>
      <c r="AM3" s="1" t="n">
        <v>17</v>
      </c>
    </row>
    <row r="4">
      <c r="A4" s="1" t="inlineStr">
        <is>
          <t>prostate cancer</t>
        </is>
      </c>
      <c r="B4" s="1" t="inlineStr">
        <is>
          <t>MONDO_0008315</t>
        </is>
      </c>
      <c r="C4" s="1" t="inlineStr">
        <is>
          <t>name</t>
        </is>
      </c>
      <c r="D4" s="1" t="n">
        <v>0.05</v>
      </c>
      <c r="E4" s="15" t="n">
        <v>61</v>
      </c>
      <c r="F4" s="15" t="n">
        <v>180</v>
      </c>
      <c r="G4" s="15" t="n">
        <v>35</v>
      </c>
      <c r="H4" s="16">
        <f>G4/F4</f>
        <v/>
      </c>
      <c r="I4" s="16">
        <f>G4/E4</f>
        <v/>
      </c>
      <c r="J4" s="17" t="n">
        <v>71</v>
      </c>
      <c r="K4" s="17" t="n">
        <v>390</v>
      </c>
      <c r="L4" s="17" t="n">
        <v>26</v>
      </c>
      <c r="M4" s="16">
        <f>L4/K4</f>
        <v/>
      </c>
      <c r="N4" s="16">
        <f>L4/J4</f>
        <v/>
      </c>
      <c r="O4" s="18" t="n">
        <v>4</v>
      </c>
      <c r="P4" s="18" t="n">
        <v>2</v>
      </c>
      <c r="Q4" s="16">
        <f>P4/O4</f>
        <v/>
      </c>
      <c r="R4" s="1" t="n">
        <v>3429</v>
      </c>
      <c r="S4" s="1" t="n">
        <v>59</v>
      </c>
      <c r="T4" s="1" t="n">
        <v>7</v>
      </c>
      <c r="U4" s="1" t="n">
        <v>71</v>
      </c>
      <c r="V4" s="1" t="n">
        <v>108</v>
      </c>
      <c r="W4" s="1" t="n">
        <v>48</v>
      </c>
      <c r="X4" s="1" t="n">
        <v>10</v>
      </c>
      <c r="Y4" s="1" t="n">
        <v>34</v>
      </c>
      <c r="Z4" s="1" t="n">
        <v>80</v>
      </c>
      <c r="AA4" s="1" t="n">
        <v>1</v>
      </c>
      <c r="AB4" s="1" t="n">
        <v>12</v>
      </c>
      <c r="AC4" s="1" t="n">
        <v>28</v>
      </c>
      <c r="AD4" s="1" t="n">
        <v>2</v>
      </c>
      <c r="AE4" s="1" t="n">
        <v>46</v>
      </c>
      <c r="AF4" s="1" t="n">
        <v>5</v>
      </c>
      <c r="AG4" s="1" t="n">
        <v>19</v>
      </c>
      <c r="AH4" s="1" t="n">
        <v>17</v>
      </c>
      <c r="AI4" s="1" t="n">
        <v>0</v>
      </c>
      <c r="AJ4" s="1" t="n">
        <v>11</v>
      </c>
      <c r="AK4" s="1" t="n">
        <v>9</v>
      </c>
      <c r="AL4" s="1" t="n">
        <v>3</v>
      </c>
      <c r="AM4" s="1" t="n">
        <v>3</v>
      </c>
    </row>
    <row r="5">
      <c r="A5" s="1" t="inlineStr">
        <is>
          <t>rheumatoid arthritis</t>
        </is>
      </c>
      <c r="B5" s="1" t="inlineStr">
        <is>
          <t>EFO_0000685</t>
        </is>
      </c>
      <c r="C5" s="1" t="inlineStr">
        <is>
          <t>name</t>
        </is>
      </c>
      <c r="D5" s="1" t="n">
        <v>0.05</v>
      </c>
      <c r="E5" s="15" t="n">
        <v>25</v>
      </c>
      <c r="F5" s="15" t="n">
        <v>272</v>
      </c>
      <c r="G5" s="15" t="n">
        <v>16</v>
      </c>
      <c r="H5" s="16">
        <f>G5/F5</f>
        <v/>
      </c>
      <c r="I5" s="16">
        <f>G5/E5</f>
        <v/>
      </c>
      <c r="J5" s="17" t="n">
        <v>45</v>
      </c>
      <c r="K5" s="17" t="n">
        <v>164</v>
      </c>
      <c r="L5" s="17" t="n">
        <v>8</v>
      </c>
      <c r="M5" s="16">
        <f>L5/K5</f>
        <v/>
      </c>
      <c r="N5" s="16">
        <f>L5/J5</f>
        <v/>
      </c>
      <c r="O5" s="18" t="n">
        <v>4</v>
      </c>
      <c r="P5" s="18" t="n">
        <v>2</v>
      </c>
      <c r="Q5" s="16">
        <f>P5/O5</f>
        <v/>
      </c>
      <c r="R5" s="1" t="n">
        <v>2397</v>
      </c>
      <c r="S5" s="1" t="n">
        <v>22</v>
      </c>
      <c r="T5" s="1" t="n">
        <v>1</v>
      </c>
      <c r="U5" s="1" t="n">
        <v>12</v>
      </c>
      <c r="V5" s="1" t="n">
        <v>21</v>
      </c>
      <c r="W5" s="1" t="n">
        <v>17</v>
      </c>
      <c r="X5" s="1" t="n">
        <v>21</v>
      </c>
      <c r="Y5" s="1" t="n">
        <v>4</v>
      </c>
      <c r="Z5" s="1" t="n">
        <v>28</v>
      </c>
      <c r="AA5" s="1" t="n">
        <v>0</v>
      </c>
      <c r="AB5" s="1" t="n">
        <v>2</v>
      </c>
      <c r="AC5" s="1" t="n">
        <v>12</v>
      </c>
      <c r="AD5" s="1" t="n">
        <v>0</v>
      </c>
      <c r="AE5" s="1" t="n">
        <v>11</v>
      </c>
      <c r="AF5" s="1" t="n">
        <v>9</v>
      </c>
      <c r="AG5" s="1" t="n">
        <v>3</v>
      </c>
      <c r="AH5" s="1" t="n">
        <v>3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1</v>
      </c>
    </row>
    <row r="6">
      <c r="A6" s="1" t="inlineStr">
        <is>
          <t>breast cancer</t>
        </is>
      </c>
      <c r="B6" s="1" t="inlineStr">
        <is>
          <t>MONDO_0007254</t>
        </is>
      </c>
      <c r="C6" s="1" t="inlineStr">
        <is>
          <t>name</t>
        </is>
      </c>
      <c r="D6" s="1" t="n">
        <v>0.05</v>
      </c>
      <c r="E6" s="15" t="n">
        <v>78</v>
      </c>
      <c r="F6" s="15" t="n">
        <v>378</v>
      </c>
      <c r="G6" s="15" t="n">
        <v>78</v>
      </c>
      <c r="H6" s="16">
        <f>G6/F6</f>
        <v/>
      </c>
      <c r="I6" s="16">
        <f>G6/E6</f>
        <v/>
      </c>
      <c r="J6" s="17" t="n">
        <v>83</v>
      </c>
      <c r="K6" s="17" t="n">
        <v>20</v>
      </c>
      <c r="L6" s="17" t="n">
        <v>5</v>
      </c>
      <c r="M6" s="16">
        <f>L6/K6</f>
        <v/>
      </c>
      <c r="N6" s="16">
        <f>L6/J6</f>
        <v/>
      </c>
      <c r="O6" s="18" t="n">
        <v>1</v>
      </c>
      <c r="P6" s="18" t="n">
        <v>1</v>
      </c>
      <c r="Q6" s="16">
        <f>P6/O6</f>
        <v/>
      </c>
      <c r="R6" s="1" t="n">
        <v>4617</v>
      </c>
      <c r="S6" s="1" t="n">
        <v>82</v>
      </c>
      <c r="T6" s="1" t="n">
        <v>15</v>
      </c>
      <c r="U6" s="1" t="n">
        <v>139</v>
      </c>
      <c r="V6" s="1" t="n">
        <v>202</v>
      </c>
      <c r="W6" s="1" t="n">
        <v>116</v>
      </c>
      <c r="X6" s="1" t="n">
        <v>37</v>
      </c>
      <c r="Y6" s="1" t="n">
        <v>65</v>
      </c>
      <c r="Z6" s="1" t="n">
        <v>132</v>
      </c>
      <c r="AA6" s="1" t="n">
        <v>6</v>
      </c>
      <c r="AB6" s="1" t="n">
        <v>33</v>
      </c>
      <c r="AC6" s="1" t="n">
        <v>72</v>
      </c>
      <c r="AD6" s="1" t="n">
        <v>10</v>
      </c>
      <c r="AE6" s="1" t="n">
        <v>84</v>
      </c>
      <c r="AF6" s="1" t="n">
        <v>13</v>
      </c>
      <c r="AG6" s="1" t="n">
        <v>53</v>
      </c>
      <c r="AH6" s="1" t="n">
        <v>41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</row>
    <row r="7">
      <c r="A7" s="1" t="inlineStr">
        <is>
          <t>chronic obstructive pulmonary disease</t>
        </is>
      </c>
      <c r="B7" s="1" t="inlineStr">
        <is>
          <t>EFO_0000341</t>
        </is>
      </c>
      <c r="C7" s="1" t="inlineStr">
        <is>
          <t>name</t>
        </is>
      </c>
      <c r="D7" s="1" t="n">
        <v>0.05</v>
      </c>
      <c r="E7" s="15" t="n">
        <v>15</v>
      </c>
      <c r="F7" s="15" t="n">
        <v>202</v>
      </c>
      <c r="G7" s="15" t="n">
        <v>11</v>
      </c>
      <c r="H7" s="16">
        <f>G7/F7</f>
        <v/>
      </c>
      <c r="I7" s="16">
        <f>G7/E7</f>
        <v/>
      </c>
      <c r="J7" s="17" t="n">
        <v>29</v>
      </c>
      <c r="K7" s="17" t="n">
        <v>165</v>
      </c>
      <c r="L7" s="17" t="n">
        <v>6</v>
      </c>
      <c r="M7" s="16">
        <f>L7/K7</f>
        <v/>
      </c>
      <c r="N7" s="16">
        <f>L7/J7</f>
        <v/>
      </c>
      <c r="O7" s="18" t="n">
        <v>7</v>
      </c>
      <c r="P7" s="18" t="n">
        <v>1</v>
      </c>
      <c r="Q7" s="16">
        <f>P7/O7</f>
        <v/>
      </c>
      <c r="R7" s="1" t="n">
        <v>1577</v>
      </c>
      <c r="S7" s="1" t="n">
        <v>16</v>
      </c>
      <c r="T7" s="1" t="n">
        <v>2</v>
      </c>
      <c r="U7" s="1" t="n">
        <v>6</v>
      </c>
      <c r="V7" s="1" t="n">
        <v>17</v>
      </c>
      <c r="W7" s="1" t="n">
        <v>19</v>
      </c>
      <c r="X7" s="1" t="n">
        <v>12</v>
      </c>
      <c r="Y7" s="1" t="n">
        <v>0</v>
      </c>
      <c r="Z7" s="1" t="n">
        <v>24</v>
      </c>
      <c r="AA7" s="1" t="n">
        <v>0</v>
      </c>
      <c r="AB7" s="1" t="n">
        <v>2</v>
      </c>
      <c r="AC7" s="1" t="n">
        <v>10</v>
      </c>
      <c r="AD7" s="1" t="n">
        <v>0</v>
      </c>
      <c r="AE7" s="1" t="n">
        <v>7</v>
      </c>
      <c r="AF7" s="1" t="n">
        <v>3</v>
      </c>
      <c r="AG7" s="1" t="n">
        <v>7</v>
      </c>
      <c r="AH7" s="1" t="n">
        <v>3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</row>
    <row r="8">
      <c r="A8" s="1" t="inlineStr">
        <is>
          <t>glaucoma</t>
        </is>
      </c>
      <c r="B8" s="1" t="inlineStr">
        <is>
          <t>MONDO_0005041</t>
        </is>
      </c>
      <c r="C8" s="1" t="inlineStr">
        <is>
          <t>name</t>
        </is>
      </c>
      <c r="D8" s="1" t="n">
        <v>0.05</v>
      </c>
      <c r="E8" s="15" t="n">
        <v>10</v>
      </c>
      <c r="F8" s="15" t="n">
        <v>147</v>
      </c>
      <c r="G8" s="15" t="n">
        <v>4</v>
      </c>
      <c r="H8" s="16">
        <f>G8/F8</f>
        <v/>
      </c>
      <c r="I8" s="16">
        <f>G8/E8</f>
        <v/>
      </c>
      <c r="J8" s="17" t="n">
        <v>23</v>
      </c>
      <c r="K8" s="17" t="n">
        <v>170</v>
      </c>
      <c r="L8" s="17" t="n">
        <v>3</v>
      </c>
      <c r="M8" s="16">
        <f>L8/K8</f>
        <v/>
      </c>
      <c r="N8" s="16">
        <f>L8/J8</f>
        <v/>
      </c>
      <c r="O8" s="18" t="n">
        <v>5</v>
      </c>
      <c r="P8" s="18" t="n">
        <v>1</v>
      </c>
      <c r="Q8" s="16">
        <f>P8/O8</f>
        <v/>
      </c>
      <c r="R8" s="1" t="n">
        <v>824</v>
      </c>
      <c r="S8" s="1" t="n">
        <v>6</v>
      </c>
      <c r="T8" s="1" t="n">
        <v>0</v>
      </c>
      <c r="U8" s="1" t="n">
        <v>2</v>
      </c>
      <c r="V8" s="1" t="n">
        <v>0</v>
      </c>
      <c r="W8" s="1" t="n">
        <v>5</v>
      </c>
      <c r="X8" s="1" t="n">
        <v>6</v>
      </c>
      <c r="Y8" s="1" t="n">
        <v>2</v>
      </c>
      <c r="Z8" s="1" t="n">
        <v>4</v>
      </c>
      <c r="AA8" s="1" t="n">
        <v>0</v>
      </c>
      <c r="AB8" s="1" t="n">
        <v>0</v>
      </c>
      <c r="AC8" s="1" t="n">
        <v>0</v>
      </c>
      <c r="AD8" s="1" t="n">
        <v>1</v>
      </c>
      <c r="AE8" s="1" t="n">
        <v>1</v>
      </c>
      <c r="AF8" s="1" t="n">
        <v>3</v>
      </c>
      <c r="AG8" s="1" t="n">
        <v>2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</row>
    <row r="9">
      <c r="A9" s="1" t="inlineStr">
        <is>
          <t>hypertension</t>
        </is>
      </c>
      <c r="B9" s="1" t="inlineStr">
        <is>
          <t>EFO_0000537</t>
        </is>
      </c>
      <c r="C9" s="1" t="inlineStr">
        <is>
          <t>name</t>
        </is>
      </c>
      <c r="D9" s="1" t="n">
        <v>0.05</v>
      </c>
      <c r="E9" s="15" t="n">
        <v>27</v>
      </c>
      <c r="F9" s="15" t="n">
        <v>207</v>
      </c>
      <c r="G9" s="15" t="n">
        <v>15</v>
      </c>
      <c r="H9" s="16">
        <f>G9/F9</f>
        <v/>
      </c>
      <c r="I9" s="16">
        <f>G9/E9</f>
        <v/>
      </c>
      <c r="J9" s="17" t="n">
        <v>67</v>
      </c>
      <c r="K9" s="17" t="n">
        <v>114</v>
      </c>
      <c r="L9" s="17" t="n">
        <v>9</v>
      </c>
      <c r="M9" s="16">
        <f>L9/K9</f>
        <v/>
      </c>
      <c r="N9" s="16">
        <f>L9/J9</f>
        <v/>
      </c>
      <c r="O9" s="18" t="n">
        <v>5</v>
      </c>
      <c r="P9" s="18" t="n">
        <v>1</v>
      </c>
      <c r="Q9" s="16">
        <f>P9/O9</f>
        <v/>
      </c>
      <c r="R9" s="1" t="n">
        <v>2820</v>
      </c>
      <c r="S9" s="1" t="n">
        <v>23</v>
      </c>
      <c r="T9" s="1" t="n">
        <v>1</v>
      </c>
      <c r="U9" s="1" t="n">
        <v>7</v>
      </c>
      <c r="V9" s="1" t="n">
        <v>7</v>
      </c>
      <c r="W9" s="1" t="n">
        <v>11</v>
      </c>
      <c r="X9" s="1" t="n">
        <v>13</v>
      </c>
      <c r="Y9" s="1" t="n">
        <v>0</v>
      </c>
      <c r="Z9" s="1" t="n">
        <v>22</v>
      </c>
      <c r="AA9" s="1" t="n">
        <v>0</v>
      </c>
      <c r="AB9" s="1" t="n">
        <v>0</v>
      </c>
      <c r="AC9" s="1" t="n">
        <v>2</v>
      </c>
      <c r="AD9" s="1" t="n">
        <v>0</v>
      </c>
      <c r="AE9" s="1" t="n">
        <v>3</v>
      </c>
      <c r="AF9" s="1" t="n">
        <v>8</v>
      </c>
      <c r="AG9" s="1" t="n">
        <v>1</v>
      </c>
      <c r="AH9" s="1" t="n">
        <v>3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</row>
    <row r="10">
      <c r="A10" s="1" t="inlineStr">
        <is>
          <t>inflammatory bowel disease</t>
        </is>
      </c>
      <c r="B10" s="1" t="inlineStr">
        <is>
          <t>EFO_0003767</t>
        </is>
      </c>
      <c r="C10" s="1" t="inlineStr">
        <is>
          <t>name</t>
        </is>
      </c>
      <c r="D10" s="1" t="n">
        <v>0.05</v>
      </c>
      <c r="E10" s="15" t="n">
        <v>7</v>
      </c>
      <c r="F10" s="15" t="n">
        <v>345</v>
      </c>
      <c r="G10" s="15" t="n">
        <v>6</v>
      </c>
      <c r="H10" s="16">
        <f>G10/F10</f>
        <v/>
      </c>
      <c r="I10" s="16">
        <f>G10/E10</f>
        <v/>
      </c>
      <c r="J10" s="17" t="n">
        <v>11</v>
      </c>
      <c r="K10" s="17" t="n">
        <v>109</v>
      </c>
      <c r="L10" s="17" t="n">
        <v>1</v>
      </c>
      <c r="M10" s="16">
        <f>L10/K10</f>
        <v/>
      </c>
      <c r="N10" s="16">
        <f>L10/J10</f>
        <v/>
      </c>
      <c r="O10" s="18" t="n">
        <v>8</v>
      </c>
      <c r="P10" s="18" t="n">
        <v>1</v>
      </c>
      <c r="Q10" s="16">
        <f>P10/O10</f>
        <v/>
      </c>
      <c r="R10" s="1" t="n">
        <v>538</v>
      </c>
      <c r="S10" s="1" t="n">
        <v>6</v>
      </c>
      <c r="T10" s="1" t="n">
        <v>0</v>
      </c>
      <c r="U10" s="1" t="n">
        <v>1</v>
      </c>
      <c r="V10" s="1" t="n">
        <v>5</v>
      </c>
      <c r="W10" s="1" t="n">
        <v>0</v>
      </c>
      <c r="X10" s="1" t="n">
        <v>0</v>
      </c>
      <c r="Y10" s="1" t="n">
        <v>0</v>
      </c>
      <c r="Z10" s="1" t="n">
        <v>2</v>
      </c>
      <c r="AA10" s="1" t="n">
        <v>0</v>
      </c>
      <c r="AB10" s="1" t="n">
        <v>0</v>
      </c>
      <c r="AC10" s="1" t="n">
        <v>2</v>
      </c>
      <c r="AD10" s="1" t="n">
        <v>0</v>
      </c>
      <c r="AE10" s="1" t="n">
        <v>2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</row>
    <row r="11">
      <c r="A11" s="1" t="inlineStr">
        <is>
          <t>multiple sclerosis</t>
        </is>
      </c>
      <c r="B11" s="1" t="inlineStr">
        <is>
          <t>MONDO_0005301</t>
        </is>
      </c>
      <c r="C11" s="1" t="inlineStr">
        <is>
          <t>name</t>
        </is>
      </c>
      <c r="D11" s="1" t="n">
        <v>0.05</v>
      </c>
      <c r="E11" s="15" t="n">
        <v>16</v>
      </c>
      <c r="F11" s="15" t="n">
        <v>141</v>
      </c>
      <c r="G11" s="15" t="n">
        <v>7</v>
      </c>
      <c r="H11" s="16">
        <f>G11/F11</f>
        <v/>
      </c>
      <c r="I11" s="16">
        <f>G11/E11</f>
        <v/>
      </c>
      <c r="J11" s="17" t="n">
        <v>43</v>
      </c>
      <c r="K11" s="17" t="n">
        <v>247</v>
      </c>
      <c r="L11" s="17" t="n">
        <v>12</v>
      </c>
      <c r="M11" s="16">
        <f>L11/K11</f>
        <v/>
      </c>
      <c r="N11" s="16">
        <f>L11/J11</f>
        <v/>
      </c>
      <c r="O11" s="18" t="n">
        <v>6</v>
      </c>
      <c r="P11" s="18" t="n">
        <v>1</v>
      </c>
      <c r="Q11" s="16">
        <f>P11/O11</f>
        <v/>
      </c>
      <c r="R11" s="1" t="n">
        <v>1885</v>
      </c>
      <c r="S11" s="1" t="n">
        <v>18</v>
      </c>
      <c r="T11" s="1" t="n">
        <v>1</v>
      </c>
      <c r="U11" s="1" t="n">
        <v>2</v>
      </c>
      <c r="V11" s="1" t="n">
        <v>12</v>
      </c>
      <c r="W11" s="1" t="n">
        <v>11</v>
      </c>
      <c r="X11" s="1" t="n">
        <v>5</v>
      </c>
      <c r="Y11" s="1" t="n">
        <v>2</v>
      </c>
      <c r="Z11" s="1" t="n">
        <v>14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5</v>
      </c>
      <c r="AF11" s="1" t="n">
        <v>4</v>
      </c>
      <c r="AG11" s="1" t="n">
        <v>4</v>
      </c>
      <c r="AH11" s="1" t="n">
        <v>2</v>
      </c>
      <c r="AI11" s="1" t="n">
        <v>2</v>
      </c>
      <c r="AJ11" s="1" t="n">
        <v>13</v>
      </c>
      <c r="AK11" s="1" t="n">
        <v>1</v>
      </c>
      <c r="AL11" s="1" t="n">
        <v>7</v>
      </c>
      <c r="AM11" s="1" t="n">
        <v>3</v>
      </c>
    </row>
    <row r="12">
      <c r="A12" s="1" t="inlineStr">
        <is>
          <t>obesity</t>
        </is>
      </c>
      <c r="B12" s="1" t="inlineStr">
        <is>
          <t>EFO_0001073</t>
        </is>
      </c>
      <c r="C12" s="1" t="inlineStr">
        <is>
          <t>name</t>
        </is>
      </c>
      <c r="D12" s="1" t="n">
        <v>0.05</v>
      </c>
      <c r="E12" s="15" t="n">
        <v>12</v>
      </c>
      <c r="F12" s="15" t="n">
        <v>184</v>
      </c>
      <c r="G12" s="15" t="n">
        <v>6</v>
      </c>
      <c r="H12" s="16">
        <f>G12/F12</f>
        <v/>
      </c>
      <c r="I12" s="16">
        <f>G12/E12</f>
        <v/>
      </c>
      <c r="J12" s="17" t="n">
        <v>34</v>
      </c>
      <c r="K12" s="17" t="n">
        <v>918</v>
      </c>
      <c r="L12" s="17" t="n">
        <v>25</v>
      </c>
      <c r="M12" s="16">
        <f>L12/K12</f>
        <v/>
      </c>
      <c r="N12" s="16">
        <f>L12/J12</f>
        <v/>
      </c>
      <c r="O12" s="18" t="n">
        <v>16</v>
      </c>
      <c r="P12" s="18" t="n">
        <v>1</v>
      </c>
      <c r="Q12" s="16">
        <f>P12/O12</f>
        <v/>
      </c>
      <c r="R12" s="1" t="n">
        <v>1702</v>
      </c>
      <c r="S12" s="1" t="n">
        <v>30</v>
      </c>
      <c r="T12" s="1" t="n">
        <v>4</v>
      </c>
      <c r="U12" s="1" t="n">
        <v>19</v>
      </c>
      <c r="V12" s="1" t="n">
        <v>27</v>
      </c>
      <c r="W12" s="1" t="n">
        <v>14</v>
      </c>
      <c r="X12" s="1" t="n">
        <v>4</v>
      </c>
      <c r="Y12" s="1" t="n">
        <v>6</v>
      </c>
      <c r="Z12" s="1" t="n">
        <v>36</v>
      </c>
      <c r="AA12" s="1" t="n">
        <v>0</v>
      </c>
      <c r="AB12" s="1" t="n">
        <v>3</v>
      </c>
      <c r="AC12" s="1" t="n">
        <v>8</v>
      </c>
      <c r="AD12" s="1" t="n">
        <v>2</v>
      </c>
      <c r="AE12" s="1" t="n">
        <v>3</v>
      </c>
      <c r="AF12" s="1" t="n">
        <v>1</v>
      </c>
      <c r="AG12" s="1" t="n">
        <v>6</v>
      </c>
      <c r="AH12" s="1" t="n">
        <v>3</v>
      </c>
      <c r="AI12" s="1" t="n">
        <v>0</v>
      </c>
      <c r="AJ12" s="1" t="n">
        <v>5</v>
      </c>
      <c r="AK12" s="1" t="n">
        <v>7</v>
      </c>
      <c r="AL12" s="1" t="n">
        <v>3</v>
      </c>
      <c r="AM12" s="1" t="n">
        <v>1</v>
      </c>
    </row>
    <row r="13">
      <c r="A13" s="1" t="inlineStr">
        <is>
          <t>osteoarthritis</t>
        </is>
      </c>
      <c r="B13" s="1" t="inlineStr">
        <is>
          <t>MONDO_0005178</t>
        </is>
      </c>
      <c r="C13" s="1" t="inlineStr">
        <is>
          <t>name</t>
        </is>
      </c>
      <c r="D13" s="1" t="n">
        <v>0.05</v>
      </c>
      <c r="E13" s="15" t="n">
        <v>16</v>
      </c>
      <c r="F13" s="15" t="n">
        <v>78</v>
      </c>
      <c r="G13" s="15" t="n">
        <v>2</v>
      </c>
      <c r="H13" s="16">
        <f>G13/F13</f>
        <v/>
      </c>
      <c r="I13" s="16">
        <f>G13/E13</f>
        <v/>
      </c>
      <c r="J13" s="17" t="n">
        <v>35</v>
      </c>
      <c r="K13" s="17" t="n">
        <v>541</v>
      </c>
      <c r="L13" s="17" t="n">
        <v>19</v>
      </c>
      <c r="M13" s="16">
        <f>L13/K13</f>
        <v/>
      </c>
      <c r="N13" s="16">
        <f>L13/J13</f>
        <v/>
      </c>
      <c r="O13" s="18" t="n">
        <v>3</v>
      </c>
      <c r="P13" s="18" t="n">
        <v>1</v>
      </c>
      <c r="Q13" s="16">
        <f>P13/O13</f>
        <v/>
      </c>
      <c r="R13" s="1" t="n">
        <v>1689</v>
      </c>
      <c r="S13" s="1" t="n">
        <v>20</v>
      </c>
      <c r="T13" s="1" t="n">
        <v>1</v>
      </c>
      <c r="U13" s="1" t="n">
        <v>3</v>
      </c>
      <c r="V13" s="1" t="n">
        <v>7</v>
      </c>
      <c r="W13" s="1" t="n">
        <v>16</v>
      </c>
      <c r="X13" s="1" t="n">
        <v>27</v>
      </c>
      <c r="Y13" s="1" t="n">
        <v>0</v>
      </c>
      <c r="Z13" s="1" t="n">
        <v>23</v>
      </c>
      <c r="AA13" s="1" t="n">
        <v>1</v>
      </c>
      <c r="AB13" s="1" t="n">
        <v>0</v>
      </c>
      <c r="AC13" s="1" t="n">
        <v>4</v>
      </c>
      <c r="AD13" s="1" t="n">
        <v>0</v>
      </c>
      <c r="AE13" s="1" t="n">
        <v>4</v>
      </c>
      <c r="AF13" s="1" t="n">
        <v>15</v>
      </c>
      <c r="AG13" s="1" t="n">
        <v>6</v>
      </c>
      <c r="AH13" s="1" t="n">
        <v>1</v>
      </c>
      <c r="AI13" s="1" t="n">
        <v>10</v>
      </c>
      <c r="AJ13" s="1" t="n">
        <v>84</v>
      </c>
      <c r="AK13" s="1" t="n">
        <v>13</v>
      </c>
      <c r="AL13" s="1" t="n">
        <v>53</v>
      </c>
      <c r="AM13" s="1" t="n">
        <v>41</v>
      </c>
    </row>
    <row r="14">
      <c r="A14" s="1" t="inlineStr">
        <is>
          <t>Psoriasis vulgaris</t>
        </is>
      </c>
      <c r="B14" s="1" t="inlineStr">
        <is>
          <t>EFO_1001494</t>
        </is>
      </c>
      <c r="C14" s="1" t="inlineStr">
        <is>
          <t>name</t>
        </is>
      </c>
      <c r="D14" s="1" t="n">
        <v>0.05</v>
      </c>
      <c r="E14" s="15" t="n">
        <v>7</v>
      </c>
      <c r="F14" s="15" t="n">
        <v>312</v>
      </c>
      <c r="G14" s="15" t="n">
        <v>7</v>
      </c>
      <c r="H14" s="16">
        <f>G14/F14</f>
        <v/>
      </c>
      <c r="I14" s="16">
        <f>G14/E14</f>
        <v/>
      </c>
      <c r="J14" s="17" t="n">
        <v>6</v>
      </c>
      <c r="K14" s="17" t="n">
        <v>237</v>
      </c>
      <c r="L14" s="17" t="n">
        <v>1</v>
      </c>
      <c r="M14" s="16">
        <f>L14/K14</f>
        <v/>
      </c>
      <c r="N14" s="16">
        <f>L14/J14</f>
        <v/>
      </c>
      <c r="O14" s="18" t="n">
        <v>11</v>
      </c>
      <c r="P14" s="18" t="n">
        <v>1</v>
      </c>
      <c r="Q14" s="16">
        <f>P14/O14</f>
        <v/>
      </c>
      <c r="R14" s="1" t="n">
        <v>658</v>
      </c>
      <c r="S14" s="1" t="n">
        <v>7</v>
      </c>
      <c r="T14" s="1" t="n">
        <v>1</v>
      </c>
      <c r="U14" s="1" t="n">
        <v>3</v>
      </c>
      <c r="V14" s="1" t="n">
        <v>4</v>
      </c>
      <c r="W14" s="1" t="n">
        <v>2</v>
      </c>
      <c r="X14" s="1" t="n">
        <v>7</v>
      </c>
      <c r="Y14" s="1" t="n">
        <v>0</v>
      </c>
      <c r="Z14" s="1" t="n">
        <v>11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3</v>
      </c>
      <c r="AG14" s="1" t="n">
        <v>2</v>
      </c>
      <c r="AH14" s="1" t="n">
        <v>1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</row>
    <row r="15">
      <c r="A15" s="1" t="inlineStr">
        <is>
          <t>renal cell carcinoma</t>
        </is>
      </c>
      <c r="B15" s="1" t="inlineStr">
        <is>
          <t>EFO_0000681</t>
        </is>
      </c>
      <c r="C15" s="1" t="inlineStr">
        <is>
          <t>name</t>
        </is>
      </c>
      <c r="D15" s="1" t="n">
        <v>0.05</v>
      </c>
      <c r="E15" s="15" t="n">
        <v>32</v>
      </c>
      <c r="F15" s="15" t="n">
        <v>181</v>
      </c>
      <c r="G15" s="15" t="n">
        <v>16</v>
      </c>
      <c r="H15" s="16">
        <f>G15/F15</f>
        <v/>
      </c>
      <c r="I15" s="16">
        <f>G15/E15</f>
        <v/>
      </c>
      <c r="J15" s="17" t="n">
        <v>19</v>
      </c>
      <c r="K15" s="17" t="n">
        <v>418</v>
      </c>
      <c r="L15" s="17" t="n">
        <v>7</v>
      </c>
      <c r="M15" s="16">
        <f>L15/K15</f>
        <v/>
      </c>
      <c r="N15" s="16">
        <f>L15/J15</f>
        <v/>
      </c>
      <c r="O15" s="18" t="n">
        <v>7</v>
      </c>
      <c r="P15" s="18" t="n">
        <v>1</v>
      </c>
      <c r="Q15" s="16">
        <f>P15/O15</f>
        <v/>
      </c>
      <c r="R15" s="1" t="n">
        <v>1279</v>
      </c>
      <c r="S15" s="1" t="n">
        <v>22</v>
      </c>
      <c r="T15" s="1" t="n">
        <v>1</v>
      </c>
      <c r="U15" s="1" t="n">
        <v>22</v>
      </c>
      <c r="V15" s="1" t="n">
        <v>18</v>
      </c>
      <c r="W15" s="1" t="n">
        <v>6</v>
      </c>
      <c r="X15" s="1" t="n">
        <v>5</v>
      </c>
      <c r="Y15" s="1" t="n">
        <v>9</v>
      </c>
      <c r="Z15" s="1" t="n">
        <v>19</v>
      </c>
      <c r="AA15" s="1" t="n">
        <v>0</v>
      </c>
      <c r="AB15" s="1" t="n">
        <v>1</v>
      </c>
      <c r="AC15" s="1" t="n">
        <v>5</v>
      </c>
      <c r="AD15" s="1" t="n">
        <v>0</v>
      </c>
      <c r="AE15" s="1" t="n">
        <v>10</v>
      </c>
      <c r="AF15" s="1" t="n">
        <v>3</v>
      </c>
      <c r="AG15" s="1" t="n">
        <v>3</v>
      </c>
      <c r="AH15" s="1" t="n">
        <v>2</v>
      </c>
      <c r="AI15" s="1" t="n">
        <v>0</v>
      </c>
      <c r="AJ15" s="1" t="n">
        <v>3</v>
      </c>
      <c r="AK15" s="1" t="n">
        <v>1</v>
      </c>
      <c r="AL15" s="1" t="n">
        <v>2</v>
      </c>
      <c r="AM15" s="1" t="n">
        <v>0</v>
      </c>
    </row>
    <row r="16">
      <c r="A16" s="1" t="inlineStr">
        <is>
          <t>severe acute respiratory syndrome</t>
        </is>
      </c>
      <c r="B16" s="1" t="inlineStr">
        <is>
          <t>EFO_0000694</t>
        </is>
      </c>
      <c r="C16" s="1" t="inlineStr">
        <is>
          <t>name</t>
        </is>
      </c>
      <c r="D16" s="1" t="n">
        <v>0.05</v>
      </c>
      <c r="E16" s="15" t="n">
        <v>9</v>
      </c>
      <c r="F16" s="15" t="n">
        <v>304</v>
      </c>
      <c r="G16" s="15" t="n">
        <v>7</v>
      </c>
      <c r="H16" s="16">
        <f>G16/F16</f>
        <v/>
      </c>
      <c r="I16" s="16">
        <f>G16/E16</f>
        <v/>
      </c>
      <c r="J16" s="17" t="n">
        <v>14</v>
      </c>
      <c r="K16" s="17" t="n">
        <v>247</v>
      </c>
      <c r="L16" s="17" t="n">
        <v>5</v>
      </c>
      <c r="M16" s="16">
        <f>L16/K16</f>
        <v/>
      </c>
      <c r="N16" s="16">
        <f>L16/J16</f>
        <v/>
      </c>
      <c r="O16" s="18" t="n">
        <v>10</v>
      </c>
      <c r="P16" s="18" t="n">
        <v>1</v>
      </c>
      <c r="Q16" s="16">
        <f>P16/O16</f>
        <v/>
      </c>
      <c r="R16" s="1" t="n">
        <v>694</v>
      </c>
      <c r="S16" s="1" t="n">
        <v>11</v>
      </c>
      <c r="T16" s="1" t="n">
        <v>0</v>
      </c>
      <c r="U16" s="1" t="n">
        <v>4</v>
      </c>
      <c r="V16" s="1" t="n">
        <v>4</v>
      </c>
      <c r="W16" s="1" t="n">
        <v>6</v>
      </c>
      <c r="X16" s="1" t="n">
        <v>0</v>
      </c>
      <c r="Y16" s="1" t="n">
        <v>1</v>
      </c>
      <c r="Z16" s="1" t="n">
        <v>3</v>
      </c>
      <c r="AA16" s="1" t="n">
        <v>0</v>
      </c>
      <c r="AB16" s="1" t="n">
        <v>1</v>
      </c>
      <c r="AC16" s="1" t="n">
        <v>4</v>
      </c>
      <c r="AD16" s="1" t="n">
        <v>0</v>
      </c>
      <c r="AE16" s="1" t="n">
        <v>3</v>
      </c>
      <c r="AF16" s="1" t="n">
        <v>0</v>
      </c>
      <c r="AG16" s="1" t="n">
        <v>0</v>
      </c>
      <c r="AH16" s="1" t="n">
        <v>2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</row>
    <row r="17">
      <c r="A17" s="1" t="inlineStr">
        <is>
          <t>systemic lupus erythematosus</t>
        </is>
      </c>
      <c r="B17" s="1" t="inlineStr">
        <is>
          <t>MONDO_0007915</t>
        </is>
      </c>
      <c r="C17" s="1" t="inlineStr">
        <is>
          <t>name</t>
        </is>
      </c>
      <c r="D17" s="1" t="n">
        <v>0.05</v>
      </c>
      <c r="E17" s="15" t="n">
        <v>15</v>
      </c>
      <c r="F17" s="15" t="n">
        <v>267</v>
      </c>
      <c r="G17" s="15" t="n">
        <v>9</v>
      </c>
      <c r="H17" s="16">
        <f>G17/F17</f>
        <v/>
      </c>
      <c r="I17" s="16">
        <f>G17/E17</f>
        <v/>
      </c>
      <c r="J17" s="17" t="n">
        <v>20</v>
      </c>
      <c r="K17" s="17" t="n">
        <v>268</v>
      </c>
      <c r="L17" s="17" t="n">
        <v>8</v>
      </c>
      <c r="M17" s="16">
        <f>L17/K17</f>
        <v/>
      </c>
      <c r="N17" s="16">
        <f>L17/J17</f>
        <v/>
      </c>
      <c r="O17" s="18" t="n">
        <v>11</v>
      </c>
      <c r="P17" s="18" t="n">
        <v>1</v>
      </c>
      <c r="Q17" s="16">
        <f>P17/O17</f>
        <v/>
      </c>
      <c r="R17" s="1" t="n">
        <v>1071</v>
      </c>
      <c r="S17" s="1" t="n">
        <v>16</v>
      </c>
      <c r="T17" s="1" t="n">
        <v>2</v>
      </c>
      <c r="U17" s="1" t="n">
        <v>6</v>
      </c>
      <c r="V17" s="1" t="n">
        <v>10</v>
      </c>
      <c r="W17" s="1" t="n">
        <v>3</v>
      </c>
      <c r="X17" s="1" t="n">
        <v>3</v>
      </c>
      <c r="Y17" s="1" t="n">
        <v>0</v>
      </c>
      <c r="Z17" s="1" t="n">
        <v>13</v>
      </c>
      <c r="AA17" s="1" t="n">
        <v>0</v>
      </c>
      <c r="AB17" s="1" t="n">
        <v>1</v>
      </c>
      <c r="AC17" s="1" t="n">
        <v>2</v>
      </c>
      <c r="AD17" s="1" t="n">
        <v>0</v>
      </c>
      <c r="AE17" s="1" t="n">
        <v>4</v>
      </c>
      <c r="AF17" s="1" t="n">
        <v>3</v>
      </c>
      <c r="AG17" s="1" t="n">
        <v>0</v>
      </c>
      <c r="AH17" s="1" t="n">
        <v>1</v>
      </c>
      <c r="AI17" s="1" t="n">
        <v>0</v>
      </c>
      <c r="AJ17" s="1" t="n">
        <v>0</v>
      </c>
      <c r="AK17" s="1" t="n">
        <v>3</v>
      </c>
      <c r="AL17" s="1" t="n">
        <v>1</v>
      </c>
      <c r="AM17" s="1" t="n">
        <v>1</v>
      </c>
    </row>
    <row r="18">
      <c r="A18" s="1" t="inlineStr">
        <is>
          <t>tuberculosis</t>
        </is>
      </c>
      <c r="B18" s="1" t="inlineStr">
        <is>
          <t>MONDO_0018076</t>
        </is>
      </c>
      <c r="C18" s="1" t="inlineStr">
        <is>
          <t>name</t>
        </is>
      </c>
      <c r="D18" s="1" t="n">
        <v>0.05</v>
      </c>
      <c r="E18" s="15" t="n">
        <v>9</v>
      </c>
      <c r="F18" s="15" t="n">
        <v>326</v>
      </c>
      <c r="G18" s="15" t="n">
        <v>8</v>
      </c>
      <c r="H18" s="16">
        <f>G18/F18</f>
        <v/>
      </c>
      <c r="I18" s="16">
        <f>G18/E18</f>
        <v/>
      </c>
      <c r="J18" s="17" t="n">
        <v>12</v>
      </c>
      <c r="K18" s="17" t="n">
        <v>424</v>
      </c>
      <c r="L18" s="17" t="n">
        <v>3</v>
      </c>
      <c r="M18" s="16">
        <f>L18/K18</f>
        <v/>
      </c>
      <c r="N18" s="16">
        <f>L18/J18</f>
        <v/>
      </c>
      <c r="O18" s="18" t="n">
        <v>26</v>
      </c>
      <c r="P18" s="18" t="n">
        <v>1</v>
      </c>
      <c r="Q18" s="16">
        <f>P18/O18</f>
        <v/>
      </c>
      <c r="R18" s="1" t="n">
        <v>589</v>
      </c>
      <c r="S18" s="1" t="n">
        <v>10</v>
      </c>
      <c r="T18" s="1" t="n">
        <v>0</v>
      </c>
      <c r="U18" s="1" t="n">
        <v>3</v>
      </c>
      <c r="V18" s="1" t="n">
        <v>6</v>
      </c>
      <c r="W18" s="1" t="n">
        <v>2</v>
      </c>
      <c r="X18" s="1" t="n">
        <v>0</v>
      </c>
      <c r="Y18" s="1" t="n">
        <v>0</v>
      </c>
      <c r="Z18" s="1" t="n">
        <v>4</v>
      </c>
      <c r="AA18" s="1" t="n">
        <v>0</v>
      </c>
      <c r="AB18" s="1" t="n">
        <v>3</v>
      </c>
      <c r="AC18" s="1" t="n">
        <v>2</v>
      </c>
      <c r="AD18" s="1" t="n">
        <v>0</v>
      </c>
      <c r="AE18" s="1" t="n">
        <v>0</v>
      </c>
      <c r="AF18" s="1" t="n">
        <v>0</v>
      </c>
      <c r="AG18" s="1" t="n">
        <v>2</v>
      </c>
      <c r="AH18" s="1" t="n">
        <v>0</v>
      </c>
      <c r="AI18" s="1" t="n">
        <v>0</v>
      </c>
      <c r="AJ18" s="1" t="n">
        <v>7</v>
      </c>
      <c r="AK18" s="1" t="n">
        <v>3</v>
      </c>
      <c r="AL18" s="1" t="n">
        <v>7</v>
      </c>
      <c r="AM18" s="1" t="n">
        <v>3</v>
      </c>
    </row>
    <row r="19">
      <c r="A19" s="1" t="inlineStr">
        <is>
          <t>abdominal aortic aneurysm</t>
        </is>
      </c>
      <c r="B19" s="1" t="inlineStr">
        <is>
          <t>EFO_0004214</t>
        </is>
      </c>
      <c r="C19" s="1" t="inlineStr">
        <is>
          <t>name</t>
        </is>
      </c>
      <c r="D19" s="1" t="n">
        <v>0.05</v>
      </c>
      <c r="E19" s="15" t="n">
        <v>2</v>
      </c>
      <c r="F19" s="15" t="n">
        <v>0</v>
      </c>
      <c r="G19" s="15" t="n">
        <v>0</v>
      </c>
      <c r="H19" s="16">
        <f>G19/F19</f>
        <v/>
      </c>
      <c r="I19" s="16">
        <f>G19/E19</f>
        <v/>
      </c>
      <c r="J19" s="17" t="n">
        <v>4</v>
      </c>
      <c r="K19" s="17" t="n">
        <v>0</v>
      </c>
      <c r="L19" s="17" t="n">
        <v>0</v>
      </c>
      <c r="M19" s="16">
        <f>L19/K19</f>
        <v/>
      </c>
      <c r="N19" s="16">
        <f>L19/J19</f>
        <v/>
      </c>
      <c r="O19" s="18" t="n">
        <v>0</v>
      </c>
      <c r="P19" s="18" t="n">
        <v>0</v>
      </c>
      <c r="Q19" s="16">
        <f>P19/O19</f>
        <v/>
      </c>
      <c r="R19" s="1" t="n">
        <v>140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</row>
    <row r="20">
      <c r="A20" s="1" t="inlineStr">
        <is>
          <t>acne</t>
        </is>
      </c>
      <c r="B20" s="1" t="inlineStr">
        <is>
          <t>EFO_0003894</t>
        </is>
      </c>
      <c r="C20" s="1" t="inlineStr">
        <is>
          <t>name</t>
        </is>
      </c>
      <c r="D20" s="1" t="n">
        <v>0.05</v>
      </c>
      <c r="E20" s="15" t="n">
        <v>7</v>
      </c>
      <c r="F20" s="15" t="n">
        <v>289</v>
      </c>
      <c r="G20" s="15" t="n">
        <v>6</v>
      </c>
      <c r="H20" s="16">
        <f>G20/F20</f>
        <v/>
      </c>
      <c r="I20" s="16">
        <f>G20/E20</f>
        <v/>
      </c>
      <c r="J20" s="17" t="n">
        <v>11</v>
      </c>
      <c r="K20" s="17" t="n">
        <v>137</v>
      </c>
      <c r="L20" s="17" t="n">
        <v>2</v>
      </c>
      <c r="M20" s="16">
        <f>L20/K20</f>
        <v/>
      </c>
      <c r="N20" s="16">
        <f>L20/J20</f>
        <v/>
      </c>
      <c r="O20" s="18" t="n">
        <v>7</v>
      </c>
      <c r="P20" s="18" t="n">
        <v>0</v>
      </c>
      <c r="Q20" s="16">
        <f>P20/O20</f>
        <v/>
      </c>
      <c r="R20" s="1" t="n">
        <v>394</v>
      </c>
      <c r="S20" s="1" t="n">
        <v>8</v>
      </c>
      <c r="T20" s="1" t="n">
        <v>1</v>
      </c>
      <c r="U20" s="1" t="n">
        <v>5</v>
      </c>
      <c r="V20" s="1" t="n">
        <v>8</v>
      </c>
      <c r="W20" s="1" t="n">
        <v>5</v>
      </c>
      <c r="X20" s="1" t="n">
        <v>11</v>
      </c>
      <c r="Y20" s="1" t="n">
        <v>1</v>
      </c>
      <c r="Z20" s="1" t="n">
        <v>15</v>
      </c>
      <c r="AA20" s="1" t="n">
        <v>0</v>
      </c>
      <c r="AB20" s="1" t="n">
        <v>0</v>
      </c>
      <c r="AC20" s="1" t="n">
        <v>2</v>
      </c>
      <c r="AD20" s="1" t="n">
        <v>0</v>
      </c>
      <c r="AE20" s="1" t="n">
        <v>2</v>
      </c>
      <c r="AF20" s="1" t="n">
        <v>5</v>
      </c>
      <c r="AG20" s="1" t="n">
        <v>5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</row>
    <row r="21">
      <c r="A21" s="1" t="inlineStr">
        <is>
          <t>actinic keratosis</t>
        </is>
      </c>
      <c r="B21" s="1" t="inlineStr">
        <is>
          <t>EFO_0002496</t>
        </is>
      </c>
      <c r="C21" s="1" t="inlineStr">
        <is>
          <t>name</t>
        </is>
      </c>
      <c r="D21" s="1" t="n">
        <v>0.05</v>
      </c>
      <c r="E21" s="15" t="n">
        <v>5</v>
      </c>
      <c r="F21" s="15" t="n">
        <v>379</v>
      </c>
      <c r="G21" s="15" t="n">
        <v>5</v>
      </c>
      <c r="H21" s="16">
        <f>G21/F21</f>
        <v/>
      </c>
      <c r="I21" s="16">
        <f>G21/E21</f>
        <v/>
      </c>
      <c r="J21" s="17" t="n">
        <v>11</v>
      </c>
      <c r="K21" s="17" t="n">
        <v>33</v>
      </c>
      <c r="L21" s="17" t="n">
        <v>1</v>
      </c>
      <c r="M21" s="16">
        <f>L21/K21</f>
        <v/>
      </c>
      <c r="N21" s="16">
        <f>L21/J21</f>
        <v/>
      </c>
      <c r="O21" s="18" t="n">
        <v>2</v>
      </c>
      <c r="P21" s="18" t="n">
        <v>0</v>
      </c>
      <c r="Q21" s="16">
        <f>P21/O21</f>
        <v/>
      </c>
      <c r="R21" s="1" t="n">
        <v>478</v>
      </c>
      <c r="S21" s="1" t="n">
        <v>6</v>
      </c>
      <c r="T21" s="1" t="n">
        <v>1</v>
      </c>
      <c r="U21" s="1" t="n">
        <v>1</v>
      </c>
      <c r="V21" s="1" t="n">
        <v>5</v>
      </c>
      <c r="W21" s="1" t="n">
        <v>2</v>
      </c>
      <c r="X21" s="1" t="n">
        <v>4</v>
      </c>
      <c r="Y21" s="1" t="n">
        <v>0</v>
      </c>
      <c r="Z21" s="1" t="n">
        <v>7</v>
      </c>
      <c r="AA21" s="1" t="n">
        <v>1</v>
      </c>
      <c r="AB21" s="1" t="n">
        <v>0</v>
      </c>
      <c r="AC21" s="1" t="n">
        <v>2</v>
      </c>
      <c r="AD21" s="1" t="n">
        <v>0</v>
      </c>
      <c r="AE21" s="1" t="n">
        <v>1</v>
      </c>
      <c r="AF21" s="1" t="n">
        <v>1</v>
      </c>
      <c r="AG21" s="1" t="n">
        <v>1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</row>
    <row r="22">
      <c r="A22" s="1" t="inlineStr">
        <is>
          <t>Acute Lung Injury</t>
        </is>
      </c>
      <c r="B22" s="1" t="inlineStr">
        <is>
          <t>EFO_0004610</t>
        </is>
      </c>
      <c r="C22" s="1" t="inlineStr">
        <is>
          <t>name</t>
        </is>
      </c>
      <c r="D22" s="1" t="n">
        <v>0.05</v>
      </c>
      <c r="E22" s="15" t="n">
        <v>4</v>
      </c>
      <c r="F22" s="15" t="n">
        <v>217</v>
      </c>
      <c r="G22" s="15" t="n">
        <v>2</v>
      </c>
      <c r="H22" s="16">
        <f>G22/F22</f>
        <v/>
      </c>
      <c r="I22" s="16">
        <f>G22/E22</f>
        <v/>
      </c>
      <c r="J22" s="17" t="n">
        <v>5</v>
      </c>
      <c r="K22" s="17" t="n">
        <v>29</v>
      </c>
      <c r="L22" s="17" t="n">
        <v>1</v>
      </c>
      <c r="M22" s="16">
        <f>L22/K22</f>
        <v/>
      </c>
      <c r="N22" s="16">
        <f>L22/J22</f>
        <v/>
      </c>
      <c r="O22" s="18" t="n">
        <v>0</v>
      </c>
      <c r="P22" s="18" t="n">
        <v>0</v>
      </c>
      <c r="Q22" s="16">
        <f>P22/O22</f>
        <v/>
      </c>
      <c r="R22" s="1" t="n">
        <v>231</v>
      </c>
      <c r="S22" s="1" t="n">
        <v>3</v>
      </c>
      <c r="T22" s="1" t="n">
        <v>0</v>
      </c>
      <c r="U22" s="1" t="n">
        <v>1</v>
      </c>
      <c r="V22" s="1" t="n">
        <v>1</v>
      </c>
      <c r="W22" s="1" t="n">
        <v>0</v>
      </c>
      <c r="X22" s="1" t="n">
        <v>0</v>
      </c>
      <c r="Y22" s="1" t="n">
        <v>0</v>
      </c>
      <c r="Z22" s="1" t="n">
        <v>1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1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</row>
    <row r="23">
      <c r="A23" s="1" t="inlineStr">
        <is>
          <t>acute myeloid leukemia</t>
        </is>
      </c>
      <c r="B23" s="1" t="inlineStr">
        <is>
          <t>EFO_0000222</t>
        </is>
      </c>
      <c r="C23" s="1" t="inlineStr">
        <is>
          <t>name</t>
        </is>
      </c>
      <c r="D23" s="1" t="n">
        <v>0.05</v>
      </c>
      <c r="E23" s="15" t="n">
        <v>52</v>
      </c>
      <c r="F23" s="15" t="n">
        <v>87</v>
      </c>
      <c r="G23" s="15" t="n">
        <v>12</v>
      </c>
      <c r="H23" s="16">
        <f>G23/F23</f>
        <v/>
      </c>
      <c r="I23" s="16">
        <f>G23/E23</f>
        <v/>
      </c>
      <c r="J23" s="17" t="n">
        <v>41</v>
      </c>
      <c r="K23" s="17" t="n">
        <v>10</v>
      </c>
      <c r="L23" s="17" t="n">
        <v>2</v>
      </c>
      <c r="M23" s="16">
        <f>L23/K23</f>
        <v/>
      </c>
      <c r="N23" s="16">
        <f>L23/J23</f>
        <v/>
      </c>
      <c r="O23" s="18" t="n">
        <v>0</v>
      </c>
      <c r="P23" s="18" t="n">
        <v>0</v>
      </c>
      <c r="Q23" s="16">
        <f>P23/O23</f>
        <v/>
      </c>
      <c r="R23" s="1" t="n">
        <v>2215</v>
      </c>
      <c r="S23" s="1" t="n">
        <v>14</v>
      </c>
      <c r="T23" s="1" t="n">
        <v>1</v>
      </c>
      <c r="U23" s="1" t="n">
        <v>32</v>
      </c>
      <c r="V23" s="1" t="n">
        <v>21</v>
      </c>
      <c r="W23" s="1" t="n">
        <v>16</v>
      </c>
      <c r="X23" s="1" t="n">
        <v>7</v>
      </c>
      <c r="Y23" s="1" t="n">
        <v>10</v>
      </c>
      <c r="Z23" s="1" t="n">
        <v>23</v>
      </c>
      <c r="AA23" s="1" t="n">
        <v>1</v>
      </c>
      <c r="AB23" s="1" t="n">
        <v>5</v>
      </c>
      <c r="AC23" s="1" t="n">
        <v>11</v>
      </c>
      <c r="AD23" s="1" t="n">
        <v>3</v>
      </c>
      <c r="AE23" s="1" t="n">
        <v>9</v>
      </c>
      <c r="AF23" s="1" t="n">
        <v>2</v>
      </c>
      <c r="AG23" s="1" t="n">
        <v>8</v>
      </c>
      <c r="AH23" s="1" t="n">
        <v>5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</row>
    <row r="24">
      <c r="A24" s="1" t="inlineStr">
        <is>
          <t>acute myocardial infarction</t>
        </is>
      </c>
      <c r="B24" s="1" t="inlineStr">
        <is>
          <t>EFO_0008583</t>
        </is>
      </c>
      <c r="C24" s="1" t="inlineStr">
        <is>
          <t>name</t>
        </is>
      </c>
      <c r="D24" s="1" t="n">
        <v>0.05</v>
      </c>
      <c r="E24" s="15" t="n">
        <v>5</v>
      </c>
      <c r="F24" s="15" t="n">
        <v>319</v>
      </c>
      <c r="G24" s="15" t="n">
        <v>4</v>
      </c>
      <c r="H24" s="16">
        <f>G24/F24</f>
        <v/>
      </c>
      <c r="I24" s="16">
        <f>G24/E24</f>
        <v/>
      </c>
      <c r="J24" s="17" t="n">
        <v>7</v>
      </c>
      <c r="K24" s="17" t="n">
        <v>13</v>
      </c>
      <c r="L24" s="17" t="n">
        <v>0</v>
      </c>
      <c r="M24" s="16">
        <f>L24/K24</f>
        <v/>
      </c>
      <c r="N24" s="16">
        <f>L24/J24</f>
        <v/>
      </c>
      <c r="O24" s="18" t="n">
        <v>0</v>
      </c>
      <c r="P24" s="18" t="n">
        <v>0</v>
      </c>
      <c r="Q24" s="16">
        <f>P24/O24</f>
        <v/>
      </c>
      <c r="R24" s="1" t="n">
        <v>552</v>
      </c>
      <c r="S24" s="1" t="n">
        <v>4</v>
      </c>
      <c r="T24" s="1" t="n">
        <v>0</v>
      </c>
      <c r="U24" s="1" t="n">
        <v>0</v>
      </c>
      <c r="V24" s="1" t="n">
        <v>3</v>
      </c>
      <c r="W24" s="1" t="n">
        <v>4</v>
      </c>
      <c r="X24" s="1" t="n">
        <v>1</v>
      </c>
      <c r="Y24" s="1" t="n">
        <v>0</v>
      </c>
      <c r="Z24" s="1" t="n">
        <v>3</v>
      </c>
      <c r="AA24" s="1" t="n">
        <v>0</v>
      </c>
      <c r="AB24" s="1" t="n">
        <v>0</v>
      </c>
      <c r="AC24" s="1" t="n">
        <v>2</v>
      </c>
      <c r="AD24" s="1" t="n">
        <v>0</v>
      </c>
      <c r="AE24" s="1" t="n">
        <v>0</v>
      </c>
      <c r="AF24" s="1" t="n">
        <v>0</v>
      </c>
      <c r="AG24" s="1" t="n">
        <v>2</v>
      </c>
      <c r="AH24" s="1" t="n">
        <v>1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</row>
    <row r="25">
      <c r="A25" s="1" t="inlineStr">
        <is>
          <t>adenoma</t>
        </is>
      </c>
      <c r="B25" s="1" t="inlineStr">
        <is>
          <t>EFO_0000232</t>
        </is>
      </c>
      <c r="C25" s="1" t="inlineStr">
        <is>
          <t>name</t>
        </is>
      </c>
      <c r="D25" s="1" t="n">
        <v>0.05</v>
      </c>
      <c r="E25" s="15" t="n">
        <v>1</v>
      </c>
      <c r="F25" s="15" t="n">
        <v>317</v>
      </c>
      <c r="G25" s="15" t="n">
        <v>1</v>
      </c>
      <c r="H25" s="16">
        <f>G25/F25</f>
        <v/>
      </c>
      <c r="I25" s="16">
        <f>G25/E25</f>
        <v/>
      </c>
      <c r="J25" s="17" t="n">
        <v>2</v>
      </c>
      <c r="K25" s="17" t="n">
        <v>4</v>
      </c>
      <c r="L25" s="17" t="n">
        <v>0</v>
      </c>
      <c r="M25" s="16">
        <f>L25/K25</f>
        <v/>
      </c>
      <c r="N25" s="16">
        <f>L25/J25</f>
        <v/>
      </c>
      <c r="O25" s="18" t="n">
        <v>0</v>
      </c>
      <c r="P25" s="18" t="n">
        <v>0</v>
      </c>
      <c r="Q25" s="16">
        <f>P25/O25</f>
        <v/>
      </c>
      <c r="R25" s="1" t="n">
        <v>198</v>
      </c>
      <c r="S25" s="1" t="n">
        <v>1</v>
      </c>
      <c r="T25" s="1" t="n">
        <v>0</v>
      </c>
      <c r="U25" s="1" t="n">
        <v>0</v>
      </c>
      <c r="V25" s="1" t="n">
        <v>1</v>
      </c>
      <c r="W25" s="1" t="n">
        <v>0</v>
      </c>
      <c r="X25" s="1" t="n">
        <v>0</v>
      </c>
      <c r="Y25" s="1" t="n">
        <v>0</v>
      </c>
      <c r="Z25" s="1" t="n">
        <v>1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</row>
    <row r="26">
      <c r="A26" s="1" t="inlineStr">
        <is>
          <t>adrenoleukodystrophy</t>
        </is>
      </c>
      <c r="B26" s="1" t="inlineStr">
        <is>
          <t>MONDO_0018544</t>
        </is>
      </c>
      <c r="C26" s="1" t="inlineStr">
        <is>
          <t>name</t>
        </is>
      </c>
      <c r="D26" s="1" t="n">
        <v>0.05</v>
      </c>
      <c r="E26" s="15" t="n">
        <v>0</v>
      </c>
      <c r="F26" s="15" t="n">
        <v>174</v>
      </c>
      <c r="G26" s="15" t="n">
        <v>0</v>
      </c>
      <c r="H26" s="16">
        <f>G26/F26</f>
        <v/>
      </c>
      <c r="I26" s="16">
        <f>G26/E26</f>
        <v/>
      </c>
      <c r="J26" s="17" t="n">
        <v>0</v>
      </c>
      <c r="K26" s="17" t="n">
        <v>75</v>
      </c>
      <c r="L26" s="17" t="n">
        <v>0</v>
      </c>
      <c r="M26" s="16">
        <f>L26/K26</f>
        <v/>
      </c>
      <c r="N26" s="16">
        <f>L26/J26</f>
        <v/>
      </c>
      <c r="O26" s="18" t="n">
        <v>3</v>
      </c>
      <c r="P26" s="18" t="n">
        <v>0</v>
      </c>
      <c r="Q26" s="16">
        <f>P26/O26</f>
        <v/>
      </c>
      <c r="R26" s="1" t="n">
        <v>4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2</v>
      </c>
      <c r="AL26" s="1" t="n">
        <v>0</v>
      </c>
      <c r="AM26" s="1" t="n">
        <v>0</v>
      </c>
    </row>
    <row r="27">
      <c r="A27" s="1" t="inlineStr">
        <is>
          <t>alcohol abuse</t>
        </is>
      </c>
      <c r="B27" s="1" t="inlineStr">
        <is>
          <t>MONDO_0002046</t>
        </is>
      </c>
      <c r="C27" s="1" t="inlineStr">
        <is>
          <t>name</t>
        </is>
      </c>
      <c r="D27" s="1" t="n">
        <v>0.05</v>
      </c>
      <c r="E27" s="15" t="n">
        <v>2</v>
      </c>
      <c r="F27" s="15" t="n">
        <v>0</v>
      </c>
      <c r="G27" s="15" t="n">
        <v>0</v>
      </c>
      <c r="H27" s="16">
        <f>G27/F27</f>
        <v/>
      </c>
      <c r="I27" s="16">
        <f>G27/E27</f>
        <v/>
      </c>
      <c r="J27" s="17" t="n">
        <v>7</v>
      </c>
      <c r="K27" s="17" t="n">
        <v>7</v>
      </c>
      <c r="L27" s="17" t="n">
        <v>0</v>
      </c>
      <c r="M27" s="16">
        <f>L27/K27</f>
        <v/>
      </c>
      <c r="N27" s="16">
        <f>L27/J27</f>
        <v/>
      </c>
      <c r="O27" s="18" t="n">
        <v>0</v>
      </c>
      <c r="P27" s="18" t="n">
        <v>0</v>
      </c>
      <c r="Q27" s="16">
        <f>P27/O27</f>
        <v/>
      </c>
      <c r="R27" s="1" t="n">
        <v>131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</row>
    <row r="28">
      <c r="A28" s="1" t="inlineStr">
        <is>
          <t>allergic asthma</t>
        </is>
      </c>
      <c r="B28" s="1" t="inlineStr">
        <is>
          <t>MONDO_0004784</t>
        </is>
      </c>
      <c r="C28" s="1" t="inlineStr">
        <is>
          <t>name</t>
        </is>
      </c>
      <c r="D28" s="1" t="n">
        <v>0.05</v>
      </c>
      <c r="E28" s="15" t="n">
        <v>0</v>
      </c>
      <c r="F28" s="15" t="n">
        <v>84</v>
      </c>
      <c r="G28" s="15" t="n">
        <v>0</v>
      </c>
      <c r="H28" s="16">
        <f>G28/F28</f>
        <v/>
      </c>
      <c r="I28" s="16">
        <f>G28/E28</f>
        <v/>
      </c>
      <c r="J28" s="17" t="n">
        <v>2</v>
      </c>
      <c r="K28" s="17" t="n">
        <v>128</v>
      </c>
      <c r="L28" s="17" t="n">
        <v>2</v>
      </c>
      <c r="M28" s="16">
        <f>L28/K28</f>
        <v/>
      </c>
      <c r="N28" s="16">
        <f>L28/J28</f>
        <v/>
      </c>
      <c r="O28" s="18" t="n">
        <v>1</v>
      </c>
      <c r="P28" s="18" t="n">
        <v>0</v>
      </c>
      <c r="Q28" s="16">
        <f>P28/O28</f>
        <v/>
      </c>
      <c r="R28" s="1" t="n">
        <v>162</v>
      </c>
      <c r="S28" s="1" t="n">
        <v>2</v>
      </c>
      <c r="T28" s="1" t="n">
        <v>0</v>
      </c>
      <c r="U28" s="1" t="n">
        <v>1</v>
      </c>
      <c r="V28" s="1" t="n">
        <v>0</v>
      </c>
      <c r="W28" s="1" t="n">
        <v>1</v>
      </c>
      <c r="X28" s="1" t="n">
        <v>0</v>
      </c>
      <c r="Y28" s="1" t="n">
        <v>0</v>
      </c>
      <c r="Z28" s="1" t="n">
        <v>1</v>
      </c>
      <c r="AA28" s="1" t="n">
        <v>0</v>
      </c>
      <c r="AB28" s="1" t="n">
        <v>0</v>
      </c>
      <c r="AC28" s="1" t="n">
        <v>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</row>
    <row r="29">
      <c r="A29" s="1" t="inlineStr">
        <is>
          <t>allergic contact dermatitis</t>
        </is>
      </c>
      <c r="B29" s="1" t="inlineStr">
        <is>
          <t>EFO_1000668</t>
        </is>
      </c>
      <c r="C29" s="1" t="inlineStr">
        <is>
          <t>name</t>
        </is>
      </c>
      <c r="D29" s="1" t="n">
        <v>0.05</v>
      </c>
      <c r="E29" s="15" t="n">
        <v>0</v>
      </c>
      <c r="F29" s="15" t="n">
        <v>311</v>
      </c>
      <c r="G29" s="15" t="n">
        <v>0</v>
      </c>
      <c r="H29" s="16">
        <f>G29/F29</f>
        <v/>
      </c>
      <c r="I29" s="16">
        <f>G29/E29</f>
        <v/>
      </c>
      <c r="J29" s="17" t="n">
        <v>0</v>
      </c>
      <c r="K29" s="17" t="n">
        <v>114</v>
      </c>
      <c r="L29" s="17" t="n">
        <v>0</v>
      </c>
      <c r="M29" s="16">
        <f>L29/K29</f>
        <v/>
      </c>
      <c r="N29" s="16">
        <f>L29/J29</f>
        <v/>
      </c>
      <c r="O29" s="18" t="n">
        <v>4</v>
      </c>
      <c r="P29" s="18" t="n">
        <v>0</v>
      </c>
      <c r="Q29" s="16">
        <f>P29/O29</f>
        <v/>
      </c>
      <c r="R29" s="1" t="n">
        <v>17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</row>
    <row r="30">
      <c r="A30" s="1" t="inlineStr">
        <is>
          <t>alpha 1-antitrypsin deficiency</t>
        </is>
      </c>
      <c r="B30" s="1" t="inlineStr">
        <is>
          <t>MONDO_0013282</t>
        </is>
      </c>
      <c r="C30" s="1" t="inlineStr">
        <is>
          <t>name</t>
        </is>
      </c>
      <c r="D30" s="1" t="n">
        <v>0.05</v>
      </c>
      <c r="E30" s="15" t="n">
        <v>1</v>
      </c>
      <c r="F30" s="15" t="n">
        <v>291</v>
      </c>
      <c r="G30" s="15" t="n">
        <v>1</v>
      </c>
      <c r="H30" s="16">
        <f>G30/F30</f>
        <v/>
      </c>
      <c r="I30" s="16">
        <f>G30/E30</f>
        <v/>
      </c>
      <c r="J30" s="17" t="n">
        <v>1</v>
      </c>
      <c r="K30" s="17" t="n">
        <v>60</v>
      </c>
      <c r="L30" s="17" t="n">
        <v>0</v>
      </c>
      <c r="M30" s="16">
        <f>L30/K30</f>
        <v/>
      </c>
      <c r="N30" s="16">
        <f>L30/J30</f>
        <v/>
      </c>
      <c r="O30" s="18" t="n">
        <v>4</v>
      </c>
      <c r="P30" s="18" t="n">
        <v>0</v>
      </c>
      <c r="Q30" s="16">
        <f>P30/O30</f>
        <v/>
      </c>
      <c r="R30" s="1" t="n">
        <v>4</v>
      </c>
      <c r="S30" s="1" t="n">
        <v>1</v>
      </c>
      <c r="T30" s="1" t="n">
        <v>0</v>
      </c>
      <c r="U30" s="1" t="n">
        <v>1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1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</row>
    <row r="31">
      <c r="A31" s="1" t="inlineStr">
        <is>
          <t>amyotrophic lateral sclerosis</t>
        </is>
      </c>
      <c r="B31" s="1" t="inlineStr">
        <is>
          <t>MONDO_0004976</t>
        </is>
      </c>
      <c r="C31" s="1" t="inlineStr">
        <is>
          <t>name</t>
        </is>
      </c>
      <c r="D31" s="1" t="n">
        <v>0.05</v>
      </c>
      <c r="E31" s="15" t="n">
        <v>12</v>
      </c>
      <c r="F31" s="15" t="n">
        <v>331</v>
      </c>
      <c r="G31" s="15" t="n">
        <v>8</v>
      </c>
      <c r="H31" s="16">
        <f>G31/F31</f>
        <v/>
      </c>
      <c r="I31" s="16">
        <f>G31/E31</f>
        <v/>
      </c>
      <c r="J31" s="17" t="n">
        <v>25</v>
      </c>
      <c r="K31" s="17" t="n">
        <v>0</v>
      </c>
      <c r="L31" s="17" t="n">
        <v>0</v>
      </c>
      <c r="M31" s="16">
        <f>L31/K31</f>
        <v/>
      </c>
      <c r="N31" s="16">
        <f>L31/J31</f>
        <v/>
      </c>
      <c r="O31" s="18" t="n">
        <v>0</v>
      </c>
      <c r="P31" s="18" t="n">
        <v>0</v>
      </c>
      <c r="Q31" s="16">
        <f>P31/O31</f>
        <v/>
      </c>
      <c r="R31" s="1" t="n">
        <v>925</v>
      </c>
      <c r="S31" s="1" t="n">
        <v>8</v>
      </c>
      <c r="T31" s="1" t="n">
        <v>0</v>
      </c>
      <c r="U31" s="1" t="n">
        <v>4</v>
      </c>
      <c r="V31" s="1" t="n">
        <v>4</v>
      </c>
      <c r="W31" s="1" t="n">
        <v>0</v>
      </c>
      <c r="X31" s="1" t="n">
        <v>0</v>
      </c>
      <c r="Y31" s="1" t="n">
        <v>0</v>
      </c>
      <c r="Z31" s="1" t="n">
        <v>6</v>
      </c>
      <c r="AA31" s="1" t="n">
        <v>0</v>
      </c>
      <c r="AB31" s="1" t="n">
        <v>1</v>
      </c>
      <c r="AC31" s="1" t="n">
        <v>0</v>
      </c>
      <c r="AD31" s="1" t="n">
        <v>0</v>
      </c>
      <c r="AE31" s="1" t="n">
        <v>1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</row>
    <row r="32">
      <c r="A32" s="1" t="inlineStr">
        <is>
          <t>Anaplasmosis</t>
        </is>
      </c>
      <c r="B32" s="1" t="inlineStr">
        <is>
          <t>MONDO_0025303</t>
        </is>
      </c>
      <c r="C32" s="1" t="inlineStr">
        <is>
          <t>name</t>
        </is>
      </c>
      <c r="D32" s="1" t="n">
        <v>0.05</v>
      </c>
      <c r="E32" s="15" t="n">
        <v>0</v>
      </c>
      <c r="F32" s="15" t="n">
        <v>90</v>
      </c>
      <c r="G32" s="15" t="n">
        <v>0</v>
      </c>
      <c r="H32" s="16">
        <f>G32/F32</f>
        <v/>
      </c>
      <c r="I32" s="16">
        <f>G32/E32</f>
        <v/>
      </c>
      <c r="J32" s="17" t="n">
        <v>0</v>
      </c>
      <c r="K32" s="17" t="n">
        <v>108</v>
      </c>
      <c r="L32" s="17" t="n">
        <v>0</v>
      </c>
      <c r="M32" s="16">
        <f>L32/K32</f>
        <v/>
      </c>
      <c r="N32" s="16">
        <f>L32/J32</f>
        <v/>
      </c>
      <c r="O32" s="18" t="n">
        <v>1</v>
      </c>
      <c r="P32" s="18" t="n">
        <v>0</v>
      </c>
      <c r="Q32" s="16">
        <f>P32/O32</f>
        <v/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</row>
    <row r="33">
      <c r="A33" s="1" t="inlineStr">
        <is>
          <t>androgen insensitivity syndrome</t>
        </is>
      </c>
      <c r="B33" s="1" t="inlineStr">
        <is>
          <t>MONDO_0019154</t>
        </is>
      </c>
      <c r="C33" s="1" t="inlineStr">
        <is>
          <t>name</t>
        </is>
      </c>
      <c r="D33" s="1" t="n">
        <v>0.05</v>
      </c>
      <c r="E33" s="15" t="n">
        <v>0</v>
      </c>
      <c r="F33" s="15" t="n">
        <v>0</v>
      </c>
      <c r="G33" s="15" t="n">
        <v>0</v>
      </c>
      <c r="H33" s="16">
        <f>G33/F33</f>
        <v/>
      </c>
      <c r="I33" s="16">
        <f>G33/E33</f>
        <v/>
      </c>
      <c r="J33" s="17" t="n">
        <v>0</v>
      </c>
      <c r="K33" s="17" t="n">
        <v>0</v>
      </c>
      <c r="L33" s="17" t="n">
        <v>0</v>
      </c>
      <c r="M33" s="16">
        <f>L33/K33</f>
        <v/>
      </c>
      <c r="N33" s="16">
        <f>L33/J33</f>
        <v/>
      </c>
      <c r="O33" s="18" t="n">
        <v>0</v>
      </c>
      <c r="P33" s="18" t="n">
        <v>0</v>
      </c>
      <c r="Q33" s="16">
        <f>P33/O33</f>
        <v/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</row>
    <row r="34">
      <c r="A34" s="1" t="inlineStr">
        <is>
          <t>anemia</t>
        </is>
      </c>
      <c r="B34" s="1" t="inlineStr">
        <is>
          <t>MONDO_0002280</t>
        </is>
      </c>
      <c r="C34" s="1" t="inlineStr">
        <is>
          <t>name</t>
        </is>
      </c>
      <c r="D34" s="1" t="n">
        <v>0.05</v>
      </c>
      <c r="E34" s="15" t="n">
        <v>3</v>
      </c>
      <c r="F34" s="15" t="n">
        <v>259</v>
      </c>
      <c r="G34" s="15" t="n">
        <v>3</v>
      </c>
      <c r="H34" s="16">
        <f>G34/F34</f>
        <v/>
      </c>
      <c r="I34" s="16">
        <f>G34/E34</f>
        <v/>
      </c>
      <c r="J34" s="17" t="n">
        <v>5</v>
      </c>
      <c r="K34" s="17" t="n">
        <v>190</v>
      </c>
      <c r="L34" s="17" t="n">
        <v>2</v>
      </c>
      <c r="M34" s="16">
        <f>L34/K34</f>
        <v/>
      </c>
      <c r="N34" s="16">
        <f>L34/J34</f>
        <v/>
      </c>
      <c r="O34" s="18" t="n">
        <v>9</v>
      </c>
      <c r="P34" s="18" t="n">
        <v>0</v>
      </c>
      <c r="Q34" s="16">
        <f>P34/O34</f>
        <v/>
      </c>
      <c r="R34" s="1" t="n">
        <v>243</v>
      </c>
      <c r="S34" s="1" t="n">
        <v>5</v>
      </c>
      <c r="T34" s="1" t="n">
        <v>0</v>
      </c>
      <c r="U34" s="1" t="n">
        <v>0</v>
      </c>
      <c r="V34" s="1" t="n">
        <v>2</v>
      </c>
      <c r="W34" s="1" t="n">
        <v>0</v>
      </c>
      <c r="X34" s="1" t="n">
        <v>1</v>
      </c>
      <c r="Y34" s="1" t="n">
        <v>0</v>
      </c>
      <c r="Z34" s="1" t="n">
        <v>0</v>
      </c>
      <c r="AA34" s="1" t="n">
        <v>0</v>
      </c>
      <c r="AB34" s="1" t="n">
        <v>2</v>
      </c>
      <c r="AC34" s="1" t="n">
        <v>0</v>
      </c>
      <c r="AD34" s="1" t="n">
        <v>0</v>
      </c>
      <c r="AE34" s="1" t="n">
        <v>0</v>
      </c>
      <c r="AF34" s="1" t="n">
        <v>1</v>
      </c>
      <c r="AG34" s="1" t="n">
        <v>0</v>
      </c>
      <c r="AH34" s="1" t="n">
        <v>0</v>
      </c>
      <c r="AI34" s="1" t="n">
        <v>0</v>
      </c>
      <c r="AJ34" s="1" t="n">
        <v>10</v>
      </c>
      <c r="AK34" s="1" t="n">
        <v>3</v>
      </c>
      <c r="AL34" s="1" t="n">
        <v>3</v>
      </c>
      <c r="AM34" s="1" t="n">
        <v>2</v>
      </c>
    </row>
    <row r="35">
      <c r="A35" s="1" t="inlineStr">
        <is>
          <t>ankylosing spondylitis</t>
        </is>
      </c>
      <c r="B35" s="1" t="inlineStr">
        <is>
          <t>EFO_0003898</t>
        </is>
      </c>
      <c r="C35" s="1" t="inlineStr">
        <is>
          <t>name</t>
        </is>
      </c>
      <c r="D35" s="1" t="n">
        <v>0.05</v>
      </c>
      <c r="E35" s="15" t="n">
        <v>9</v>
      </c>
      <c r="F35" s="15" t="n">
        <v>272</v>
      </c>
      <c r="G35" s="15" t="n">
        <v>7</v>
      </c>
      <c r="H35" s="16">
        <f>G35/F35</f>
        <v/>
      </c>
      <c r="I35" s="16">
        <f>G35/E35</f>
        <v/>
      </c>
      <c r="J35" s="17" t="n">
        <v>12</v>
      </c>
      <c r="K35" s="17" t="n">
        <v>7</v>
      </c>
      <c r="L35" s="17" t="n">
        <v>0</v>
      </c>
      <c r="M35" s="16">
        <f>L35/K35</f>
        <v/>
      </c>
      <c r="N35" s="16">
        <f>L35/J35</f>
        <v/>
      </c>
      <c r="O35" s="18" t="n">
        <v>0</v>
      </c>
      <c r="P35" s="18" t="n">
        <v>0</v>
      </c>
      <c r="Q35" s="16">
        <f>P35/O35</f>
        <v/>
      </c>
      <c r="R35" s="1" t="n">
        <v>634</v>
      </c>
      <c r="S35" s="1" t="n">
        <v>7</v>
      </c>
      <c r="T35" s="1" t="n">
        <v>0</v>
      </c>
      <c r="U35" s="1" t="n">
        <v>0</v>
      </c>
      <c r="V35" s="1" t="n">
        <v>4</v>
      </c>
      <c r="W35" s="1" t="n">
        <v>5</v>
      </c>
      <c r="X35" s="1" t="n">
        <v>3</v>
      </c>
      <c r="Y35" s="1" t="n">
        <v>0</v>
      </c>
      <c r="Z35" s="1" t="n">
        <v>5</v>
      </c>
      <c r="AA35" s="1" t="n">
        <v>0</v>
      </c>
      <c r="AB35" s="1" t="n">
        <v>0</v>
      </c>
      <c r="AC35" s="1" t="n">
        <v>2</v>
      </c>
      <c r="AD35" s="1" t="n">
        <v>0</v>
      </c>
      <c r="AE35" s="1" t="n">
        <v>0</v>
      </c>
      <c r="AF35" s="1" t="n">
        <v>3</v>
      </c>
      <c r="AG35" s="1" t="n">
        <v>1</v>
      </c>
      <c r="AH35" s="1" t="n">
        <v>1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</row>
    <row r="36">
      <c r="A36" s="1" t="inlineStr">
        <is>
          <t>aplastic anemia</t>
        </is>
      </c>
      <c r="B36" s="1" t="inlineStr">
        <is>
          <t>MONDO_0015909</t>
        </is>
      </c>
      <c r="C36" s="1" t="inlineStr">
        <is>
          <t>name</t>
        </is>
      </c>
      <c r="D36" s="1" t="n">
        <v>0.05</v>
      </c>
      <c r="E36" s="15" t="n">
        <v>0</v>
      </c>
      <c r="F36" s="15" t="n">
        <v>220</v>
      </c>
      <c r="G36" s="15" t="n">
        <v>0</v>
      </c>
      <c r="H36" s="16">
        <f>G36/F36</f>
        <v/>
      </c>
      <c r="I36" s="16">
        <f>G36/E36</f>
        <v/>
      </c>
      <c r="J36" s="17" t="n">
        <v>0</v>
      </c>
      <c r="K36" s="17" t="n">
        <v>23</v>
      </c>
      <c r="L36" s="17" t="n">
        <v>0</v>
      </c>
      <c r="M36" s="16">
        <f>L36/K36</f>
        <v/>
      </c>
      <c r="N36" s="16">
        <f>L36/J36</f>
        <v/>
      </c>
      <c r="O36" s="18" t="n">
        <v>2</v>
      </c>
      <c r="P36" s="18" t="n">
        <v>0</v>
      </c>
      <c r="Q36" s="16">
        <f>P36/O36</f>
        <v/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</row>
    <row r="37">
      <c r="A37" s="1" t="inlineStr">
        <is>
          <t>appendicitis</t>
        </is>
      </c>
      <c r="B37" s="1" t="inlineStr">
        <is>
          <t>EFO_0007149</t>
        </is>
      </c>
      <c r="C37" s="1" t="inlineStr">
        <is>
          <t>name</t>
        </is>
      </c>
      <c r="D37" s="1" t="n">
        <v>0.05</v>
      </c>
      <c r="E37" s="15" t="n">
        <v>1</v>
      </c>
      <c r="F37" s="15" t="n">
        <v>245</v>
      </c>
      <c r="G37" s="15" t="n">
        <v>0</v>
      </c>
      <c r="H37" s="16">
        <f>G37/F37</f>
        <v/>
      </c>
      <c r="I37" s="16">
        <f>G37/E37</f>
        <v/>
      </c>
      <c r="J37" s="17" t="n">
        <v>3</v>
      </c>
      <c r="K37" s="17" t="n">
        <v>73</v>
      </c>
      <c r="L37" s="17" t="n">
        <v>1</v>
      </c>
      <c r="M37" s="16">
        <f>L37/K37</f>
        <v/>
      </c>
      <c r="N37" s="16">
        <f>L37/J37</f>
        <v/>
      </c>
      <c r="O37" s="18" t="n">
        <v>3</v>
      </c>
      <c r="P37" s="18" t="n">
        <v>0</v>
      </c>
      <c r="Q37" s="16">
        <f>P37/O37</f>
        <v/>
      </c>
      <c r="R37" s="1" t="n">
        <v>149</v>
      </c>
      <c r="S37" s="1" t="n">
        <v>1</v>
      </c>
      <c r="T37" s="1" t="n">
        <v>0</v>
      </c>
      <c r="U37" s="1" t="n">
        <v>0</v>
      </c>
      <c r="V37" s="1" t="n">
        <v>1</v>
      </c>
      <c r="W37" s="1" t="n">
        <v>0</v>
      </c>
      <c r="X37" s="1" t="n">
        <v>0</v>
      </c>
      <c r="Y37" s="1" t="n">
        <v>0</v>
      </c>
      <c r="Z37" s="1" t="n">
        <v>1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</row>
    <row r="38">
      <c r="A38" s="1" t="inlineStr">
        <is>
          <t>arthritis</t>
        </is>
      </c>
      <c r="B38" s="1" t="inlineStr">
        <is>
          <t>EFO_0005856</t>
        </is>
      </c>
      <c r="C38" s="1" t="inlineStr">
        <is>
          <t>name</t>
        </is>
      </c>
      <c r="D38" s="1" t="n">
        <v>0.05</v>
      </c>
      <c r="E38" s="15" t="n">
        <v>2</v>
      </c>
      <c r="F38" s="15" t="n">
        <v>81</v>
      </c>
      <c r="G38" s="15" t="n">
        <v>0</v>
      </c>
      <c r="H38" s="16">
        <f>G38/F38</f>
        <v/>
      </c>
      <c r="I38" s="16">
        <f>G38/E38</f>
        <v/>
      </c>
      <c r="J38" s="17" t="n">
        <v>6</v>
      </c>
      <c r="K38" s="17" t="n">
        <v>72</v>
      </c>
      <c r="L38" s="17" t="n">
        <v>2</v>
      </c>
      <c r="M38" s="16">
        <f>L38/K38</f>
        <v/>
      </c>
      <c r="N38" s="16">
        <f>L38/J38</f>
        <v/>
      </c>
      <c r="O38" s="18" t="n">
        <v>1</v>
      </c>
      <c r="P38" s="18" t="n">
        <v>0</v>
      </c>
      <c r="Q38" s="16">
        <f>P38/O38</f>
        <v/>
      </c>
      <c r="R38" s="1" t="n">
        <v>435</v>
      </c>
      <c r="S38" s="1" t="n">
        <v>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2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2</v>
      </c>
      <c r="AG38" s="1" t="n">
        <v>0</v>
      </c>
      <c r="AH38" s="1" t="n">
        <v>0</v>
      </c>
      <c r="AI38" s="1" t="n">
        <v>1</v>
      </c>
      <c r="AJ38" s="1" t="n">
        <v>3</v>
      </c>
      <c r="AK38" s="1" t="n">
        <v>3</v>
      </c>
      <c r="AL38" s="1" t="n">
        <v>0</v>
      </c>
      <c r="AM38" s="1" t="n">
        <v>1</v>
      </c>
    </row>
    <row r="39">
      <c r="A39" s="1" t="inlineStr">
        <is>
          <t>arthropathy</t>
        </is>
      </c>
      <c r="B39" s="1" t="inlineStr">
        <is>
          <t>HP_0003040</t>
        </is>
      </c>
      <c r="C39" s="1" t="inlineStr">
        <is>
          <t>name</t>
        </is>
      </c>
      <c r="D39" s="1" t="n">
        <v>0.05</v>
      </c>
      <c r="E39" s="15" t="n">
        <v>1</v>
      </c>
      <c r="F39" s="15" t="n">
        <v>158</v>
      </c>
      <c r="G39" s="15" t="n">
        <v>0</v>
      </c>
      <c r="H39" s="16">
        <f>G39/F39</f>
        <v/>
      </c>
      <c r="I39" s="16">
        <f>G39/E39</f>
        <v/>
      </c>
      <c r="J39" s="17" t="n">
        <v>3</v>
      </c>
      <c r="K39" s="17" t="n">
        <v>96</v>
      </c>
      <c r="L39" s="17" t="n">
        <v>1</v>
      </c>
      <c r="M39" s="16">
        <f>L39/K39</f>
        <v/>
      </c>
      <c r="N39" s="16">
        <f>L39/J39</f>
        <v/>
      </c>
      <c r="O39" s="18" t="n">
        <v>2</v>
      </c>
      <c r="P39" s="18" t="n">
        <v>0</v>
      </c>
      <c r="Q39" s="16">
        <f>P39/O39</f>
        <v/>
      </c>
      <c r="R39" s="1" t="n">
        <v>66</v>
      </c>
      <c r="S39" s="1" t="n">
        <v>1</v>
      </c>
      <c r="T39" s="1" t="n">
        <v>0</v>
      </c>
      <c r="U39" s="1" t="n">
        <v>0</v>
      </c>
      <c r="V39" s="1" t="n">
        <v>1</v>
      </c>
      <c r="W39" s="1" t="n">
        <v>1</v>
      </c>
      <c r="X39" s="1" t="n">
        <v>0</v>
      </c>
      <c r="Y39" s="1" t="n">
        <v>0</v>
      </c>
      <c r="Z39" s="1" t="n">
        <v>1</v>
      </c>
      <c r="AA39" s="1" t="n">
        <v>0</v>
      </c>
      <c r="AB39" s="1" t="n">
        <v>0</v>
      </c>
      <c r="AC39" s="1" t="n">
        <v>1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</row>
    <row r="40">
      <c r="A40" s="1" t="inlineStr">
        <is>
          <t>asthma</t>
        </is>
      </c>
      <c r="B40" s="1" t="inlineStr">
        <is>
          <t>MONDO_0004979</t>
        </is>
      </c>
      <c r="C40" s="1" t="inlineStr">
        <is>
          <t>name</t>
        </is>
      </c>
      <c r="D40" s="1" t="n">
        <v>0.05</v>
      </c>
      <c r="E40" s="15" t="n">
        <v>13</v>
      </c>
      <c r="F40" s="15" t="n">
        <v>0</v>
      </c>
      <c r="G40" s="15" t="n">
        <v>0</v>
      </c>
      <c r="H40" s="16">
        <f>G40/F40</f>
        <v/>
      </c>
      <c r="I40" s="16">
        <f>G40/E40</f>
        <v/>
      </c>
      <c r="J40" s="17" t="n">
        <v>38</v>
      </c>
      <c r="K40" s="17" t="n">
        <v>3</v>
      </c>
      <c r="L40" s="17" t="n">
        <v>0</v>
      </c>
      <c r="M40" s="16">
        <f>L40/K40</f>
        <v/>
      </c>
      <c r="N40" s="16">
        <f>L40/J40</f>
        <v/>
      </c>
      <c r="O40" s="18" t="n">
        <v>0</v>
      </c>
      <c r="P40" s="18" t="n">
        <v>0</v>
      </c>
      <c r="Q40" s="16">
        <f>P40/O40</f>
        <v/>
      </c>
      <c r="R40" s="1" t="n">
        <v>1993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1</v>
      </c>
      <c r="AK40" s="1" t="n">
        <v>0</v>
      </c>
      <c r="AL40" s="1" t="n">
        <v>0</v>
      </c>
      <c r="AM40" s="1" t="n">
        <v>0</v>
      </c>
    </row>
    <row r="41">
      <c r="A41" s="1" t="inlineStr">
        <is>
          <t>astrocytoma</t>
        </is>
      </c>
      <c r="B41" s="1" t="inlineStr">
        <is>
          <t>EFO_0000272</t>
        </is>
      </c>
      <c r="C41" s="1" t="inlineStr">
        <is>
          <t>name</t>
        </is>
      </c>
      <c r="D41" s="1" t="n">
        <v>0.05</v>
      </c>
      <c r="E41" s="15" t="n">
        <v>8</v>
      </c>
      <c r="F41" s="15" t="n">
        <v>162</v>
      </c>
      <c r="G41" s="15" t="n">
        <v>1</v>
      </c>
      <c r="H41" s="16">
        <f>G41/F41</f>
        <v/>
      </c>
      <c r="I41" s="16">
        <f>G41/E41</f>
        <v/>
      </c>
      <c r="J41" s="17" t="n">
        <v>6</v>
      </c>
      <c r="K41" s="17" t="n">
        <v>52</v>
      </c>
      <c r="L41" s="17" t="n">
        <v>0</v>
      </c>
      <c r="M41" s="16">
        <f>L41/K41</f>
        <v/>
      </c>
      <c r="N41" s="16">
        <f>L41/J41</f>
        <v/>
      </c>
      <c r="O41" s="18" t="n">
        <v>1</v>
      </c>
      <c r="P41" s="18" t="n">
        <v>0</v>
      </c>
      <c r="Q41" s="16">
        <f>P41/O41</f>
        <v/>
      </c>
      <c r="R41" s="1" t="n">
        <v>267</v>
      </c>
      <c r="S41" s="1" t="n">
        <v>1</v>
      </c>
      <c r="T41" s="1" t="n">
        <v>0</v>
      </c>
      <c r="U41" s="1" t="n">
        <v>0</v>
      </c>
      <c r="V41" s="1" t="n">
        <v>0</v>
      </c>
      <c r="W41" s="1" t="n">
        <v>1</v>
      </c>
      <c r="X41" s="1" t="n">
        <v>0</v>
      </c>
      <c r="Y41" s="1" t="n">
        <v>0</v>
      </c>
      <c r="Z41" s="1" t="n">
        <v>1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2</v>
      </c>
      <c r="AK41" s="1" t="n">
        <v>0</v>
      </c>
      <c r="AL41" s="1" t="n">
        <v>0</v>
      </c>
      <c r="AM41" s="1" t="n">
        <v>0</v>
      </c>
    </row>
    <row r="42">
      <c r="A42" s="1" t="inlineStr">
        <is>
          <t>atherosclerosis</t>
        </is>
      </c>
      <c r="B42" s="1" t="inlineStr">
        <is>
          <t>EFO_0003914</t>
        </is>
      </c>
      <c r="C42" s="1" t="inlineStr">
        <is>
          <t>name</t>
        </is>
      </c>
      <c r="D42" s="1" t="n">
        <v>0.05</v>
      </c>
      <c r="E42" s="15" t="n">
        <v>9</v>
      </c>
      <c r="F42" s="15" t="n">
        <v>103</v>
      </c>
      <c r="G42" s="15" t="n">
        <v>1</v>
      </c>
      <c r="H42" s="16">
        <f>G42/F42</f>
        <v/>
      </c>
      <c r="I42" s="16">
        <f>G42/E42</f>
        <v/>
      </c>
      <c r="J42" s="17" t="n">
        <v>23</v>
      </c>
      <c r="K42" s="17" t="n">
        <v>0</v>
      </c>
      <c r="L42" s="17" t="n">
        <v>0</v>
      </c>
      <c r="M42" s="16">
        <f>L42/K42</f>
        <v/>
      </c>
      <c r="N42" s="16">
        <f>L42/J42</f>
        <v/>
      </c>
      <c r="O42" s="18" t="n">
        <v>0</v>
      </c>
      <c r="P42" s="18" t="n">
        <v>0</v>
      </c>
      <c r="Q42" s="16">
        <f>P42/O42</f>
        <v/>
      </c>
      <c r="R42" s="1" t="n">
        <v>745</v>
      </c>
      <c r="S42" s="1" t="n">
        <v>1</v>
      </c>
      <c r="T42" s="1" t="n">
        <v>0</v>
      </c>
      <c r="U42" s="1" t="n">
        <v>0</v>
      </c>
      <c r="V42" s="1" t="n">
        <v>0</v>
      </c>
      <c r="W42" s="1" t="n">
        <v>1</v>
      </c>
      <c r="X42" s="1" t="n">
        <v>0</v>
      </c>
      <c r="Y42" s="1" t="n">
        <v>0</v>
      </c>
      <c r="Z42" s="1" t="n">
        <v>1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1</v>
      </c>
      <c r="AM42" s="1" t="n">
        <v>0</v>
      </c>
    </row>
    <row r="43">
      <c r="A43" s="1" t="inlineStr">
        <is>
          <t>autism spectrum disorder</t>
        </is>
      </c>
      <c r="B43" s="1" t="inlineStr">
        <is>
          <t>EFO_0003756</t>
        </is>
      </c>
      <c r="C43" s="1" t="inlineStr">
        <is>
          <t>name</t>
        </is>
      </c>
      <c r="D43" s="1" t="n">
        <v>0.05</v>
      </c>
      <c r="E43" s="15" t="n">
        <v>3</v>
      </c>
      <c r="F43" s="15" t="n">
        <v>153</v>
      </c>
      <c r="G43" s="15" t="n">
        <v>0</v>
      </c>
      <c r="H43" s="16">
        <f>G43/F43</f>
        <v/>
      </c>
      <c r="I43" s="16">
        <f>G43/E43</f>
        <v/>
      </c>
      <c r="J43" s="17" t="n">
        <v>14</v>
      </c>
      <c r="K43" s="17" t="n">
        <v>12</v>
      </c>
      <c r="L43" s="17" t="n">
        <v>0</v>
      </c>
      <c r="M43" s="16">
        <f>L43/K43</f>
        <v/>
      </c>
      <c r="N43" s="16">
        <f>L43/J43</f>
        <v/>
      </c>
      <c r="O43" s="18" t="n">
        <v>0</v>
      </c>
      <c r="P43" s="18" t="n">
        <v>0</v>
      </c>
      <c r="Q43" s="16">
        <f>P43/O43</f>
        <v/>
      </c>
      <c r="R43" s="1" t="n">
        <v>366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</row>
    <row r="44">
      <c r="A44" s="1" t="inlineStr">
        <is>
          <t>autoimmune thrombocytopenic purpura</t>
        </is>
      </c>
      <c r="B44" s="1" t="inlineStr">
        <is>
          <t>EFO_0007160</t>
        </is>
      </c>
      <c r="C44" s="1" t="inlineStr">
        <is>
          <t>name</t>
        </is>
      </c>
      <c r="D44" s="1" t="n">
        <v>0.05</v>
      </c>
      <c r="E44" s="15" t="n">
        <v>11</v>
      </c>
      <c r="F44" s="15" t="n">
        <v>379</v>
      </c>
      <c r="G44" s="15" t="n">
        <v>11</v>
      </c>
      <c r="H44" s="16">
        <f>G44/F44</f>
        <v/>
      </c>
      <c r="I44" s="16">
        <f>G44/E44</f>
        <v/>
      </c>
      <c r="J44" s="17" t="n">
        <v>16</v>
      </c>
      <c r="K44" s="17" t="n">
        <v>28</v>
      </c>
      <c r="L44" s="17" t="n">
        <v>2</v>
      </c>
      <c r="M44" s="16">
        <f>L44/K44</f>
        <v/>
      </c>
      <c r="N44" s="16">
        <f>L44/J44</f>
        <v/>
      </c>
      <c r="O44" s="18" t="n">
        <v>3</v>
      </c>
      <c r="P44" s="18" t="n">
        <v>0</v>
      </c>
      <c r="Q44" s="16">
        <f>P44/O44</f>
        <v/>
      </c>
      <c r="R44" s="1" t="n">
        <v>605</v>
      </c>
      <c r="S44" s="1" t="n">
        <v>13</v>
      </c>
      <c r="T44" s="1" t="n">
        <v>0</v>
      </c>
      <c r="U44" s="1" t="n">
        <v>2</v>
      </c>
      <c r="V44" s="1" t="n">
        <v>18</v>
      </c>
      <c r="W44" s="1" t="n">
        <v>14</v>
      </c>
      <c r="X44" s="1" t="n">
        <v>7</v>
      </c>
      <c r="Y44" s="1" t="n">
        <v>4</v>
      </c>
      <c r="Z44" s="1" t="n">
        <v>9</v>
      </c>
      <c r="AA44" s="1" t="n">
        <v>0</v>
      </c>
      <c r="AB44" s="1" t="n">
        <v>6</v>
      </c>
      <c r="AC44" s="1" t="n">
        <v>6</v>
      </c>
      <c r="AD44" s="1" t="n">
        <v>0</v>
      </c>
      <c r="AE44" s="1" t="n">
        <v>1</v>
      </c>
      <c r="AF44" s="1" t="n">
        <v>3</v>
      </c>
      <c r="AG44" s="1" t="n">
        <v>6</v>
      </c>
      <c r="AH44" s="1" t="n">
        <v>6</v>
      </c>
      <c r="AI44" s="1" t="n">
        <v>0</v>
      </c>
      <c r="AJ44" s="1" t="n">
        <v>8</v>
      </c>
      <c r="AK44" s="1" t="n">
        <v>0</v>
      </c>
      <c r="AL44" s="1" t="n">
        <v>4</v>
      </c>
      <c r="AM44" s="1" t="n">
        <v>0</v>
      </c>
    </row>
    <row r="45">
      <c r="A45" s="1" t="inlineStr">
        <is>
          <t>Barrett's esophagus</t>
        </is>
      </c>
      <c r="B45" s="1" t="inlineStr">
        <is>
          <t>EFO_0000280</t>
        </is>
      </c>
      <c r="C45" s="1" t="inlineStr">
        <is>
          <t>name</t>
        </is>
      </c>
      <c r="D45" s="1" t="n">
        <v>0.05</v>
      </c>
      <c r="E45" s="15" t="n">
        <v>2</v>
      </c>
      <c r="F45" s="15" t="n">
        <v>290</v>
      </c>
      <c r="G45" s="15" t="n">
        <v>1</v>
      </c>
      <c r="H45" s="16">
        <f>G45/F45</f>
        <v/>
      </c>
      <c r="I45" s="16">
        <f>G45/E45</f>
        <v/>
      </c>
      <c r="J45" s="17" t="n">
        <v>7</v>
      </c>
      <c r="K45" s="17" t="n">
        <v>1</v>
      </c>
      <c r="L45" s="17" t="n">
        <v>0</v>
      </c>
      <c r="M45" s="16">
        <f>L45/K45</f>
        <v/>
      </c>
      <c r="N45" s="16">
        <f>L45/J45</f>
        <v/>
      </c>
      <c r="O45" s="18" t="n">
        <v>1</v>
      </c>
      <c r="P45" s="18" t="n">
        <v>0</v>
      </c>
      <c r="Q45" s="16">
        <f>P45/O45</f>
        <v/>
      </c>
      <c r="R45" s="1" t="n">
        <v>230</v>
      </c>
      <c r="S45" s="1" t="n">
        <v>1</v>
      </c>
      <c r="T45" s="1" t="n">
        <v>0</v>
      </c>
      <c r="U45" s="1" t="n">
        <v>0</v>
      </c>
      <c r="V45" s="1" t="n">
        <v>1</v>
      </c>
      <c r="W45" s="1" t="n">
        <v>0</v>
      </c>
      <c r="X45" s="1" t="n">
        <v>0</v>
      </c>
      <c r="Y45" s="1" t="n">
        <v>1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1</v>
      </c>
      <c r="AM45" s="1" t="n">
        <v>0</v>
      </c>
    </row>
    <row r="46">
      <c r="A46" s="1" t="inlineStr">
        <is>
          <t>bipolar disorder</t>
        </is>
      </c>
      <c r="B46" s="1" t="inlineStr">
        <is>
          <t>MONDO_0004985</t>
        </is>
      </c>
      <c r="C46" s="1" t="inlineStr">
        <is>
          <t>name</t>
        </is>
      </c>
      <c r="D46" s="1" t="n">
        <v>0.05</v>
      </c>
      <c r="E46" s="15" t="n">
        <v>9</v>
      </c>
      <c r="F46" s="15" t="n">
        <v>0</v>
      </c>
      <c r="G46" s="15" t="n">
        <v>0</v>
      </c>
      <c r="H46" s="16">
        <f>G46/F46</f>
        <v/>
      </c>
      <c r="I46" s="16">
        <f>G46/E46</f>
        <v/>
      </c>
      <c r="J46" s="17" t="n">
        <v>28</v>
      </c>
      <c r="K46" s="17" t="n">
        <v>80</v>
      </c>
      <c r="L46" s="17" t="n">
        <v>6</v>
      </c>
      <c r="M46" s="16">
        <f>L46/K46</f>
        <v/>
      </c>
      <c r="N46" s="16">
        <f>L46/J46</f>
        <v/>
      </c>
      <c r="O46" s="18" t="n">
        <v>0</v>
      </c>
      <c r="P46" s="18" t="n">
        <v>0</v>
      </c>
      <c r="Q46" s="16">
        <f>P46/O46</f>
        <v/>
      </c>
      <c r="R46" s="1" t="n">
        <v>1146</v>
      </c>
      <c r="S46" s="1" t="n">
        <v>6</v>
      </c>
      <c r="T46" s="1" t="n">
        <v>0</v>
      </c>
      <c r="U46" s="1" t="n">
        <v>1</v>
      </c>
      <c r="V46" s="1" t="n">
        <v>6</v>
      </c>
      <c r="W46" s="1" t="n">
        <v>7</v>
      </c>
      <c r="X46" s="1" t="n">
        <v>5</v>
      </c>
      <c r="Y46" s="1" t="n">
        <v>0</v>
      </c>
      <c r="Z46" s="1" t="n">
        <v>8</v>
      </c>
      <c r="AA46" s="1" t="n">
        <v>0</v>
      </c>
      <c r="AB46" s="1" t="n">
        <v>0</v>
      </c>
      <c r="AC46" s="1" t="n">
        <v>1</v>
      </c>
      <c r="AD46" s="1" t="n">
        <v>0</v>
      </c>
      <c r="AE46" s="1" t="n">
        <v>4</v>
      </c>
      <c r="AF46" s="1" t="n">
        <v>1</v>
      </c>
      <c r="AG46" s="1" t="n">
        <v>3</v>
      </c>
      <c r="AH46" s="1" t="n">
        <v>2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</row>
    <row r="47">
      <c r="A47" s="1" t="inlineStr">
        <is>
          <t>breast adenocarcinoma</t>
        </is>
      </c>
      <c r="B47" s="1" t="inlineStr">
        <is>
          <t>EFO_0000304</t>
        </is>
      </c>
      <c r="C47" s="1" t="inlineStr">
        <is>
          <t>name</t>
        </is>
      </c>
      <c r="D47" s="1" t="n">
        <v>0.05</v>
      </c>
      <c r="E47" s="15" t="n">
        <v>12</v>
      </c>
      <c r="F47" s="15" t="n">
        <v>260</v>
      </c>
      <c r="G47" s="15" t="n">
        <v>8</v>
      </c>
      <c r="H47" s="16">
        <f>G47/F47</f>
        <v/>
      </c>
      <c r="I47" s="16">
        <f>G47/E47</f>
        <v/>
      </c>
      <c r="J47" s="17" t="n">
        <v>9</v>
      </c>
      <c r="K47" s="17" t="n">
        <v>70</v>
      </c>
      <c r="L47" s="17" t="n">
        <v>2</v>
      </c>
      <c r="M47" s="16">
        <f>L47/K47</f>
        <v/>
      </c>
      <c r="N47" s="16">
        <f>L47/J47</f>
        <v/>
      </c>
      <c r="O47" s="18" t="n">
        <v>3</v>
      </c>
      <c r="P47" s="18" t="n">
        <v>0</v>
      </c>
      <c r="Q47" s="16">
        <f>P47/O47</f>
        <v/>
      </c>
      <c r="R47" s="1" t="n">
        <v>512</v>
      </c>
      <c r="S47" s="1" t="n">
        <v>10</v>
      </c>
      <c r="T47" s="1" t="n">
        <v>0</v>
      </c>
      <c r="U47" s="1" t="n">
        <v>4</v>
      </c>
      <c r="V47" s="1" t="n">
        <v>4</v>
      </c>
      <c r="W47" s="1" t="n">
        <v>11</v>
      </c>
      <c r="X47" s="1" t="n">
        <v>0</v>
      </c>
      <c r="Y47" s="1" t="n">
        <v>10</v>
      </c>
      <c r="Z47" s="1" t="n">
        <v>5</v>
      </c>
      <c r="AA47" s="1" t="n">
        <v>0</v>
      </c>
      <c r="AB47" s="1" t="n">
        <v>0</v>
      </c>
      <c r="AC47" s="1" t="n">
        <v>0</v>
      </c>
      <c r="AD47" s="1" t="n">
        <v>2</v>
      </c>
      <c r="AE47" s="1" t="n">
        <v>2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</row>
    <row r="48">
      <c r="A48" s="1" t="inlineStr">
        <is>
          <t>bronchopulmonary dysplasia</t>
        </is>
      </c>
      <c r="B48" s="1" t="inlineStr">
        <is>
          <t>MONDO_0019091</t>
        </is>
      </c>
      <c r="C48" s="1" t="inlineStr">
        <is>
          <t>name</t>
        </is>
      </c>
      <c r="D48" s="1" t="n">
        <v>0.05</v>
      </c>
      <c r="E48" s="15" t="n">
        <v>4</v>
      </c>
      <c r="F48" s="15" t="n">
        <v>146</v>
      </c>
      <c r="G48" s="15" t="n">
        <v>2</v>
      </c>
      <c r="H48" s="16">
        <f>G48/F48</f>
        <v/>
      </c>
      <c r="I48" s="16">
        <f>G48/E48</f>
        <v/>
      </c>
      <c r="J48" s="17" t="n">
        <v>6</v>
      </c>
      <c r="K48" s="17" t="n">
        <v>27</v>
      </c>
      <c r="L48" s="17" t="n">
        <v>1</v>
      </c>
      <c r="M48" s="16">
        <f>L48/K48</f>
        <v/>
      </c>
      <c r="N48" s="16">
        <f>L48/J48</f>
        <v/>
      </c>
      <c r="O48" s="18" t="n">
        <v>0</v>
      </c>
      <c r="P48" s="18" t="n">
        <v>0</v>
      </c>
      <c r="Q48" s="16">
        <f>P48/O48</f>
        <v/>
      </c>
      <c r="R48" s="1" t="n">
        <v>448</v>
      </c>
      <c r="S48" s="1" t="n">
        <v>3</v>
      </c>
      <c r="T48" s="1" t="n">
        <v>0</v>
      </c>
      <c r="U48" s="1" t="n">
        <v>1</v>
      </c>
      <c r="V48" s="1" t="n">
        <v>3</v>
      </c>
      <c r="W48" s="1" t="n">
        <v>2</v>
      </c>
      <c r="X48" s="1" t="n">
        <v>0</v>
      </c>
      <c r="Y48" s="1" t="n">
        <v>0</v>
      </c>
      <c r="Z48" s="1" t="n">
        <v>4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1</v>
      </c>
      <c r="AH48" s="1" t="n">
        <v>1</v>
      </c>
      <c r="AI48" s="1" t="n">
        <v>0</v>
      </c>
      <c r="AJ48" s="1" t="n">
        <v>1</v>
      </c>
      <c r="AK48" s="1" t="n">
        <v>0</v>
      </c>
      <c r="AL48" s="1" t="n">
        <v>2</v>
      </c>
      <c r="AM48" s="1" t="n">
        <v>1</v>
      </c>
    </row>
    <row r="49">
      <c r="A49" s="1" t="inlineStr">
        <is>
          <t>Cardiomyopathy</t>
        </is>
      </c>
      <c r="B49" s="1" t="inlineStr">
        <is>
          <t>EFO_0000318</t>
        </is>
      </c>
      <c r="C49" s="1" t="inlineStr">
        <is>
          <t>name</t>
        </is>
      </c>
      <c r="D49" s="1" t="n">
        <v>0.05</v>
      </c>
      <c r="E49" s="15" t="n">
        <v>2</v>
      </c>
      <c r="F49" s="15" t="n">
        <v>214</v>
      </c>
      <c r="G49" s="15" t="n">
        <v>1</v>
      </c>
      <c r="H49" s="16">
        <f>G49/F49</f>
        <v/>
      </c>
      <c r="I49" s="16">
        <f>G49/E49</f>
        <v/>
      </c>
      <c r="J49" s="17" t="n">
        <v>6</v>
      </c>
      <c r="K49" s="17" t="n">
        <v>11</v>
      </c>
      <c r="L49" s="17" t="n">
        <v>0</v>
      </c>
      <c r="M49" s="16">
        <f>L49/K49</f>
        <v/>
      </c>
      <c r="N49" s="16">
        <f>L49/J49</f>
        <v/>
      </c>
      <c r="O49" s="18" t="n">
        <v>1</v>
      </c>
      <c r="P49" s="18" t="n">
        <v>0</v>
      </c>
      <c r="Q49" s="16">
        <f>P49/O49</f>
        <v/>
      </c>
      <c r="R49" s="1" t="n">
        <v>194</v>
      </c>
      <c r="S49" s="1" t="n">
        <v>1</v>
      </c>
      <c r="T49" s="1" t="n">
        <v>0</v>
      </c>
      <c r="U49" s="1" t="n">
        <v>0</v>
      </c>
      <c r="V49" s="1" t="n">
        <v>0</v>
      </c>
      <c r="W49" s="1" t="n">
        <v>1</v>
      </c>
      <c r="X49" s="1" t="n">
        <v>0</v>
      </c>
      <c r="Y49" s="1" t="n">
        <v>0</v>
      </c>
      <c r="Z49" s="1" t="n">
        <v>1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1</v>
      </c>
      <c r="AM49" s="1" t="n">
        <v>0</v>
      </c>
    </row>
    <row r="50">
      <c r="A50" s="1" t="inlineStr">
        <is>
          <t>cerebral palsy</t>
        </is>
      </c>
      <c r="B50" s="1" t="inlineStr">
        <is>
          <t>EFO_1000632</t>
        </is>
      </c>
      <c r="C50" s="1" t="inlineStr">
        <is>
          <t>name</t>
        </is>
      </c>
      <c r="D50" s="1" t="n">
        <v>0.05</v>
      </c>
      <c r="E50" s="15" t="n">
        <v>0</v>
      </c>
      <c r="F50" s="15" t="n">
        <v>125</v>
      </c>
      <c r="G50" s="15" t="n">
        <v>0</v>
      </c>
      <c r="H50" s="16">
        <f>G50/F50</f>
        <v/>
      </c>
      <c r="I50" s="16">
        <f>G50/E50</f>
        <v/>
      </c>
      <c r="J50" s="17" t="n">
        <v>3</v>
      </c>
      <c r="K50" s="17" t="n">
        <v>14</v>
      </c>
      <c r="L50" s="17" t="n">
        <v>1</v>
      </c>
      <c r="M50" s="16">
        <f>L50/K50</f>
        <v/>
      </c>
      <c r="N50" s="16">
        <f>L50/J50</f>
        <v/>
      </c>
      <c r="O50" s="18" t="n">
        <v>0</v>
      </c>
      <c r="P50" s="18" t="n">
        <v>0</v>
      </c>
      <c r="Q50" s="16">
        <f>P50/O50</f>
        <v/>
      </c>
      <c r="R50" s="1" t="n">
        <v>287</v>
      </c>
      <c r="S50" s="1" t="n">
        <v>1</v>
      </c>
      <c r="T50" s="1" t="n">
        <v>0</v>
      </c>
      <c r="U50" s="1" t="n">
        <v>0</v>
      </c>
      <c r="V50" s="1" t="n">
        <v>1</v>
      </c>
      <c r="W50" s="1" t="n">
        <v>1</v>
      </c>
      <c r="X50" s="1" t="n">
        <v>3</v>
      </c>
      <c r="Y50" s="1" t="n">
        <v>0</v>
      </c>
      <c r="Z50" s="1" t="n">
        <v>3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1</v>
      </c>
      <c r="AF50" s="1" t="n">
        <v>1</v>
      </c>
      <c r="AG50" s="1" t="n">
        <v>0</v>
      </c>
      <c r="AH50" s="1" t="n">
        <v>0</v>
      </c>
      <c r="AI50" s="1" t="n">
        <v>0</v>
      </c>
      <c r="AJ50" s="1" t="n">
        <v>2</v>
      </c>
      <c r="AK50" s="1" t="n">
        <v>1</v>
      </c>
      <c r="AL50" s="1" t="n">
        <v>0</v>
      </c>
      <c r="AM50" s="1" t="n">
        <v>0</v>
      </c>
    </row>
    <row r="51">
      <c r="A51" s="1" t="inlineStr">
        <is>
          <t>cervical cancer</t>
        </is>
      </c>
      <c r="B51" s="1" t="inlineStr">
        <is>
          <t>MONDO_0002974</t>
        </is>
      </c>
      <c r="C51" s="1" t="inlineStr">
        <is>
          <t>name</t>
        </is>
      </c>
      <c r="D51" s="1" t="n">
        <v>0.05</v>
      </c>
      <c r="E51" s="15" t="n">
        <v>23</v>
      </c>
      <c r="F51" s="15" t="n">
        <v>179</v>
      </c>
      <c r="G51" s="15" t="n">
        <v>9</v>
      </c>
      <c r="H51" s="16">
        <f>G51/F51</f>
        <v/>
      </c>
      <c r="I51" s="16">
        <f>G51/E51</f>
        <v/>
      </c>
      <c r="J51" s="17" t="n">
        <v>15</v>
      </c>
      <c r="K51" s="17" t="n">
        <v>117</v>
      </c>
      <c r="L51" s="17" t="n">
        <v>2</v>
      </c>
      <c r="M51" s="16">
        <f>L51/K51</f>
        <v/>
      </c>
      <c r="N51" s="16">
        <f>L51/J51</f>
        <v/>
      </c>
      <c r="O51" s="18" t="n">
        <v>4</v>
      </c>
      <c r="P51" s="18" t="n">
        <v>0</v>
      </c>
      <c r="Q51" s="16">
        <f>P51/O51</f>
        <v/>
      </c>
      <c r="R51" s="1" t="n">
        <v>1023</v>
      </c>
      <c r="S51" s="1" t="n">
        <v>11</v>
      </c>
      <c r="T51" s="1" t="n">
        <v>0</v>
      </c>
      <c r="U51" s="1" t="n">
        <v>8</v>
      </c>
      <c r="V51" s="1" t="n">
        <v>15</v>
      </c>
      <c r="W51" s="1" t="n">
        <v>17</v>
      </c>
      <c r="X51" s="1" t="n">
        <v>0</v>
      </c>
      <c r="Y51" s="1" t="n">
        <v>4</v>
      </c>
      <c r="Z51" s="1" t="n">
        <v>13</v>
      </c>
      <c r="AA51" s="1" t="n">
        <v>0</v>
      </c>
      <c r="AB51" s="1" t="n">
        <v>4</v>
      </c>
      <c r="AC51" s="1" t="n">
        <v>5</v>
      </c>
      <c r="AD51" s="1" t="n">
        <v>0</v>
      </c>
      <c r="AE51" s="1" t="n">
        <v>4</v>
      </c>
      <c r="AF51" s="1" t="n">
        <v>0</v>
      </c>
      <c r="AG51" s="1" t="n">
        <v>5</v>
      </c>
      <c r="AH51" s="1" t="n">
        <v>5</v>
      </c>
      <c r="AI51" s="1" t="n">
        <v>0</v>
      </c>
      <c r="AJ51" s="1" t="n">
        <v>1</v>
      </c>
      <c r="AK51" s="1" t="n">
        <v>3</v>
      </c>
      <c r="AL51" s="1" t="n">
        <v>6</v>
      </c>
      <c r="AM51" s="1" t="n">
        <v>6</v>
      </c>
    </row>
    <row r="52">
      <c r="A52" s="1" t="inlineStr">
        <is>
          <t>chronic granulomatous disease</t>
        </is>
      </c>
      <c r="B52" s="1" t="inlineStr">
        <is>
          <t>MONDO_0018305</t>
        </is>
      </c>
      <c r="C52" s="1" t="inlineStr">
        <is>
          <t>name</t>
        </is>
      </c>
      <c r="D52" s="1" t="n">
        <v>0.05</v>
      </c>
      <c r="E52" s="15" t="n">
        <v>4</v>
      </c>
      <c r="F52" s="15" t="n">
        <v>318</v>
      </c>
      <c r="G52" s="15" t="n">
        <v>3</v>
      </c>
      <c r="H52" s="16">
        <f>G52/F52</f>
        <v/>
      </c>
      <c r="I52" s="16">
        <f>G52/E52</f>
        <v/>
      </c>
      <c r="J52" s="17" t="n">
        <v>3</v>
      </c>
      <c r="K52" s="17" t="n">
        <v>54</v>
      </c>
      <c r="L52" s="17" t="n">
        <v>0</v>
      </c>
      <c r="M52" s="16">
        <f>L52/K52</f>
        <v/>
      </c>
      <c r="N52" s="16">
        <f>L52/J52</f>
        <v/>
      </c>
      <c r="O52" s="18" t="n">
        <v>1</v>
      </c>
      <c r="P52" s="18" t="n">
        <v>0</v>
      </c>
      <c r="Q52" s="16">
        <f>P52/O52</f>
        <v/>
      </c>
      <c r="R52" s="1" t="n">
        <v>275</v>
      </c>
      <c r="S52" s="1" t="n">
        <v>3</v>
      </c>
      <c r="T52" s="1" t="n">
        <v>1</v>
      </c>
      <c r="U52" s="1" t="n">
        <v>5</v>
      </c>
      <c r="V52" s="1" t="n">
        <v>0</v>
      </c>
      <c r="W52" s="1" t="n">
        <v>0</v>
      </c>
      <c r="X52" s="1" t="n">
        <v>0</v>
      </c>
      <c r="Y52" s="1" t="n">
        <v>1</v>
      </c>
      <c r="Z52" s="1" t="n">
        <v>0</v>
      </c>
      <c r="AA52" s="1" t="n">
        <v>1</v>
      </c>
      <c r="AB52" s="1" t="n">
        <v>0</v>
      </c>
      <c r="AC52" s="1" t="n">
        <v>2</v>
      </c>
      <c r="AD52" s="1" t="n">
        <v>0</v>
      </c>
      <c r="AE52" s="1" t="n">
        <v>2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</row>
    <row r="53">
      <c r="A53" s="1" t="inlineStr">
        <is>
          <t>chronic lymphocytic leukemia</t>
        </is>
      </c>
      <c r="B53" s="1" t="inlineStr">
        <is>
          <t>EFO_0000095</t>
        </is>
      </c>
      <c r="C53" s="1" t="inlineStr">
        <is>
          <t>name</t>
        </is>
      </c>
      <c r="D53" s="1" t="n">
        <v>0.05</v>
      </c>
      <c r="E53" s="15" t="n">
        <v>25</v>
      </c>
      <c r="F53" s="15" t="n">
        <v>78</v>
      </c>
      <c r="G53" s="15" t="n">
        <v>5</v>
      </c>
      <c r="H53" s="16">
        <f>G53/F53</f>
        <v/>
      </c>
      <c r="I53" s="16">
        <f>G53/E53</f>
        <v/>
      </c>
      <c r="J53" s="17" t="n">
        <v>28</v>
      </c>
      <c r="K53" s="17" t="n">
        <v>86</v>
      </c>
      <c r="L53" s="17" t="n">
        <v>6</v>
      </c>
      <c r="M53" s="16">
        <f>L53/K53</f>
        <v/>
      </c>
      <c r="N53" s="16">
        <f>L53/J53</f>
        <v/>
      </c>
      <c r="O53" s="18" t="n">
        <v>1</v>
      </c>
      <c r="P53" s="18" t="n">
        <v>0</v>
      </c>
      <c r="Q53" s="16">
        <f>P53/O53</f>
        <v/>
      </c>
      <c r="R53" s="1" t="n">
        <v>1621</v>
      </c>
      <c r="S53" s="1" t="n">
        <v>11</v>
      </c>
      <c r="T53" s="1" t="n">
        <v>1</v>
      </c>
      <c r="U53" s="1" t="n">
        <v>3</v>
      </c>
      <c r="V53" s="1" t="n">
        <v>11</v>
      </c>
      <c r="W53" s="1" t="n">
        <v>1</v>
      </c>
      <c r="X53" s="1" t="n">
        <v>0</v>
      </c>
      <c r="Y53" s="1" t="n">
        <v>1</v>
      </c>
      <c r="Z53" s="1" t="n">
        <v>9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5</v>
      </c>
      <c r="AF53" s="1" t="n">
        <v>0</v>
      </c>
      <c r="AG53" s="1" t="n">
        <v>1</v>
      </c>
      <c r="AH53" s="1" t="n">
        <v>0</v>
      </c>
      <c r="AI53" s="1" t="n">
        <v>0</v>
      </c>
      <c r="AJ53" s="1" t="n">
        <v>1</v>
      </c>
      <c r="AK53" s="1" t="n">
        <v>1</v>
      </c>
      <c r="AL53" s="1" t="n">
        <v>1</v>
      </c>
      <c r="AM53" s="1" t="n">
        <v>0</v>
      </c>
    </row>
    <row r="54">
      <c r="A54" s="1" t="inlineStr">
        <is>
          <t>cleft lip</t>
        </is>
      </c>
      <c r="B54" s="1" t="inlineStr">
        <is>
          <t>EFO_0003959</t>
        </is>
      </c>
      <c r="C54" s="1" t="inlineStr">
        <is>
          <t>name</t>
        </is>
      </c>
      <c r="D54" s="1" t="n">
        <v>0.05</v>
      </c>
      <c r="E54" s="15" t="n">
        <v>0</v>
      </c>
      <c r="F54" s="15" t="n">
        <v>89</v>
      </c>
      <c r="G54" s="15" t="n">
        <v>0</v>
      </c>
      <c r="H54" s="16">
        <f>G54/F54</f>
        <v/>
      </c>
      <c r="I54" s="16">
        <f>G54/E54</f>
        <v/>
      </c>
      <c r="J54" s="17" t="n">
        <v>0</v>
      </c>
      <c r="K54" s="17" t="n">
        <v>26</v>
      </c>
      <c r="L54" s="17" t="n">
        <v>0</v>
      </c>
      <c r="M54" s="16">
        <f>L54/K54</f>
        <v/>
      </c>
      <c r="N54" s="16">
        <f>L54/J54</f>
        <v/>
      </c>
      <c r="O54" s="18" t="n">
        <v>0</v>
      </c>
      <c r="P54" s="18" t="n">
        <v>0</v>
      </c>
      <c r="Q54" s="16">
        <f>P54/O54</f>
        <v/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1</v>
      </c>
      <c r="AK54" s="1" t="n">
        <v>0</v>
      </c>
      <c r="AL54" s="1" t="n">
        <v>0</v>
      </c>
      <c r="AM54" s="1" t="n">
        <v>0</v>
      </c>
    </row>
    <row r="55">
      <c r="A55" s="1" t="inlineStr">
        <is>
          <t>colitis</t>
        </is>
      </c>
      <c r="B55" s="1" t="inlineStr">
        <is>
          <t>EFO_0003872</t>
        </is>
      </c>
      <c r="C55" s="1" t="inlineStr">
        <is>
          <t>name</t>
        </is>
      </c>
      <c r="D55" s="1" t="n">
        <v>0.05</v>
      </c>
      <c r="E55" s="15" t="n">
        <v>1</v>
      </c>
      <c r="F55" s="15" t="n">
        <v>305</v>
      </c>
      <c r="G55" s="15" t="n">
        <v>1</v>
      </c>
      <c r="H55" s="16">
        <f>G55/F55</f>
        <v/>
      </c>
      <c r="I55" s="16">
        <f>G55/E55</f>
        <v/>
      </c>
      <c r="J55" s="17" t="n">
        <v>5</v>
      </c>
      <c r="K55" s="17" t="n">
        <v>18</v>
      </c>
      <c r="L55" s="17" t="n">
        <v>0</v>
      </c>
      <c r="M55" s="16">
        <f>L55/K55</f>
        <v/>
      </c>
      <c r="N55" s="16">
        <f>L55/J55</f>
        <v/>
      </c>
      <c r="O55" s="18" t="n">
        <v>0</v>
      </c>
      <c r="P55" s="18" t="n">
        <v>0</v>
      </c>
      <c r="Q55" s="16">
        <f>P55/O55</f>
        <v/>
      </c>
      <c r="R55" s="1" t="n">
        <v>202</v>
      </c>
      <c r="S55" s="1" t="n">
        <v>1</v>
      </c>
      <c r="T55" s="1" t="n">
        <v>0</v>
      </c>
      <c r="U55" s="1" t="n">
        <v>0</v>
      </c>
      <c r="V55" s="1" t="n">
        <v>1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1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</row>
    <row r="56">
      <c r="A56" s="1" t="inlineStr">
        <is>
          <t>colon adenoma</t>
        </is>
      </c>
      <c r="B56" s="1" t="inlineStr">
        <is>
          <t>MONDO_0000527</t>
        </is>
      </c>
      <c r="C56" s="1" t="inlineStr">
        <is>
          <t>name</t>
        </is>
      </c>
      <c r="D56" s="1" t="n">
        <v>0.05</v>
      </c>
      <c r="E56" s="15" t="n">
        <v>1</v>
      </c>
      <c r="F56" s="15" t="n">
        <v>223</v>
      </c>
      <c r="G56" s="15" t="n">
        <v>0</v>
      </c>
      <c r="H56" s="16">
        <f>G56/F56</f>
        <v/>
      </c>
      <c r="I56" s="16">
        <f>G56/E56</f>
        <v/>
      </c>
      <c r="J56" s="17" t="n">
        <v>1</v>
      </c>
      <c r="K56" s="17" t="n">
        <v>173</v>
      </c>
      <c r="L56" s="17" t="n">
        <v>1</v>
      </c>
      <c r="M56" s="16">
        <f>L56/K56</f>
        <v/>
      </c>
      <c r="N56" s="16">
        <f>L56/J56</f>
        <v/>
      </c>
      <c r="O56" s="18" t="n">
        <v>4</v>
      </c>
      <c r="P56" s="18" t="n">
        <v>0</v>
      </c>
      <c r="Q56" s="16">
        <f>P56/O56</f>
        <v/>
      </c>
      <c r="R56" s="1" t="n">
        <v>42</v>
      </c>
      <c r="S56" s="1" t="n">
        <v>1</v>
      </c>
      <c r="T56" s="1" t="n">
        <v>0</v>
      </c>
      <c r="U56" s="1" t="n">
        <v>0</v>
      </c>
      <c r="V56" s="1" t="n">
        <v>0</v>
      </c>
      <c r="W56" s="1" t="n">
        <v>1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1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10</v>
      </c>
      <c r="AK56" s="1" t="n">
        <v>1</v>
      </c>
      <c r="AL56" s="1" t="n">
        <v>3</v>
      </c>
      <c r="AM56" s="1" t="n">
        <v>2</v>
      </c>
    </row>
    <row r="57">
      <c r="A57" s="1" t="inlineStr">
        <is>
          <t>colorectal adenocarcinoma</t>
        </is>
      </c>
      <c r="B57" s="1" t="inlineStr">
        <is>
          <t>EFO_0000365</t>
        </is>
      </c>
      <c r="C57" s="1" t="inlineStr">
        <is>
          <t>name</t>
        </is>
      </c>
      <c r="D57" s="1" t="n">
        <v>0.05</v>
      </c>
      <c r="E57" s="15" t="n">
        <v>19</v>
      </c>
      <c r="F57" s="15" t="n">
        <v>276</v>
      </c>
      <c r="G57" s="15" t="n">
        <v>16</v>
      </c>
      <c r="H57" s="16">
        <f>G57/F57</f>
        <v/>
      </c>
      <c r="I57" s="16">
        <f>G57/E57</f>
        <v/>
      </c>
      <c r="J57" s="17" t="n">
        <v>12</v>
      </c>
      <c r="K57" s="17" t="n">
        <v>21</v>
      </c>
      <c r="L57" s="17" t="n">
        <v>0</v>
      </c>
      <c r="M57" s="16">
        <f>L57/K57</f>
        <v/>
      </c>
      <c r="N57" s="16">
        <f>L57/J57</f>
        <v/>
      </c>
      <c r="O57" s="18" t="n">
        <v>1</v>
      </c>
      <c r="P57" s="18" t="n">
        <v>0</v>
      </c>
      <c r="Q57" s="16">
        <f>P57/O57</f>
        <v/>
      </c>
      <c r="R57" s="1" t="n">
        <v>743</v>
      </c>
      <c r="S57" s="1" t="n">
        <v>16</v>
      </c>
      <c r="T57" s="1" t="n">
        <v>0</v>
      </c>
      <c r="U57" s="1" t="n">
        <v>13</v>
      </c>
      <c r="V57" s="1" t="n">
        <v>20</v>
      </c>
      <c r="W57" s="1" t="n">
        <v>4</v>
      </c>
      <c r="X57" s="1" t="n">
        <v>0</v>
      </c>
      <c r="Y57" s="1" t="n">
        <v>10</v>
      </c>
      <c r="Z57" s="1" t="n">
        <v>13</v>
      </c>
      <c r="AA57" s="1" t="n">
        <v>0</v>
      </c>
      <c r="AB57" s="1" t="n">
        <v>0</v>
      </c>
      <c r="AC57" s="1" t="n">
        <v>3</v>
      </c>
      <c r="AD57" s="1" t="n">
        <v>0</v>
      </c>
      <c r="AE57" s="1" t="n">
        <v>5</v>
      </c>
      <c r="AF57" s="1" t="n">
        <v>0</v>
      </c>
      <c r="AG57" s="1" t="n">
        <v>3</v>
      </c>
      <c r="AH57" s="1" t="n">
        <v>3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</row>
    <row r="58">
      <c r="A58" s="1" t="inlineStr">
        <is>
          <t>colorectal cancer</t>
        </is>
      </c>
      <c r="B58" s="1" t="inlineStr">
        <is>
          <t>MONDO_0005575</t>
        </is>
      </c>
      <c r="C58" s="1" t="inlineStr">
        <is>
          <t>name</t>
        </is>
      </c>
      <c r="D58" s="1" t="n">
        <v>0.05</v>
      </c>
      <c r="E58" s="15" t="n">
        <v>46</v>
      </c>
      <c r="F58" s="15" t="n">
        <v>201</v>
      </c>
      <c r="G58" s="15" t="n">
        <v>26</v>
      </c>
      <c r="H58" s="16">
        <f>G58/F58</f>
        <v/>
      </c>
      <c r="I58" s="16">
        <f>G58/E58</f>
        <v/>
      </c>
      <c r="J58" s="17" t="n">
        <v>36</v>
      </c>
      <c r="K58" s="17" t="n">
        <v>121</v>
      </c>
      <c r="L58" s="17" t="n">
        <v>7</v>
      </c>
      <c r="M58" s="16">
        <f>L58/K58</f>
        <v/>
      </c>
      <c r="N58" s="16">
        <f>L58/J58</f>
        <v/>
      </c>
      <c r="O58" s="18" t="n">
        <v>3</v>
      </c>
      <c r="P58" s="18" t="n">
        <v>0</v>
      </c>
      <c r="Q58" s="16">
        <f>P58/O58</f>
        <v/>
      </c>
      <c r="R58" s="1" t="n">
        <v>2124</v>
      </c>
      <c r="S58" s="1" t="n">
        <v>33</v>
      </c>
      <c r="T58" s="1" t="n">
        <v>1</v>
      </c>
      <c r="U58" s="1" t="n">
        <v>37</v>
      </c>
      <c r="V58" s="1" t="n">
        <v>47</v>
      </c>
      <c r="W58" s="1" t="n">
        <v>20</v>
      </c>
      <c r="X58" s="1" t="n">
        <v>0</v>
      </c>
      <c r="Y58" s="1" t="n">
        <v>7</v>
      </c>
      <c r="Z58" s="1" t="n">
        <v>39</v>
      </c>
      <c r="AA58" s="1" t="n">
        <v>0</v>
      </c>
      <c r="AB58" s="1" t="n">
        <v>5</v>
      </c>
      <c r="AC58" s="1" t="n">
        <v>16</v>
      </c>
      <c r="AD58" s="1" t="n">
        <v>0</v>
      </c>
      <c r="AE58" s="1" t="n">
        <v>15</v>
      </c>
      <c r="AF58" s="1" t="n">
        <v>0</v>
      </c>
      <c r="AG58" s="1" t="n">
        <v>17</v>
      </c>
      <c r="AH58" s="1" t="n">
        <v>6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</row>
    <row r="59">
      <c r="A59" s="1" t="inlineStr">
        <is>
          <t>Crohn's disease</t>
        </is>
      </c>
      <c r="B59" s="1" t="inlineStr">
        <is>
          <t>EFO_0000384</t>
        </is>
      </c>
      <c r="C59" s="1" t="inlineStr">
        <is>
          <t>name</t>
        </is>
      </c>
      <c r="D59" s="1" t="n">
        <v>0.05</v>
      </c>
      <c r="E59" s="15" t="n">
        <v>12</v>
      </c>
      <c r="F59" s="15" t="n">
        <v>332</v>
      </c>
      <c r="G59" s="15" t="n">
        <v>9</v>
      </c>
      <c r="H59" s="16">
        <f>G59/F59</f>
        <v/>
      </c>
      <c r="I59" s="16">
        <f>G59/E59</f>
        <v/>
      </c>
      <c r="J59" s="17" t="n">
        <v>27</v>
      </c>
      <c r="K59" s="17" t="n">
        <v>102</v>
      </c>
      <c r="L59" s="17" t="n">
        <v>2</v>
      </c>
      <c r="M59" s="16">
        <f>L59/K59</f>
        <v/>
      </c>
      <c r="N59" s="16">
        <f>L59/J59</f>
        <v/>
      </c>
      <c r="O59" s="18" t="n">
        <v>4</v>
      </c>
      <c r="P59" s="18" t="n">
        <v>0</v>
      </c>
      <c r="Q59" s="16">
        <f>P59/O59</f>
        <v/>
      </c>
      <c r="R59" s="1" t="n">
        <v>1283</v>
      </c>
      <c r="S59" s="1" t="n">
        <v>11</v>
      </c>
      <c r="T59" s="1" t="n">
        <v>0</v>
      </c>
      <c r="U59" s="1" t="n">
        <v>5</v>
      </c>
      <c r="V59" s="1" t="n">
        <v>7</v>
      </c>
      <c r="W59" s="1" t="n">
        <v>5</v>
      </c>
      <c r="X59" s="1" t="n">
        <v>4</v>
      </c>
      <c r="Y59" s="1" t="n">
        <v>0</v>
      </c>
      <c r="Z59" s="1" t="n">
        <v>12</v>
      </c>
      <c r="AA59" s="1" t="n">
        <v>0</v>
      </c>
      <c r="AB59" s="1" t="n">
        <v>0</v>
      </c>
      <c r="AC59" s="1" t="n">
        <v>1</v>
      </c>
      <c r="AD59" s="1" t="n">
        <v>1</v>
      </c>
      <c r="AE59" s="1" t="n">
        <v>3</v>
      </c>
      <c r="AF59" s="1" t="n">
        <v>3</v>
      </c>
      <c r="AG59" s="1" t="n">
        <v>0</v>
      </c>
      <c r="AH59" s="1" t="n">
        <v>1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</row>
    <row r="60">
      <c r="A60" s="1" t="inlineStr">
        <is>
          <t>cystic fibrosis</t>
        </is>
      </c>
      <c r="B60" s="1" t="inlineStr">
        <is>
          <t>MONDO_0009061</t>
        </is>
      </c>
      <c r="C60" s="1" t="inlineStr">
        <is>
          <t>name</t>
        </is>
      </c>
      <c r="D60" s="1" t="n">
        <v>0.05</v>
      </c>
      <c r="E60" s="15" t="n">
        <v>5</v>
      </c>
      <c r="F60" s="15" t="n">
        <v>338</v>
      </c>
      <c r="G60" s="15" t="n">
        <v>4</v>
      </c>
      <c r="H60" s="16">
        <f>G60/F60</f>
        <v/>
      </c>
      <c r="I60" s="16">
        <f>G60/E60</f>
        <v/>
      </c>
      <c r="J60" s="17" t="n">
        <v>8</v>
      </c>
      <c r="K60" s="17" t="n">
        <v>90</v>
      </c>
      <c r="L60" s="17" t="n">
        <v>0</v>
      </c>
      <c r="M60" s="16">
        <f>L60/K60</f>
        <v/>
      </c>
      <c r="N60" s="16">
        <f>L60/J60</f>
        <v/>
      </c>
      <c r="O60" s="18" t="n">
        <v>3</v>
      </c>
      <c r="P60" s="18" t="n">
        <v>0</v>
      </c>
      <c r="Q60" s="16">
        <f>P60/O60</f>
        <v/>
      </c>
      <c r="R60" s="1" t="n">
        <v>555</v>
      </c>
      <c r="S60" s="1" t="n">
        <v>4</v>
      </c>
      <c r="T60" s="1" t="n">
        <v>0</v>
      </c>
      <c r="U60" s="1" t="n">
        <v>2</v>
      </c>
      <c r="V60" s="1" t="n">
        <v>4</v>
      </c>
      <c r="W60" s="1" t="n">
        <v>2</v>
      </c>
      <c r="X60" s="1" t="n">
        <v>0</v>
      </c>
      <c r="Y60" s="1" t="n">
        <v>0</v>
      </c>
      <c r="Z60" s="1" t="n">
        <v>6</v>
      </c>
      <c r="AA60" s="1" t="n">
        <v>0</v>
      </c>
      <c r="AB60" s="1" t="n">
        <v>0</v>
      </c>
      <c r="AC60" s="1" t="n">
        <v>1</v>
      </c>
      <c r="AD60" s="1" t="n">
        <v>0</v>
      </c>
      <c r="AE60" s="1" t="n">
        <v>1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</row>
    <row r="61">
      <c r="A61" s="1" t="inlineStr">
        <is>
          <t>cystitis</t>
        </is>
      </c>
      <c r="B61" s="1" t="inlineStr">
        <is>
          <t>EFO_1000025</t>
        </is>
      </c>
      <c r="C61" s="1" t="inlineStr">
        <is>
          <t>name</t>
        </is>
      </c>
      <c r="D61" s="1" t="n">
        <v>0.05</v>
      </c>
      <c r="E61" s="15" t="n">
        <v>0</v>
      </c>
      <c r="F61" s="15" t="n">
        <v>60</v>
      </c>
      <c r="G61" s="15" t="n">
        <v>0</v>
      </c>
      <c r="H61" s="16">
        <f>G61/F61</f>
        <v/>
      </c>
      <c r="I61" s="16">
        <f>G61/E61</f>
        <v/>
      </c>
      <c r="J61" s="17" t="n">
        <v>1</v>
      </c>
      <c r="K61" s="17" t="n">
        <v>0</v>
      </c>
      <c r="L61" s="17" t="n">
        <v>0</v>
      </c>
      <c r="M61" s="16">
        <f>L61/K61</f>
        <v/>
      </c>
      <c r="N61" s="16">
        <f>L61/J61</f>
        <v/>
      </c>
      <c r="O61" s="18" t="n">
        <v>0</v>
      </c>
      <c r="P61" s="18" t="n">
        <v>0</v>
      </c>
      <c r="Q61" s="16">
        <f>P61/O61</f>
        <v/>
      </c>
      <c r="R61" s="1" t="n">
        <v>21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</row>
    <row r="62">
      <c r="A62" s="1" t="inlineStr">
        <is>
          <t>dengue disease</t>
        </is>
      </c>
      <c r="B62" s="1" t="inlineStr">
        <is>
          <t>EFO_0005547</t>
        </is>
      </c>
      <c r="C62" s="1" t="inlineStr">
        <is>
          <t>name</t>
        </is>
      </c>
      <c r="D62" s="1" t="n">
        <v>0.05</v>
      </c>
      <c r="E62" s="15" t="n">
        <v>0</v>
      </c>
      <c r="F62" s="15" t="n">
        <v>296</v>
      </c>
      <c r="G62" s="15" t="n">
        <v>0</v>
      </c>
      <c r="H62" s="16">
        <f>G62/F62</f>
        <v/>
      </c>
      <c r="I62" s="16">
        <f>G62/E62</f>
        <v/>
      </c>
      <c r="J62" s="17" t="n">
        <v>3</v>
      </c>
      <c r="K62" s="17" t="n">
        <v>85</v>
      </c>
      <c r="L62" s="17" t="n">
        <v>1</v>
      </c>
      <c r="M62" s="16">
        <f>L62/K62</f>
        <v/>
      </c>
      <c r="N62" s="16">
        <f>L62/J62</f>
        <v/>
      </c>
      <c r="O62" s="18" t="n">
        <v>6</v>
      </c>
      <c r="P62" s="18" t="n">
        <v>0</v>
      </c>
      <c r="Q62" s="16">
        <f>P62/O62</f>
        <v/>
      </c>
      <c r="R62" s="1" t="n">
        <v>142</v>
      </c>
      <c r="S62" s="1" t="n">
        <v>1</v>
      </c>
      <c r="T62" s="1" t="n">
        <v>0</v>
      </c>
      <c r="U62" s="1" t="n">
        <v>0</v>
      </c>
      <c r="V62" s="1" t="n">
        <v>1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1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</row>
    <row r="63">
      <c r="A63" s="1" t="inlineStr">
        <is>
          <t>dengue hemorrhagic fever</t>
        </is>
      </c>
      <c r="B63" s="1" t="inlineStr">
        <is>
          <t>EFO_0004227</t>
        </is>
      </c>
      <c r="C63" s="1" t="inlineStr">
        <is>
          <t>name</t>
        </is>
      </c>
      <c r="D63" s="1" t="n">
        <v>0.05</v>
      </c>
      <c r="E63" s="15" t="n">
        <v>0</v>
      </c>
      <c r="F63" s="15" t="n">
        <v>313</v>
      </c>
      <c r="G63" s="15" t="n">
        <v>0</v>
      </c>
      <c r="H63" s="16">
        <f>G63/F63</f>
        <v/>
      </c>
      <c r="I63" s="16">
        <f>G63/E63</f>
        <v/>
      </c>
      <c r="J63" s="17" t="n">
        <v>0</v>
      </c>
      <c r="K63" s="17" t="n">
        <v>128</v>
      </c>
      <c r="L63" s="17" t="n">
        <v>0</v>
      </c>
      <c r="M63" s="16">
        <f>L63/K63</f>
        <v/>
      </c>
      <c r="N63" s="16">
        <f>L63/J63</f>
        <v/>
      </c>
      <c r="O63" s="18" t="n">
        <v>8</v>
      </c>
      <c r="P63" s="18" t="n">
        <v>0</v>
      </c>
      <c r="Q63" s="16">
        <f>P63/O63</f>
        <v/>
      </c>
      <c r="R63" s="1" t="n">
        <v>10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1</v>
      </c>
      <c r="AJ63" s="1" t="n">
        <v>1</v>
      </c>
      <c r="AK63" s="1" t="n">
        <v>3</v>
      </c>
      <c r="AL63" s="1" t="n">
        <v>2</v>
      </c>
      <c r="AM63" s="1" t="n">
        <v>0</v>
      </c>
    </row>
    <row r="64">
      <c r="A64" s="1" t="inlineStr">
        <is>
          <t>dermatomyositis</t>
        </is>
      </c>
      <c r="B64" s="1" t="inlineStr">
        <is>
          <t>EFO_0000398</t>
        </is>
      </c>
      <c r="C64" s="1" t="inlineStr">
        <is>
          <t>name</t>
        </is>
      </c>
      <c r="D64" s="1" t="n">
        <v>0.05</v>
      </c>
      <c r="E64" s="15" t="n">
        <v>2</v>
      </c>
      <c r="F64" s="15" t="n">
        <v>186</v>
      </c>
      <c r="G64" s="15" t="n">
        <v>0</v>
      </c>
      <c r="H64" s="16">
        <f>G64/F64</f>
        <v/>
      </c>
      <c r="I64" s="16">
        <f>G64/E64</f>
        <v/>
      </c>
      <c r="J64" s="17" t="n">
        <v>5</v>
      </c>
      <c r="K64" s="17" t="n">
        <v>86</v>
      </c>
      <c r="L64" s="17" t="n">
        <v>0</v>
      </c>
      <c r="M64" s="16">
        <f>L64/K64</f>
        <v/>
      </c>
      <c r="N64" s="16">
        <f>L64/J64</f>
        <v/>
      </c>
      <c r="O64" s="18" t="n">
        <v>1</v>
      </c>
      <c r="P64" s="18" t="n">
        <v>0</v>
      </c>
      <c r="Q64" s="16">
        <f>P64/O64</f>
        <v/>
      </c>
      <c r="R64" s="1" t="n">
        <v>293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</row>
    <row r="65">
      <c r="A65" s="1" t="inlineStr">
        <is>
          <t>diabetes mellitus</t>
        </is>
      </c>
      <c r="B65" s="1" t="inlineStr">
        <is>
          <t>EFO_0000400</t>
        </is>
      </c>
      <c r="C65" s="1" t="inlineStr">
        <is>
          <t>name</t>
        </is>
      </c>
      <c r="D65" s="1" t="n">
        <v>0.05</v>
      </c>
      <c r="E65" s="15" t="n">
        <v>19</v>
      </c>
      <c r="F65" s="15" t="n">
        <v>377</v>
      </c>
      <c r="G65" s="15" t="n">
        <v>19</v>
      </c>
      <c r="H65" s="16">
        <f>G65/F65</f>
        <v/>
      </c>
      <c r="I65" s="16">
        <f>G65/E65</f>
        <v/>
      </c>
      <c r="J65" s="17" t="n">
        <v>46</v>
      </c>
      <c r="K65" s="17" t="n">
        <v>0</v>
      </c>
      <c r="L65" s="17" t="n">
        <v>0</v>
      </c>
      <c r="M65" s="16">
        <f>L65/K65</f>
        <v/>
      </c>
      <c r="N65" s="16">
        <f>L65/J65</f>
        <v/>
      </c>
      <c r="O65" s="18" t="n">
        <v>0</v>
      </c>
      <c r="P65" s="18" t="n">
        <v>0</v>
      </c>
      <c r="Q65" s="16">
        <f>P65/O65</f>
        <v/>
      </c>
      <c r="R65" s="1" t="n">
        <v>2122</v>
      </c>
      <c r="S65" s="1" t="n">
        <v>19</v>
      </c>
      <c r="T65" s="1" t="n">
        <v>1</v>
      </c>
      <c r="U65" s="1" t="n">
        <v>8</v>
      </c>
      <c r="V65" s="1" t="n">
        <v>6</v>
      </c>
      <c r="W65" s="1" t="n">
        <v>13</v>
      </c>
      <c r="X65" s="1" t="n">
        <v>18</v>
      </c>
      <c r="Y65" s="1" t="n">
        <v>1</v>
      </c>
      <c r="Z65" s="1" t="n">
        <v>22</v>
      </c>
      <c r="AA65" s="1" t="n">
        <v>0</v>
      </c>
      <c r="AB65" s="1" t="n">
        <v>4</v>
      </c>
      <c r="AC65" s="1" t="n">
        <v>3</v>
      </c>
      <c r="AD65" s="1" t="n">
        <v>0</v>
      </c>
      <c r="AE65" s="1" t="n">
        <v>5</v>
      </c>
      <c r="AF65" s="1" t="n">
        <v>7</v>
      </c>
      <c r="AG65" s="1" t="n">
        <v>3</v>
      </c>
      <c r="AH65" s="1" t="n">
        <v>1</v>
      </c>
      <c r="AI65" s="1" t="n">
        <v>2</v>
      </c>
      <c r="AJ65" s="1" t="n">
        <v>2</v>
      </c>
      <c r="AK65" s="1" t="n">
        <v>0</v>
      </c>
      <c r="AL65" s="1" t="n">
        <v>0</v>
      </c>
      <c r="AM65" s="1" t="n">
        <v>0</v>
      </c>
    </row>
    <row r="66">
      <c r="A66" s="1" t="inlineStr">
        <is>
          <t>Diabetic Nephropathy</t>
        </is>
      </c>
      <c r="B66" s="1" t="inlineStr">
        <is>
          <t>EFO_0000401</t>
        </is>
      </c>
      <c r="C66" s="1" t="inlineStr">
        <is>
          <t>name</t>
        </is>
      </c>
      <c r="D66" s="1" t="n">
        <v>0.05</v>
      </c>
      <c r="E66" s="15" t="n">
        <v>9</v>
      </c>
      <c r="F66" s="15" t="n">
        <v>322</v>
      </c>
      <c r="G66" s="15" t="n">
        <v>9</v>
      </c>
      <c r="H66" s="16">
        <f>G66/F66</f>
        <v/>
      </c>
      <c r="I66" s="16">
        <f>G66/E66</f>
        <v/>
      </c>
      <c r="J66" s="17" t="n">
        <v>11</v>
      </c>
      <c r="K66" s="17" t="n">
        <v>5</v>
      </c>
      <c r="L66" s="17" t="n">
        <v>0</v>
      </c>
      <c r="M66" s="16">
        <f>L66/K66</f>
        <v/>
      </c>
      <c r="N66" s="16">
        <f>L66/J66</f>
        <v/>
      </c>
      <c r="O66" s="18" t="n">
        <v>0</v>
      </c>
      <c r="P66" s="18" t="n">
        <v>0</v>
      </c>
      <c r="Q66" s="16">
        <f>P66/O66</f>
        <v/>
      </c>
      <c r="R66" s="1" t="n">
        <v>507</v>
      </c>
      <c r="S66" s="1" t="n">
        <v>9</v>
      </c>
      <c r="T66" s="1" t="n">
        <v>0</v>
      </c>
      <c r="U66" s="1" t="n">
        <v>1</v>
      </c>
      <c r="V66" s="1" t="n">
        <v>7</v>
      </c>
      <c r="W66" s="1" t="n">
        <v>2</v>
      </c>
      <c r="X66" s="1" t="n">
        <v>1</v>
      </c>
      <c r="Y66" s="1" t="n">
        <v>0</v>
      </c>
      <c r="Z66" s="1" t="n">
        <v>8</v>
      </c>
      <c r="AA66" s="1" t="n">
        <v>0</v>
      </c>
      <c r="AB66" s="1" t="n">
        <v>0</v>
      </c>
      <c r="AC66" s="1" t="n">
        <v>2</v>
      </c>
      <c r="AD66" s="1" t="n">
        <v>0</v>
      </c>
      <c r="AE66" s="1" t="n">
        <v>0</v>
      </c>
      <c r="AF66" s="1" t="n">
        <v>1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2</v>
      </c>
      <c r="AM66" s="1" t="n">
        <v>0</v>
      </c>
    </row>
    <row r="67">
      <c r="A67" s="1" t="inlineStr">
        <is>
          <t>Diamond-Blackfan anemia</t>
        </is>
      </c>
      <c r="B67" s="1" t="inlineStr">
        <is>
          <t>MONDO_0015253</t>
        </is>
      </c>
      <c r="C67" s="1" t="inlineStr">
        <is>
          <t>name</t>
        </is>
      </c>
      <c r="D67" s="1" t="n">
        <v>0.05</v>
      </c>
      <c r="E67" s="15" t="n">
        <v>1</v>
      </c>
      <c r="F67" s="15" t="n">
        <v>187</v>
      </c>
      <c r="G67" s="15" t="n">
        <v>0</v>
      </c>
      <c r="H67" s="16">
        <f>G67/F67</f>
        <v/>
      </c>
      <c r="I67" s="16">
        <f>G67/E67</f>
        <v/>
      </c>
      <c r="J67" s="17" t="n">
        <v>4</v>
      </c>
      <c r="K67" s="17" t="n">
        <v>97</v>
      </c>
      <c r="L67" s="17" t="n">
        <v>1</v>
      </c>
      <c r="M67" s="16">
        <f>L67/K67</f>
        <v/>
      </c>
      <c r="N67" s="16">
        <f>L67/J67</f>
        <v/>
      </c>
      <c r="O67" s="18" t="n">
        <v>0</v>
      </c>
      <c r="P67" s="18" t="n">
        <v>0</v>
      </c>
      <c r="Q67" s="16">
        <f>P67/O67</f>
        <v/>
      </c>
      <c r="R67" s="1" t="n">
        <v>145</v>
      </c>
      <c r="S67" s="1" t="n">
        <v>1</v>
      </c>
      <c r="T67" s="1" t="n">
        <v>0</v>
      </c>
      <c r="U67" s="1" t="n">
        <v>1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1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</row>
    <row r="68">
      <c r="A68" s="1" t="inlineStr">
        <is>
          <t>dilated cardiomyopathy</t>
        </is>
      </c>
      <c r="B68" s="1" t="inlineStr">
        <is>
          <t>EFO_0000407</t>
        </is>
      </c>
      <c r="C68" s="1" t="inlineStr">
        <is>
          <t>name</t>
        </is>
      </c>
      <c r="D68" s="1" t="n">
        <v>0.05</v>
      </c>
      <c r="E68" s="15" t="n">
        <v>2</v>
      </c>
      <c r="F68" s="15" t="n">
        <v>73</v>
      </c>
      <c r="G68" s="15" t="n">
        <v>0</v>
      </c>
      <c r="H68" s="16">
        <f>G68/F68</f>
        <v/>
      </c>
      <c r="I68" s="16">
        <f>G68/E68</f>
        <v/>
      </c>
      <c r="J68" s="17" t="n">
        <v>3</v>
      </c>
      <c r="K68" s="17" t="n">
        <v>99</v>
      </c>
      <c r="L68" s="17" t="n">
        <v>1</v>
      </c>
      <c r="M68" s="16">
        <f>L68/K68</f>
        <v/>
      </c>
      <c r="N68" s="16">
        <f>L68/J68</f>
        <v/>
      </c>
      <c r="O68" s="18" t="n">
        <v>2</v>
      </c>
      <c r="P68" s="18" t="n">
        <v>0</v>
      </c>
      <c r="Q68" s="16">
        <f>P68/O68</f>
        <v/>
      </c>
      <c r="R68" s="1" t="n">
        <v>140</v>
      </c>
      <c r="S68" s="1" t="n">
        <v>1</v>
      </c>
      <c r="T68" s="1" t="n">
        <v>0</v>
      </c>
      <c r="U68" s="1" t="n">
        <v>0</v>
      </c>
      <c r="V68" s="1" t="n">
        <v>1</v>
      </c>
      <c r="W68" s="1" t="n">
        <v>0</v>
      </c>
      <c r="X68" s="1" t="n">
        <v>0</v>
      </c>
      <c r="Y68" s="1" t="n">
        <v>0</v>
      </c>
      <c r="Z68" s="1" t="n">
        <v>1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</row>
    <row r="69">
      <c r="A69" s="1" t="inlineStr">
        <is>
          <t>discoid lupus erythematosus</t>
        </is>
      </c>
      <c r="B69" s="1" t="inlineStr">
        <is>
          <t>MONDO_0019558</t>
        </is>
      </c>
      <c r="C69" s="1" t="inlineStr">
        <is>
          <t>name</t>
        </is>
      </c>
      <c r="D69" s="1" t="n">
        <v>0.05</v>
      </c>
      <c r="E69" s="15" t="n">
        <v>2</v>
      </c>
      <c r="F69" s="15" t="n">
        <v>357</v>
      </c>
      <c r="G69" s="15" t="n">
        <v>2</v>
      </c>
      <c r="H69" s="16">
        <f>G69/F69</f>
        <v/>
      </c>
      <c r="I69" s="16">
        <f>G69/E69</f>
        <v/>
      </c>
      <c r="J69" s="17" t="n">
        <v>1</v>
      </c>
      <c r="K69" s="17" t="n">
        <v>6</v>
      </c>
      <c r="L69" s="17" t="n">
        <v>0</v>
      </c>
      <c r="M69" s="16">
        <f>L69/K69</f>
        <v/>
      </c>
      <c r="N69" s="16">
        <f>L69/J69</f>
        <v/>
      </c>
      <c r="O69" s="18" t="n">
        <v>0</v>
      </c>
      <c r="P69" s="18" t="n">
        <v>0</v>
      </c>
      <c r="Q69" s="16">
        <f>P69/O69</f>
        <v/>
      </c>
      <c r="R69" s="1" t="n">
        <v>84</v>
      </c>
      <c r="S69" s="1" t="n">
        <v>2</v>
      </c>
      <c r="T69" s="1" t="n">
        <v>2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2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</row>
    <row r="70">
      <c r="A70" s="1" t="inlineStr">
        <is>
          <t>Down syndrome</t>
        </is>
      </c>
      <c r="B70" s="1" t="inlineStr">
        <is>
          <t>EFO_0001064</t>
        </is>
      </c>
      <c r="C70" s="1" t="inlineStr">
        <is>
          <t>name</t>
        </is>
      </c>
      <c r="D70" s="1" t="n">
        <v>0.05</v>
      </c>
      <c r="E70" s="15" t="n">
        <v>1</v>
      </c>
      <c r="F70" s="15" t="n">
        <v>120</v>
      </c>
      <c r="G70" s="15" t="n">
        <v>0</v>
      </c>
      <c r="H70" s="16">
        <f>G70/F70</f>
        <v/>
      </c>
      <c r="I70" s="16">
        <f>G70/E70</f>
        <v/>
      </c>
      <c r="J70" s="17" t="n">
        <v>1</v>
      </c>
      <c r="K70" s="17" t="n">
        <v>4</v>
      </c>
      <c r="L70" s="17" t="n">
        <v>0</v>
      </c>
      <c r="M70" s="16">
        <f>L70/K70</f>
        <v/>
      </c>
      <c r="N70" s="16">
        <f>L70/J70</f>
        <v/>
      </c>
      <c r="O70" s="18" t="n">
        <v>1</v>
      </c>
      <c r="P70" s="18" t="n">
        <v>0</v>
      </c>
      <c r="Q70" s="16">
        <f>P70/O70</f>
        <v/>
      </c>
      <c r="R70" s="1" t="n">
        <v>86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2</v>
      </c>
      <c r="AK70" s="1" t="n">
        <v>5</v>
      </c>
      <c r="AL70" s="1" t="n">
        <v>5</v>
      </c>
      <c r="AM70" s="1" t="n">
        <v>0</v>
      </c>
    </row>
    <row r="71">
      <c r="A71" s="1" t="inlineStr">
        <is>
          <t>Duchenne muscular dystrophy</t>
        </is>
      </c>
      <c r="B71" s="1" t="inlineStr">
        <is>
          <t>MONDO_0010679</t>
        </is>
      </c>
      <c r="C71" s="1" t="inlineStr">
        <is>
          <t>name</t>
        </is>
      </c>
      <c r="D71" s="1" t="n">
        <v>0.05</v>
      </c>
      <c r="E71" s="15" t="n">
        <v>6</v>
      </c>
      <c r="F71" s="15" t="n">
        <v>285</v>
      </c>
      <c r="G71" s="15" t="n">
        <v>5</v>
      </c>
      <c r="H71" s="16">
        <f>G71/F71</f>
        <v/>
      </c>
      <c r="I71" s="16">
        <f>G71/E71</f>
        <v/>
      </c>
      <c r="J71" s="17" t="n">
        <v>8</v>
      </c>
      <c r="K71" s="17" t="n">
        <v>0</v>
      </c>
      <c r="L71" s="17" t="n">
        <v>0</v>
      </c>
      <c r="M71" s="16">
        <f>L71/K71</f>
        <v/>
      </c>
      <c r="N71" s="16">
        <f>L71/J71</f>
        <v/>
      </c>
      <c r="O71" s="18" t="n">
        <v>0</v>
      </c>
      <c r="P71" s="18" t="n">
        <v>0</v>
      </c>
      <c r="Q71" s="16">
        <f>P71/O71</f>
        <v/>
      </c>
      <c r="R71" s="1" t="n">
        <v>429</v>
      </c>
      <c r="S71" s="1" t="n">
        <v>5</v>
      </c>
      <c r="T71" s="1" t="n">
        <v>2</v>
      </c>
      <c r="U71" s="1" t="n">
        <v>2</v>
      </c>
      <c r="V71" s="1" t="n">
        <v>5</v>
      </c>
      <c r="W71" s="1" t="n">
        <v>5</v>
      </c>
      <c r="X71" s="1" t="n">
        <v>1</v>
      </c>
      <c r="Y71" s="1" t="n">
        <v>0</v>
      </c>
      <c r="Z71" s="1" t="n">
        <v>7</v>
      </c>
      <c r="AA71" s="1" t="n">
        <v>1</v>
      </c>
      <c r="AB71" s="1" t="n">
        <v>0</v>
      </c>
      <c r="AC71" s="1" t="n">
        <v>2</v>
      </c>
      <c r="AD71" s="1" t="n">
        <v>0</v>
      </c>
      <c r="AE71" s="1" t="n">
        <v>4</v>
      </c>
      <c r="AF71" s="1" t="n">
        <v>1</v>
      </c>
      <c r="AG71" s="1" t="n">
        <v>0</v>
      </c>
      <c r="AH71" s="1" t="n">
        <v>0</v>
      </c>
      <c r="AI71" s="1" t="n">
        <v>0</v>
      </c>
      <c r="AJ71" s="1" t="n">
        <v>4</v>
      </c>
      <c r="AK71" s="1" t="n">
        <v>0</v>
      </c>
      <c r="AL71" s="1" t="n">
        <v>3</v>
      </c>
      <c r="AM71" s="1" t="n">
        <v>2</v>
      </c>
    </row>
    <row r="72">
      <c r="A72" s="1" t="inlineStr">
        <is>
          <t>dystonia</t>
        </is>
      </c>
      <c r="B72" s="1" t="inlineStr">
        <is>
          <t>HP_0001332</t>
        </is>
      </c>
      <c r="C72" s="1" t="inlineStr">
        <is>
          <t>name</t>
        </is>
      </c>
      <c r="D72" s="1" t="n">
        <v>0.05</v>
      </c>
      <c r="E72" s="15" t="n">
        <v>0</v>
      </c>
      <c r="F72" s="15" t="n">
        <v>212</v>
      </c>
      <c r="G72" s="15" t="n">
        <v>0</v>
      </c>
      <c r="H72" s="16">
        <f>G72/F72</f>
        <v/>
      </c>
      <c r="I72" s="16">
        <f>G72/E72</f>
        <v/>
      </c>
      <c r="J72" s="17" t="n">
        <v>0</v>
      </c>
      <c r="K72" s="17" t="n">
        <v>3</v>
      </c>
      <c r="L72" s="17" t="n">
        <v>0</v>
      </c>
      <c r="M72" s="16">
        <f>L72/K72</f>
        <v/>
      </c>
      <c r="N72" s="16">
        <f>L72/J72</f>
        <v/>
      </c>
      <c r="O72" s="18" t="n">
        <v>0</v>
      </c>
      <c r="P72" s="18" t="n">
        <v>0</v>
      </c>
      <c r="Q72" s="16">
        <f>P72/O72</f>
        <v/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</row>
    <row r="73">
      <c r="A73" s="1" t="inlineStr">
        <is>
          <t>Ebola hemorrhagic fever</t>
        </is>
      </c>
      <c r="B73" s="1" t="inlineStr">
        <is>
          <t>EFO_0007243</t>
        </is>
      </c>
      <c r="C73" s="1" t="inlineStr">
        <is>
          <t>name</t>
        </is>
      </c>
      <c r="D73" s="1" t="n">
        <v>0.05</v>
      </c>
      <c r="E73" s="15" t="n">
        <v>2</v>
      </c>
      <c r="F73" s="15" t="n">
        <v>188</v>
      </c>
      <c r="G73" s="15" t="n">
        <v>0</v>
      </c>
      <c r="H73" s="16">
        <f>G73/F73</f>
        <v/>
      </c>
      <c r="I73" s="16">
        <f>G73/E73</f>
        <v/>
      </c>
      <c r="J73" s="17" t="n">
        <v>1</v>
      </c>
      <c r="K73" s="17" t="n">
        <v>81</v>
      </c>
      <c r="L73" s="17" t="n">
        <v>0</v>
      </c>
      <c r="M73" s="16">
        <f>L73/K73</f>
        <v/>
      </c>
      <c r="N73" s="16">
        <f>L73/J73</f>
        <v/>
      </c>
      <c r="O73" s="18" t="n">
        <v>1</v>
      </c>
      <c r="P73" s="18" t="n">
        <v>0</v>
      </c>
      <c r="Q73" s="16">
        <f>P73/O73</f>
        <v/>
      </c>
      <c r="R73" s="1" t="n">
        <v>44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</row>
    <row r="74">
      <c r="A74" s="1" t="inlineStr">
        <is>
          <t>endometrial cancer</t>
        </is>
      </c>
      <c r="B74" s="1" t="inlineStr">
        <is>
          <t>MONDO_0011962</t>
        </is>
      </c>
      <c r="C74" s="1" t="inlineStr">
        <is>
          <t>name</t>
        </is>
      </c>
      <c r="D74" s="1" t="n">
        <v>0.05</v>
      </c>
      <c r="E74" s="15" t="n">
        <v>26</v>
      </c>
      <c r="F74" s="15" t="n">
        <v>212</v>
      </c>
      <c r="G74" s="15" t="n">
        <v>17</v>
      </c>
      <c r="H74" s="16">
        <f>G74/F74</f>
        <v/>
      </c>
      <c r="I74" s="16">
        <f>G74/E74</f>
        <v/>
      </c>
      <c r="J74" s="17" t="n">
        <v>20</v>
      </c>
      <c r="K74" s="17" t="n">
        <v>209</v>
      </c>
      <c r="L74" s="17" t="n">
        <v>6</v>
      </c>
      <c r="M74" s="16">
        <f>L74/K74</f>
        <v/>
      </c>
      <c r="N74" s="16">
        <f>L74/J74</f>
        <v/>
      </c>
      <c r="O74" s="18" t="n">
        <v>6</v>
      </c>
      <c r="P74" s="18" t="n">
        <v>0</v>
      </c>
      <c r="Q74" s="16">
        <f>P74/O74</f>
        <v/>
      </c>
      <c r="R74" s="1" t="n">
        <v>1032</v>
      </c>
      <c r="S74" s="1" t="n">
        <v>23</v>
      </c>
      <c r="T74" s="1" t="n">
        <v>3</v>
      </c>
      <c r="U74" s="1" t="n">
        <v>14</v>
      </c>
      <c r="V74" s="1" t="n">
        <v>27</v>
      </c>
      <c r="W74" s="1" t="n">
        <v>12</v>
      </c>
      <c r="X74" s="1" t="n">
        <v>0</v>
      </c>
      <c r="Y74" s="1" t="n">
        <v>6</v>
      </c>
      <c r="Z74" s="1" t="n">
        <v>16</v>
      </c>
      <c r="AA74" s="1" t="n">
        <v>0</v>
      </c>
      <c r="AB74" s="1" t="n">
        <v>5</v>
      </c>
      <c r="AC74" s="1" t="n">
        <v>17</v>
      </c>
      <c r="AD74" s="1" t="n">
        <v>0</v>
      </c>
      <c r="AE74" s="1" t="n">
        <v>8</v>
      </c>
      <c r="AF74" s="1" t="n">
        <v>0</v>
      </c>
      <c r="AG74" s="1" t="n">
        <v>4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</row>
    <row r="75">
      <c r="A75" s="1" t="inlineStr">
        <is>
          <t>endometriosis</t>
        </is>
      </c>
      <c r="B75" s="1" t="inlineStr">
        <is>
          <t>EFO_0001065</t>
        </is>
      </c>
      <c r="C75" s="1" t="inlineStr">
        <is>
          <t>name</t>
        </is>
      </c>
      <c r="D75" s="1" t="n">
        <v>0.05</v>
      </c>
      <c r="E75" s="15" t="n">
        <v>9</v>
      </c>
      <c r="F75" s="15" t="n">
        <v>204</v>
      </c>
      <c r="G75" s="15" t="n">
        <v>4</v>
      </c>
      <c r="H75" s="16">
        <f>G75/F75</f>
        <v/>
      </c>
      <c r="I75" s="16">
        <f>G75/E75</f>
        <v/>
      </c>
      <c r="J75" s="17" t="n">
        <v>12</v>
      </c>
      <c r="K75" s="17" t="n">
        <v>10</v>
      </c>
      <c r="L75" s="17" t="n">
        <v>0</v>
      </c>
      <c r="M75" s="16">
        <f>L75/K75</f>
        <v/>
      </c>
      <c r="N75" s="16">
        <f>L75/J75</f>
        <v/>
      </c>
      <c r="O75" s="18" t="n">
        <v>0</v>
      </c>
      <c r="P75" s="18" t="n">
        <v>0</v>
      </c>
      <c r="Q75" s="16">
        <f>P75/O75</f>
        <v/>
      </c>
      <c r="R75" s="1" t="n">
        <v>589</v>
      </c>
      <c r="S75" s="1" t="n">
        <v>4</v>
      </c>
      <c r="T75" s="1" t="n">
        <v>0</v>
      </c>
      <c r="U75" s="1" t="n">
        <v>0</v>
      </c>
      <c r="V75" s="1" t="n">
        <v>4</v>
      </c>
      <c r="W75" s="1" t="n">
        <v>1</v>
      </c>
      <c r="X75" s="1" t="n">
        <v>0</v>
      </c>
      <c r="Y75" s="1" t="n">
        <v>0</v>
      </c>
      <c r="Z75" s="1" t="n">
        <v>5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</row>
    <row r="76">
      <c r="A76" s="1" t="inlineStr">
        <is>
          <t>epidermolysis bullosa simplex</t>
        </is>
      </c>
      <c r="B76" s="1" t="inlineStr">
        <is>
          <t>MONDO_0017610</t>
        </is>
      </c>
      <c r="C76" s="1" t="inlineStr">
        <is>
          <t>name</t>
        </is>
      </c>
      <c r="D76" s="1" t="n">
        <v>0.05</v>
      </c>
      <c r="E76" s="15" t="n">
        <v>0</v>
      </c>
      <c r="F76" s="15" t="n">
        <v>116</v>
      </c>
      <c r="G76" s="15" t="n">
        <v>0</v>
      </c>
      <c r="H76" s="16">
        <f>G76/F76</f>
        <v/>
      </c>
      <c r="I76" s="16">
        <f>G76/E76</f>
        <v/>
      </c>
      <c r="J76" s="17" t="n">
        <v>0</v>
      </c>
      <c r="K76" s="17" t="n">
        <v>3</v>
      </c>
      <c r="L76" s="17" t="n">
        <v>0</v>
      </c>
      <c r="M76" s="16">
        <f>L76/K76</f>
        <v/>
      </c>
      <c r="N76" s="16">
        <f>L76/J76</f>
        <v/>
      </c>
      <c r="O76" s="18" t="n">
        <v>0</v>
      </c>
      <c r="P76" s="18" t="n">
        <v>0</v>
      </c>
      <c r="Q76" s="16">
        <f>P76/O76</f>
        <v/>
      </c>
      <c r="R76" s="1" t="n">
        <v>11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</row>
    <row r="77">
      <c r="A77" s="1" t="inlineStr">
        <is>
          <t>epilepsy syndrome</t>
        </is>
      </c>
      <c r="B77" s="1" t="inlineStr">
        <is>
          <t>MONDO_0015650</t>
        </is>
      </c>
      <c r="C77" s="1" t="inlineStr">
        <is>
          <t>name</t>
        </is>
      </c>
      <c r="D77" s="1" t="n">
        <v>0.05</v>
      </c>
      <c r="E77" s="15" t="n">
        <v>0</v>
      </c>
      <c r="F77" s="15" t="n">
        <v>288</v>
      </c>
      <c r="G77" s="15" t="n">
        <v>0</v>
      </c>
      <c r="H77" s="16">
        <f>G77/F77</f>
        <v/>
      </c>
      <c r="I77" s="16">
        <f>G77/E77</f>
        <v/>
      </c>
      <c r="J77" s="17" t="n">
        <v>0</v>
      </c>
      <c r="K77" s="17" t="n">
        <v>90</v>
      </c>
      <c r="L77" s="17" t="n">
        <v>0</v>
      </c>
      <c r="M77" s="16">
        <f>L77/K77</f>
        <v/>
      </c>
      <c r="N77" s="16">
        <f>L77/J77</f>
        <v/>
      </c>
      <c r="O77" s="18" t="n">
        <v>2</v>
      </c>
      <c r="P77" s="18" t="n">
        <v>0</v>
      </c>
      <c r="Q77" s="16">
        <f>P77/O77</f>
        <v/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</row>
    <row r="78">
      <c r="A78" s="1" t="inlineStr">
        <is>
          <t>facioscapulohumeral muscular dystrophy</t>
        </is>
      </c>
      <c r="B78" s="1" t="inlineStr">
        <is>
          <t>MONDO_0001347</t>
        </is>
      </c>
      <c r="C78" s="1" t="inlineStr">
        <is>
          <t>name</t>
        </is>
      </c>
      <c r="D78" s="1" t="n">
        <v>0.05</v>
      </c>
      <c r="E78" s="15" t="n">
        <v>0</v>
      </c>
      <c r="F78" s="15" t="n">
        <v>242</v>
      </c>
      <c r="G78" s="15" t="n">
        <v>0</v>
      </c>
      <c r="H78" s="16">
        <f>G78/F78</f>
        <v/>
      </c>
      <c r="I78" s="16">
        <f>G78/E78</f>
        <v/>
      </c>
      <c r="J78" s="17" t="n">
        <v>0</v>
      </c>
      <c r="K78" s="17" t="n">
        <v>2</v>
      </c>
      <c r="L78" s="17" t="n">
        <v>0</v>
      </c>
      <c r="M78" s="16">
        <f>L78/K78</f>
        <v/>
      </c>
      <c r="N78" s="16">
        <f>L78/J78</f>
        <v/>
      </c>
      <c r="O78" s="18" t="n">
        <v>0</v>
      </c>
      <c r="P78" s="18" t="n">
        <v>0</v>
      </c>
      <c r="Q78" s="16">
        <f>P78/O78</f>
        <v/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4</v>
      </c>
      <c r="AK78" s="1" t="n">
        <v>1</v>
      </c>
      <c r="AL78" s="1" t="n">
        <v>2</v>
      </c>
      <c r="AM78" s="1" t="n">
        <v>0</v>
      </c>
    </row>
    <row r="79">
      <c r="A79" s="1" t="inlineStr">
        <is>
          <t>familial hypercholesterolemia</t>
        </is>
      </c>
      <c r="B79" s="1" t="inlineStr">
        <is>
          <t>EFO_0004911</t>
        </is>
      </c>
      <c r="C79" s="1" t="inlineStr">
        <is>
          <t>name</t>
        </is>
      </c>
      <c r="D79" s="1" t="n">
        <v>0.05</v>
      </c>
      <c r="E79" s="15" t="n">
        <v>2</v>
      </c>
      <c r="F79" s="15" t="n">
        <v>250</v>
      </c>
      <c r="G79" s="15" t="n">
        <v>0</v>
      </c>
      <c r="H79" s="16">
        <f>G79/F79</f>
        <v/>
      </c>
      <c r="I79" s="16">
        <f>G79/E79</f>
        <v/>
      </c>
      <c r="J79" s="17" t="n">
        <v>1</v>
      </c>
      <c r="K79" s="17" t="n">
        <v>67</v>
      </c>
      <c r="L79" s="17" t="n">
        <v>0</v>
      </c>
      <c r="M79" s="16">
        <f>L79/K79</f>
        <v/>
      </c>
      <c r="N79" s="16">
        <f>L79/J79</f>
        <v/>
      </c>
      <c r="O79" s="18" t="n">
        <v>2</v>
      </c>
      <c r="P79" s="18" t="n">
        <v>0</v>
      </c>
      <c r="Q79" s="16">
        <f>P79/O79</f>
        <v/>
      </c>
      <c r="R79" s="1" t="n">
        <v>181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1</v>
      </c>
      <c r="AL79" s="1" t="n">
        <v>0</v>
      </c>
      <c r="AM79" s="1" t="n">
        <v>0</v>
      </c>
    </row>
    <row r="80">
      <c r="A80" s="1" t="inlineStr">
        <is>
          <t>fragile X syndrome</t>
        </is>
      </c>
      <c r="B80" s="1" t="inlineStr">
        <is>
          <t>MONDO_0010383</t>
        </is>
      </c>
      <c r="C80" s="1" t="inlineStr">
        <is>
          <t>name</t>
        </is>
      </c>
      <c r="D80" s="1" t="n">
        <v>0.05</v>
      </c>
      <c r="E80" s="15" t="n">
        <v>0</v>
      </c>
      <c r="F80" s="15" t="n">
        <v>379</v>
      </c>
      <c r="G80" s="15" t="n">
        <v>0</v>
      </c>
      <c r="H80" s="16">
        <f>G80/F80</f>
        <v/>
      </c>
      <c r="I80" s="16">
        <f>G80/E80</f>
        <v/>
      </c>
      <c r="J80" s="17" t="n">
        <v>6</v>
      </c>
      <c r="K80" s="17" t="n">
        <v>19</v>
      </c>
      <c r="L80" s="17" t="n">
        <v>0</v>
      </c>
      <c r="M80" s="16">
        <f>L80/K80</f>
        <v/>
      </c>
      <c r="N80" s="16">
        <f>L80/J80</f>
        <v/>
      </c>
      <c r="O80" s="18" t="n">
        <v>2</v>
      </c>
      <c r="P80" s="18" t="n">
        <v>0</v>
      </c>
      <c r="Q80" s="16">
        <f>P80/O80</f>
        <v/>
      </c>
      <c r="R80" s="1" t="n">
        <v>163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3</v>
      </c>
      <c r="AK80" s="1" t="n">
        <v>0</v>
      </c>
      <c r="AL80" s="1" t="n">
        <v>0</v>
      </c>
      <c r="AM80" s="1" t="n">
        <v>0</v>
      </c>
    </row>
    <row r="81">
      <c r="A81" s="1" t="inlineStr">
        <is>
          <t>gastroesophageal reflux disease</t>
        </is>
      </c>
      <c r="B81" s="1" t="inlineStr">
        <is>
          <t>EFO_0003948</t>
        </is>
      </c>
      <c r="C81" s="1" t="inlineStr">
        <is>
          <t>name</t>
        </is>
      </c>
      <c r="D81" s="1" t="n">
        <v>0.05</v>
      </c>
      <c r="E81" s="15" t="n">
        <v>2</v>
      </c>
      <c r="F81" s="15" t="n">
        <v>79</v>
      </c>
      <c r="G81" s="15" t="n">
        <v>0</v>
      </c>
      <c r="H81" s="16">
        <f>G81/F81</f>
        <v/>
      </c>
      <c r="I81" s="16">
        <f>G81/E81</f>
        <v/>
      </c>
      <c r="J81" s="17" t="n">
        <v>16</v>
      </c>
      <c r="K81" s="17" t="n">
        <v>192</v>
      </c>
      <c r="L81" s="17" t="n">
        <v>4</v>
      </c>
      <c r="M81" s="16">
        <f>L81/K81</f>
        <v/>
      </c>
      <c r="N81" s="16">
        <f>L81/J81</f>
        <v/>
      </c>
      <c r="O81" s="18" t="n">
        <v>1</v>
      </c>
      <c r="P81" s="18" t="n">
        <v>0</v>
      </c>
      <c r="Q81" s="16">
        <f>P81/O81</f>
        <v/>
      </c>
      <c r="R81" s="1" t="n">
        <v>398</v>
      </c>
      <c r="S81" s="1" t="n">
        <v>4</v>
      </c>
      <c r="T81" s="1" t="n">
        <v>1</v>
      </c>
      <c r="U81" s="1" t="n">
        <v>2</v>
      </c>
      <c r="V81" s="1" t="n">
        <v>1</v>
      </c>
      <c r="W81" s="1" t="n">
        <v>4</v>
      </c>
      <c r="X81" s="1" t="n">
        <v>6</v>
      </c>
      <c r="Y81" s="1" t="n">
        <v>0</v>
      </c>
      <c r="Z81" s="1" t="n">
        <v>6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2</v>
      </c>
      <c r="AF81" s="1" t="n">
        <v>3</v>
      </c>
      <c r="AG81" s="1" t="n">
        <v>2</v>
      </c>
      <c r="AH81" s="1" t="n">
        <v>1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</row>
    <row r="82">
      <c r="A82" s="1" t="inlineStr">
        <is>
          <t>gastrointestinal stromal tumor</t>
        </is>
      </c>
      <c r="B82" s="1" t="inlineStr">
        <is>
          <t>MONDO_0011719</t>
        </is>
      </c>
      <c r="C82" s="1" t="inlineStr">
        <is>
          <t>name</t>
        </is>
      </c>
      <c r="D82" s="1" t="n">
        <v>0.05</v>
      </c>
      <c r="E82" s="15" t="n">
        <v>16</v>
      </c>
      <c r="F82" s="15" t="n">
        <v>8</v>
      </c>
      <c r="G82" s="15" t="n">
        <v>0</v>
      </c>
      <c r="H82" s="16">
        <f>G82/F82</f>
        <v/>
      </c>
      <c r="I82" s="16">
        <f>G82/E82</f>
        <v/>
      </c>
      <c r="J82" s="17" t="n">
        <v>5</v>
      </c>
      <c r="K82" s="17" t="n">
        <v>0</v>
      </c>
      <c r="L82" s="17" t="n">
        <v>0</v>
      </c>
      <c r="M82" s="16">
        <f>L82/K82</f>
        <v/>
      </c>
      <c r="N82" s="16">
        <f>L82/J82</f>
        <v/>
      </c>
      <c r="O82" s="18" t="n">
        <v>0</v>
      </c>
      <c r="P82" s="18" t="n">
        <v>0</v>
      </c>
      <c r="Q82" s="16">
        <f>P82/O82</f>
        <v/>
      </c>
      <c r="R82" s="1" t="n">
        <v>464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9</v>
      </c>
      <c r="AK82" s="1" t="n">
        <v>0</v>
      </c>
      <c r="AL82" s="1" t="n">
        <v>2</v>
      </c>
      <c r="AM82" s="1" t="n">
        <v>1</v>
      </c>
    </row>
    <row r="83">
      <c r="A83" s="1" t="inlineStr">
        <is>
          <t>glioblastoma multiforme</t>
        </is>
      </c>
      <c r="B83" s="1" t="inlineStr">
        <is>
          <t>EFO_0000519</t>
        </is>
      </c>
      <c r="C83" s="1" t="inlineStr">
        <is>
          <t>name</t>
        </is>
      </c>
      <c r="D83" s="1" t="n">
        <v>0.05</v>
      </c>
      <c r="E83" s="15" t="n">
        <v>50</v>
      </c>
      <c r="F83" s="15" t="n">
        <v>237</v>
      </c>
      <c r="G83" s="15" t="n">
        <v>31</v>
      </c>
      <c r="H83" s="16">
        <f>G83/F83</f>
        <v/>
      </c>
      <c r="I83" s="16">
        <f>G83/E83</f>
        <v/>
      </c>
      <c r="J83" s="17" t="n">
        <v>32</v>
      </c>
      <c r="K83" s="17" t="n">
        <v>27</v>
      </c>
      <c r="L83" s="17" t="n">
        <v>1</v>
      </c>
      <c r="M83" s="16">
        <f>L83/K83</f>
        <v/>
      </c>
      <c r="N83" s="16">
        <f>L83/J83</f>
        <v/>
      </c>
      <c r="O83" s="18" t="n">
        <v>0</v>
      </c>
      <c r="P83" s="18" t="n">
        <v>0</v>
      </c>
      <c r="Q83" s="16">
        <f>P83/O83</f>
        <v/>
      </c>
      <c r="R83" s="1" t="n">
        <v>1726</v>
      </c>
      <c r="S83" s="1" t="n">
        <v>32</v>
      </c>
      <c r="T83" s="1" t="n">
        <v>6</v>
      </c>
      <c r="U83" s="1" t="n">
        <v>29</v>
      </c>
      <c r="V83" s="1" t="n">
        <v>27</v>
      </c>
      <c r="W83" s="1" t="n">
        <v>1</v>
      </c>
      <c r="X83" s="1" t="n">
        <v>0</v>
      </c>
      <c r="Y83" s="1" t="n">
        <v>7</v>
      </c>
      <c r="Z83" s="1" t="n">
        <v>25</v>
      </c>
      <c r="AA83" s="1" t="n">
        <v>0</v>
      </c>
      <c r="AB83" s="1" t="n">
        <v>1</v>
      </c>
      <c r="AC83" s="1" t="n">
        <v>11</v>
      </c>
      <c r="AD83" s="1" t="n">
        <v>1</v>
      </c>
      <c r="AE83" s="1" t="n">
        <v>11</v>
      </c>
      <c r="AF83" s="1" t="n">
        <v>0</v>
      </c>
      <c r="AG83" s="1" t="n">
        <v>3</v>
      </c>
      <c r="AH83" s="1" t="n">
        <v>4</v>
      </c>
      <c r="AI83" s="1" t="n">
        <v>0</v>
      </c>
      <c r="AJ83" s="1" t="n">
        <v>1</v>
      </c>
      <c r="AK83" s="1" t="n">
        <v>2</v>
      </c>
      <c r="AL83" s="1" t="n">
        <v>0</v>
      </c>
      <c r="AM83" s="1" t="n">
        <v>1</v>
      </c>
    </row>
    <row r="84">
      <c r="A84" s="1" t="inlineStr">
        <is>
          <t>head and neck squamous cell carcinoma</t>
        </is>
      </c>
      <c r="B84" s="1" t="inlineStr">
        <is>
          <t>EFO_0000181</t>
        </is>
      </c>
      <c r="C84" s="1" t="inlineStr">
        <is>
          <t>name</t>
        </is>
      </c>
      <c r="D84" s="1" t="n">
        <v>0.05</v>
      </c>
      <c r="E84" s="15" t="n">
        <v>27</v>
      </c>
      <c r="F84" s="15" t="n">
        <v>248</v>
      </c>
      <c r="G84" s="15" t="n">
        <v>13</v>
      </c>
      <c r="H84" s="16">
        <f>G84/F84</f>
        <v/>
      </c>
      <c r="I84" s="16">
        <f>G84/E84</f>
        <v/>
      </c>
      <c r="J84" s="17" t="n">
        <v>14</v>
      </c>
      <c r="K84" s="17" t="n">
        <v>0</v>
      </c>
      <c r="L84" s="17" t="n">
        <v>0</v>
      </c>
      <c r="M84" s="16">
        <f>L84/K84</f>
        <v/>
      </c>
      <c r="N84" s="16">
        <f>L84/J84</f>
        <v/>
      </c>
      <c r="O84" s="18" t="n">
        <v>0</v>
      </c>
      <c r="P84" s="18" t="n">
        <v>0</v>
      </c>
      <c r="Q84" s="16">
        <f>P84/O84</f>
        <v/>
      </c>
      <c r="R84" s="1" t="n">
        <v>1045</v>
      </c>
      <c r="S84" s="1" t="n">
        <v>13</v>
      </c>
      <c r="T84" s="1" t="n">
        <v>1</v>
      </c>
      <c r="U84" s="1" t="n">
        <v>12</v>
      </c>
      <c r="V84" s="1" t="n">
        <v>18</v>
      </c>
      <c r="W84" s="1" t="n">
        <v>4</v>
      </c>
      <c r="X84" s="1" t="n">
        <v>0</v>
      </c>
      <c r="Y84" s="1" t="n">
        <v>3</v>
      </c>
      <c r="Z84" s="1" t="n">
        <v>13</v>
      </c>
      <c r="AA84" s="1" t="n">
        <v>0</v>
      </c>
      <c r="AB84" s="1" t="n">
        <v>2</v>
      </c>
      <c r="AC84" s="1" t="n">
        <v>6</v>
      </c>
      <c r="AD84" s="1" t="n">
        <v>0</v>
      </c>
      <c r="AE84" s="1" t="n">
        <v>6</v>
      </c>
      <c r="AF84" s="1" t="n">
        <v>0</v>
      </c>
      <c r="AG84" s="1" t="n">
        <v>1</v>
      </c>
      <c r="AH84" s="1" t="n">
        <v>4</v>
      </c>
      <c r="AI84" s="1" t="n">
        <v>0</v>
      </c>
      <c r="AJ84" s="1" t="n">
        <v>5</v>
      </c>
      <c r="AK84" s="1" t="n">
        <v>4</v>
      </c>
      <c r="AL84" s="1" t="n">
        <v>4</v>
      </c>
      <c r="AM84" s="1" t="n">
        <v>2</v>
      </c>
    </row>
    <row r="85">
      <c r="A85" s="1" t="inlineStr">
        <is>
          <t>hepatocellular carcinoma</t>
        </is>
      </c>
      <c r="B85" s="1" t="inlineStr">
        <is>
          <t>EFO_0000182</t>
        </is>
      </c>
      <c r="C85" s="1" t="inlineStr">
        <is>
          <t>name</t>
        </is>
      </c>
      <c r="D85" s="1" t="n">
        <v>0.05</v>
      </c>
      <c r="E85" s="15" t="n">
        <v>39</v>
      </c>
      <c r="F85" s="15" t="n">
        <v>124</v>
      </c>
      <c r="G85" s="15" t="n">
        <v>15</v>
      </c>
      <c r="H85" s="16">
        <f>G85/F85</f>
        <v/>
      </c>
      <c r="I85" s="16">
        <f>G85/E85</f>
        <v/>
      </c>
      <c r="J85" s="17" t="n">
        <v>23</v>
      </c>
      <c r="K85" s="17" t="n">
        <v>68</v>
      </c>
      <c r="L85" s="17" t="n">
        <v>3</v>
      </c>
      <c r="M85" s="16">
        <f>L85/K85</f>
        <v/>
      </c>
      <c r="N85" s="16">
        <f>L85/J85</f>
        <v/>
      </c>
      <c r="O85" s="18" t="n">
        <v>0</v>
      </c>
      <c r="P85" s="18" t="n">
        <v>0</v>
      </c>
      <c r="Q85" s="16">
        <f>P85/O85</f>
        <v/>
      </c>
      <c r="R85" s="1" t="n">
        <v>1423</v>
      </c>
      <c r="S85" s="1" t="n">
        <v>18</v>
      </c>
      <c r="T85" s="1" t="n">
        <v>0</v>
      </c>
      <c r="U85" s="1" t="n">
        <v>19</v>
      </c>
      <c r="V85" s="1" t="n">
        <v>21</v>
      </c>
      <c r="W85" s="1" t="n">
        <v>10</v>
      </c>
      <c r="X85" s="1" t="n">
        <v>1</v>
      </c>
      <c r="Y85" s="1" t="n">
        <v>3</v>
      </c>
      <c r="Z85" s="1" t="n">
        <v>13</v>
      </c>
      <c r="AA85" s="1" t="n">
        <v>0</v>
      </c>
      <c r="AB85" s="1" t="n">
        <v>2</v>
      </c>
      <c r="AC85" s="1" t="n">
        <v>7</v>
      </c>
      <c r="AD85" s="1" t="n">
        <v>2</v>
      </c>
      <c r="AE85" s="1" t="n">
        <v>13</v>
      </c>
      <c r="AF85" s="1" t="n">
        <v>1</v>
      </c>
      <c r="AG85" s="1" t="n">
        <v>7</v>
      </c>
      <c r="AH85" s="1" t="n">
        <v>3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</row>
    <row r="86">
      <c r="A86" s="1" t="inlineStr">
        <is>
          <t>Hereditary gingival fibromatosis</t>
        </is>
      </c>
      <c r="B86" s="1" t="inlineStr">
        <is>
          <t>MONDO_0016070</t>
        </is>
      </c>
      <c r="C86" s="1" t="inlineStr">
        <is>
          <t>name</t>
        </is>
      </c>
      <c r="D86" s="1" t="n">
        <v>0.05</v>
      </c>
      <c r="E86" s="15" t="n">
        <v>0</v>
      </c>
      <c r="F86" s="15" t="n">
        <v>30</v>
      </c>
      <c r="G86" s="15" t="n">
        <v>0</v>
      </c>
      <c r="H86" s="16">
        <f>G86/F86</f>
        <v/>
      </c>
      <c r="I86" s="16">
        <f>G86/E86</f>
        <v/>
      </c>
      <c r="J86" s="17" t="n">
        <v>0</v>
      </c>
      <c r="K86" s="17" t="n">
        <v>0</v>
      </c>
      <c r="L86" s="17" t="n">
        <v>0</v>
      </c>
      <c r="M86" s="16">
        <f>L86/K86</f>
        <v/>
      </c>
      <c r="N86" s="16">
        <f>L86/J86</f>
        <v/>
      </c>
      <c r="O86" s="18" t="n">
        <v>0</v>
      </c>
      <c r="P86" s="18" t="n">
        <v>0</v>
      </c>
      <c r="Q86" s="16">
        <f>P86/O86</f>
        <v/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20</v>
      </c>
      <c r="AK86" s="1" t="n">
        <v>0</v>
      </c>
      <c r="AL86" s="1" t="n">
        <v>14</v>
      </c>
      <c r="AM86" s="1" t="n">
        <v>7</v>
      </c>
    </row>
    <row r="87">
      <c r="A87" s="1" t="inlineStr">
        <is>
          <t>Hypoxia</t>
        </is>
      </c>
      <c r="B87" s="1" t="inlineStr">
        <is>
          <t>EFO_0009444</t>
        </is>
      </c>
      <c r="C87" s="1" t="inlineStr">
        <is>
          <t>name</t>
        </is>
      </c>
      <c r="D87" s="1" t="n">
        <v>0.05</v>
      </c>
      <c r="E87" s="15" t="n">
        <v>0</v>
      </c>
      <c r="F87" s="15" t="n">
        <v>282</v>
      </c>
      <c r="G87" s="15" t="n">
        <v>0</v>
      </c>
      <c r="H87" s="16">
        <f>G87/F87</f>
        <v/>
      </c>
      <c r="I87" s="16">
        <f>G87/E87</f>
        <v/>
      </c>
      <c r="J87" s="17" t="n">
        <v>3</v>
      </c>
      <c r="K87" s="17" t="n">
        <v>80</v>
      </c>
      <c r="L87" s="17" t="n">
        <v>0</v>
      </c>
      <c r="M87" s="16">
        <f>L87/K87</f>
        <v/>
      </c>
      <c r="N87" s="16">
        <f>L87/J87</f>
        <v/>
      </c>
      <c r="O87" s="18" t="n">
        <v>2</v>
      </c>
      <c r="P87" s="18" t="n">
        <v>0</v>
      </c>
      <c r="Q87" s="16">
        <f>P87/O87</f>
        <v/>
      </c>
      <c r="R87" s="1" t="n">
        <v>153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</row>
    <row r="88">
      <c r="A88" s="1" t="inlineStr">
        <is>
          <t>idiopathic interstitial pneumonia</t>
        </is>
      </c>
      <c r="B88" s="1" t="inlineStr">
        <is>
          <t>MONDO_0002429</t>
        </is>
      </c>
      <c r="C88" s="1" t="inlineStr">
        <is>
          <t>name</t>
        </is>
      </c>
      <c r="D88" s="1" t="n">
        <v>0.05</v>
      </c>
      <c r="E88" s="15" t="n">
        <v>0</v>
      </c>
      <c r="F88" s="15" t="n">
        <v>76</v>
      </c>
      <c r="G88" s="15" t="n">
        <v>0</v>
      </c>
      <c r="H88" s="16">
        <f>G88/F88</f>
        <v/>
      </c>
      <c r="I88" s="16">
        <f>G88/E88</f>
        <v/>
      </c>
      <c r="J88" s="17" t="n">
        <v>0</v>
      </c>
      <c r="K88" s="17" t="n">
        <v>21</v>
      </c>
      <c r="L88" s="17" t="n">
        <v>0</v>
      </c>
      <c r="M88" s="16">
        <f>L88/K88</f>
        <v/>
      </c>
      <c r="N88" s="16">
        <f>L88/J88</f>
        <v/>
      </c>
      <c r="O88" s="18" t="n">
        <v>1</v>
      </c>
      <c r="P88" s="18" t="n">
        <v>0</v>
      </c>
      <c r="Q88" s="16">
        <f>P88/O88</f>
        <v/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1</v>
      </c>
      <c r="AK88" s="1" t="n">
        <v>1</v>
      </c>
      <c r="AL88" s="1" t="n">
        <v>0</v>
      </c>
      <c r="AM88" s="1" t="n">
        <v>0</v>
      </c>
    </row>
    <row r="89">
      <c r="A89" s="1" t="inlineStr">
        <is>
          <t>idiopathic pulmonary fibrosis</t>
        </is>
      </c>
      <c r="B89" s="1" t="inlineStr">
        <is>
          <t>EFO_0000768</t>
        </is>
      </c>
      <c r="C89" s="1" t="inlineStr">
        <is>
          <t>name</t>
        </is>
      </c>
      <c r="D89" s="1" t="n">
        <v>0.05</v>
      </c>
      <c r="E89" s="15" t="n">
        <v>11</v>
      </c>
      <c r="F89" s="15" t="n">
        <v>129</v>
      </c>
      <c r="G89" s="15" t="n">
        <v>4</v>
      </c>
      <c r="H89" s="16">
        <f>G89/F89</f>
        <v/>
      </c>
      <c r="I89" s="16">
        <f>G89/E89</f>
        <v/>
      </c>
      <c r="J89" s="17" t="n">
        <v>13</v>
      </c>
      <c r="K89" s="17" t="n">
        <v>0</v>
      </c>
      <c r="L89" s="17" t="n">
        <v>0</v>
      </c>
      <c r="M89" s="16">
        <f>L89/K89</f>
        <v/>
      </c>
      <c r="N89" s="16">
        <f>L89/J89</f>
        <v/>
      </c>
      <c r="O89" s="18" t="n">
        <v>0</v>
      </c>
      <c r="P89" s="18" t="n">
        <v>0</v>
      </c>
      <c r="Q89" s="16">
        <f>P89/O89</f>
        <v/>
      </c>
      <c r="R89" s="1" t="n">
        <v>644</v>
      </c>
      <c r="S89" s="1" t="n">
        <v>4</v>
      </c>
      <c r="T89" s="1" t="n">
        <v>1</v>
      </c>
      <c r="U89" s="1" t="n">
        <v>0</v>
      </c>
      <c r="V89" s="1" t="n">
        <v>2</v>
      </c>
      <c r="W89" s="1" t="n">
        <v>3</v>
      </c>
      <c r="X89" s="1" t="n">
        <v>0</v>
      </c>
      <c r="Y89" s="1" t="n">
        <v>0</v>
      </c>
      <c r="Z89" s="1" t="n">
        <v>3</v>
      </c>
      <c r="AA89" s="1" t="n">
        <v>0</v>
      </c>
      <c r="AB89" s="1" t="n">
        <v>0</v>
      </c>
      <c r="AC89" s="1" t="n">
        <v>1</v>
      </c>
      <c r="AD89" s="1" t="n">
        <v>0</v>
      </c>
      <c r="AE89" s="1" t="n">
        <v>2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</row>
    <row r="90">
      <c r="A90" s="1" t="inlineStr">
        <is>
          <t>inclusion body myositis</t>
        </is>
      </c>
      <c r="B90" s="1" t="inlineStr">
        <is>
          <t>EFO_0007323</t>
        </is>
      </c>
      <c r="C90" s="1" t="inlineStr">
        <is>
          <t>name</t>
        </is>
      </c>
      <c r="D90" s="1" t="n">
        <v>0.05</v>
      </c>
      <c r="E90" s="15" t="n">
        <v>1</v>
      </c>
      <c r="F90" s="15" t="n">
        <v>357</v>
      </c>
      <c r="G90" s="15" t="n">
        <v>1</v>
      </c>
      <c r="H90" s="16">
        <f>G90/F90</f>
        <v/>
      </c>
      <c r="I90" s="16">
        <f>G90/E90</f>
        <v/>
      </c>
      <c r="J90" s="17" t="n">
        <v>1</v>
      </c>
      <c r="K90" s="17" t="n">
        <v>7</v>
      </c>
      <c r="L90" s="17" t="n">
        <v>0</v>
      </c>
      <c r="M90" s="16">
        <f>L90/K90</f>
        <v/>
      </c>
      <c r="N90" s="16">
        <f>L90/J90</f>
        <v/>
      </c>
      <c r="O90" s="18" t="n">
        <v>0</v>
      </c>
      <c r="P90" s="18" t="n">
        <v>0</v>
      </c>
      <c r="Q90" s="16">
        <f>P90/O90</f>
        <v/>
      </c>
      <c r="R90" s="1" t="n">
        <v>69</v>
      </c>
      <c r="S90" s="1" t="n">
        <v>1</v>
      </c>
      <c r="T90" s="1" t="n">
        <v>0</v>
      </c>
      <c r="U90" s="1" t="n">
        <v>0</v>
      </c>
      <c r="V90" s="1" t="n">
        <v>1</v>
      </c>
      <c r="W90" s="1" t="n">
        <v>1</v>
      </c>
      <c r="X90" s="1" t="n">
        <v>0</v>
      </c>
      <c r="Y90" s="1" t="n">
        <v>0</v>
      </c>
      <c r="Z90" s="1" t="n">
        <v>1</v>
      </c>
      <c r="AA90" s="1" t="n">
        <v>0</v>
      </c>
      <c r="AB90" s="1" t="n">
        <v>0</v>
      </c>
      <c r="AC90" s="1" t="n">
        <v>1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</row>
    <row r="91">
      <c r="A91" s="1" t="inlineStr">
        <is>
          <t>influenza</t>
        </is>
      </c>
      <c r="B91" s="1" t="inlineStr">
        <is>
          <t>EFO_0007328</t>
        </is>
      </c>
      <c r="C91" s="1" t="inlineStr">
        <is>
          <t>name</t>
        </is>
      </c>
      <c r="D91" s="1" t="n">
        <v>0.05</v>
      </c>
      <c r="E91" s="15" t="n">
        <v>6</v>
      </c>
      <c r="F91" s="15" t="n">
        <v>179</v>
      </c>
      <c r="G91" s="15" t="n">
        <v>2</v>
      </c>
      <c r="H91" s="16">
        <f>G91/F91</f>
        <v/>
      </c>
      <c r="I91" s="16">
        <f>G91/E91</f>
        <v/>
      </c>
      <c r="J91" s="17" t="n">
        <v>19</v>
      </c>
      <c r="K91" s="17" t="n">
        <v>34</v>
      </c>
      <c r="L91" s="17" t="n">
        <v>1</v>
      </c>
      <c r="M91" s="16">
        <f>L91/K91</f>
        <v/>
      </c>
      <c r="N91" s="16">
        <f>L91/J91</f>
        <v/>
      </c>
      <c r="O91" s="18" t="n">
        <v>2</v>
      </c>
      <c r="P91" s="18" t="n">
        <v>0</v>
      </c>
      <c r="Q91" s="16">
        <f>P91/O91</f>
        <v/>
      </c>
      <c r="R91" s="1" t="n">
        <v>813</v>
      </c>
      <c r="S91" s="1" t="n">
        <v>3</v>
      </c>
      <c r="T91" s="1" t="n">
        <v>0</v>
      </c>
      <c r="U91" s="1" t="n">
        <v>1</v>
      </c>
      <c r="V91" s="1" t="n">
        <v>0</v>
      </c>
      <c r="W91" s="1" t="n">
        <v>2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1</v>
      </c>
      <c r="AC91" s="1" t="n">
        <v>2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1</v>
      </c>
      <c r="AK91" s="1" t="n">
        <v>0</v>
      </c>
      <c r="AL91" s="1" t="n">
        <v>0</v>
      </c>
      <c r="AM91" s="1" t="n">
        <v>0</v>
      </c>
    </row>
    <row r="92">
      <c r="A92" s="1" t="inlineStr">
        <is>
          <t>intellectual disability</t>
        </is>
      </c>
      <c r="B92" s="1" t="inlineStr">
        <is>
          <t>HP_0001249</t>
        </is>
      </c>
      <c r="C92" s="1" t="inlineStr">
        <is>
          <t>name</t>
        </is>
      </c>
      <c r="D92" s="1" t="n">
        <v>0.05</v>
      </c>
      <c r="E92" s="15" t="n">
        <v>1</v>
      </c>
      <c r="F92" s="15" t="n">
        <v>24</v>
      </c>
      <c r="G92" s="15" t="n">
        <v>0</v>
      </c>
      <c r="H92" s="16">
        <f>G92/F92</f>
        <v/>
      </c>
      <c r="I92" s="16">
        <f>G92/E92</f>
        <v/>
      </c>
      <c r="J92" s="17" t="n">
        <v>4</v>
      </c>
      <c r="K92" s="17" t="n">
        <v>19</v>
      </c>
      <c r="L92" s="17" t="n">
        <v>0</v>
      </c>
      <c r="M92" s="16">
        <f>L92/K92</f>
        <v/>
      </c>
      <c r="N92" s="16">
        <f>L92/J92</f>
        <v/>
      </c>
      <c r="O92" s="18" t="n">
        <v>0</v>
      </c>
      <c r="P92" s="18" t="n">
        <v>0</v>
      </c>
      <c r="Q92" s="16">
        <f>P92/O92</f>
        <v/>
      </c>
      <c r="R92" s="1" t="n">
        <v>91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2</v>
      </c>
      <c r="AM92" s="1" t="n">
        <v>1</v>
      </c>
    </row>
    <row r="93">
      <c r="A93" s="1" t="inlineStr">
        <is>
          <t>interstitial cystitis</t>
        </is>
      </c>
      <c r="B93" s="1" t="inlineStr">
        <is>
          <t>EFO_0008507</t>
        </is>
      </c>
      <c r="C93" s="1" t="inlineStr">
        <is>
          <t>name</t>
        </is>
      </c>
      <c r="D93" s="1" t="n">
        <v>0.05</v>
      </c>
      <c r="E93" s="15" t="n">
        <v>1</v>
      </c>
      <c r="F93" s="15" t="n">
        <v>60</v>
      </c>
      <c r="G93" s="15" t="n">
        <v>0</v>
      </c>
      <c r="H93" s="16">
        <f>G93/F93</f>
        <v/>
      </c>
      <c r="I93" s="16">
        <f>G93/E93</f>
        <v/>
      </c>
      <c r="J93" s="17" t="n">
        <v>5</v>
      </c>
      <c r="K93" s="17" t="n">
        <v>0</v>
      </c>
      <c r="L93" s="17" t="n">
        <v>0</v>
      </c>
      <c r="M93" s="16">
        <f>L93/K93</f>
        <v/>
      </c>
      <c r="N93" s="16">
        <f>L93/J93</f>
        <v/>
      </c>
      <c r="O93" s="18" t="n">
        <v>0</v>
      </c>
      <c r="P93" s="18" t="n">
        <v>0</v>
      </c>
      <c r="Q93" s="16">
        <f>P93/O93</f>
        <v/>
      </c>
      <c r="R93" s="1" t="n">
        <v>281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3</v>
      </c>
      <c r="AJ93" s="1" t="n">
        <v>7</v>
      </c>
      <c r="AK93" s="1" t="n">
        <v>1</v>
      </c>
      <c r="AL93" s="1" t="n">
        <v>0</v>
      </c>
      <c r="AM93" s="1" t="n">
        <v>1</v>
      </c>
    </row>
    <row r="94">
      <c r="A94" s="1" t="inlineStr">
        <is>
          <t>Ischemic stroke</t>
        </is>
      </c>
      <c r="B94" s="1" t="inlineStr">
        <is>
          <t>HP_0002140</t>
        </is>
      </c>
      <c r="C94" s="1" t="inlineStr">
        <is>
          <t>name</t>
        </is>
      </c>
      <c r="D94" s="1" t="n">
        <v>0.05</v>
      </c>
      <c r="E94" s="15" t="n">
        <v>7</v>
      </c>
      <c r="F94" s="15" t="n">
        <v>219</v>
      </c>
      <c r="G94" s="15" t="n">
        <v>4</v>
      </c>
      <c r="H94" s="16">
        <f>G94/F94</f>
        <v/>
      </c>
      <c r="I94" s="16">
        <f>G94/E94</f>
        <v/>
      </c>
      <c r="J94" s="17" t="n">
        <v>13</v>
      </c>
      <c r="K94" s="17" t="n">
        <v>28</v>
      </c>
      <c r="L94" s="17" t="n">
        <v>1</v>
      </c>
      <c r="M94" s="16">
        <f>L94/K94</f>
        <v/>
      </c>
      <c r="N94" s="16">
        <f>L94/J94</f>
        <v/>
      </c>
      <c r="O94" s="18" t="n">
        <v>1</v>
      </c>
      <c r="P94" s="18" t="n">
        <v>0</v>
      </c>
      <c r="Q94" s="16">
        <f>P94/O94</f>
        <v/>
      </c>
      <c r="R94" s="1" t="n">
        <v>651</v>
      </c>
      <c r="S94" s="1" t="n">
        <v>5</v>
      </c>
      <c r="T94" s="1" t="n">
        <v>0</v>
      </c>
      <c r="U94" s="1" t="n">
        <v>6</v>
      </c>
      <c r="V94" s="1" t="n">
        <v>2</v>
      </c>
      <c r="W94" s="1" t="n">
        <v>1</v>
      </c>
      <c r="X94" s="1" t="n">
        <v>0</v>
      </c>
      <c r="Y94" s="1" t="n">
        <v>0</v>
      </c>
      <c r="Z94" s="1" t="n">
        <v>1</v>
      </c>
      <c r="AA94" s="1" t="n">
        <v>0</v>
      </c>
      <c r="AB94" s="1" t="n">
        <v>0</v>
      </c>
      <c r="AC94" s="1" t="n">
        <v>4</v>
      </c>
      <c r="AD94" s="1" t="n">
        <v>0</v>
      </c>
      <c r="AE94" s="1" t="n">
        <v>2</v>
      </c>
      <c r="AF94" s="1" t="n">
        <v>0</v>
      </c>
      <c r="AG94" s="1" t="n">
        <v>0</v>
      </c>
      <c r="AH94" s="1" t="n">
        <v>2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</row>
    <row r="95">
      <c r="A95" s="1" t="inlineStr">
        <is>
          <t>large cell neuroendocrine carcinoma</t>
        </is>
      </c>
      <c r="B95" s="1" t="inlineStr">
        <is>
          <t>EFO_0000563</t>
        </is>
      </c>
      <c r="C95" s="1" t="inlineStr">
        <is>
          <t>name</t>
        </is>
      </c>
      <c r="D95" s="1" t="n">
        <v>0.05</v>
      </c>
      <c r="E95" s="15" t="n">
        <v>1</v>
      </c>
      <c r="F95" s="15" t="n">
        <v>222</v>
      </c>
      <c r="G95" s="15" t="n">
        <v>0</v>
      </c>
      <c r="H95" s="16">
        <f>G95/F95</f>
        <v/>
      </c>
      <c r="I95" s="16">
        <f>G95/E95</f>
        <v/>
      </c>
      <c r="J95" s="17" t="n">
        <v>0</v>
      </c>
      <c r="K95" s="17" t="n">
        <v>0</v>
      </c>
      <c r="L95" s="17" t="n">
        <v>0</v>
      </c>
      <c r="M95" s="16">
        <f>L95/K95</f>
        <v/>
      </c>
      <c r="N95" s="16">
        <f>L95/J95</f>
        <v/>
      </c>
      <c r="O95" s="18" t="n">
        <v>0</v>
      </c>
      <c r="P95" s="18" t="n">
        <v>0</v>
      </c>
      <c r="Q95" s="16">
        <f>P95/O95</f>
        <v/>
      </c>
      <c r="R95" s="1" t="n">
        <v>31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5</v>
      </c>
      <c r="AK95" s="1" t="n">
        <v>0</v>
      </c>
      <c r="AL95" s="1" t="n">
        <v>1</v>
      </c>
      <c r="AM95" s="1" t="n">
        <v>0</v>
      </c>
    </row>
    <row r="96">
      <c r="A96" s="1" t="inlineStr">
        <is>
          <t>leukemia</t>
        </is>
      </c>
      <c r="B96" s="1" t="inlineStr">
        <is>
          <t>EFO_0000565</t>
        </is>
      </c>
      <c r="C96" s="1" t="inlineStr">
        <is>
          <t>name</t>
        </is>
      </c>
      <c r="D96" s="1" t="n">
        <v>0.05</v>
      </c>
      <c r="E96" s="15" t="n">
        <v>42</v>
      </c>
      <c r="F96" s="15" t="n">
        <v>0</v>
      </c>
      <c r="G96" s="15" t="n">
        <v>0</v>
      </c>
      <c r="H96" s="16">
        <f>G96/F96</f>
        <v/>
      </c>
      <c r="I96" s="16">
        <f>G96/E96</f>
        <v/>
      </c>
      <c r="J96" s="17" t="n">
        <v>39</v>
      </c>
      <c r="K96" s="17" t="n">
        <v>0</v>
      </c>
      <c r="L96" s="17" t="n">
        <v>0</v>
      </c>
      <c r="M96" s="16">
        <f>L96/K96</f>
        <v/>
      </c>
      <c r="N96" s="16">
        <f>L96/J96</f>
        <v/>
      </c>
      <c r="O96" s="18" t="n">
        <v>0</v>
      </c>
      <c r="P96" s="18" t="n">
        <v>0</v>
      </c>
      <c r="Q96" s="16">
        <f>P96/O96</f>
        <v/>
      </c>
      <c r="R96" s="1" t="n">
        <v>2283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3</v>
      </c>
      <c r="AK96" s="1" t="n">
        <v>0</v>
      </c>
      <c r="AL96" s="1" t="n">
        <v>0</v>
      </c>
      <c r="AM96" s="1" t="n">
        <v>1</v>
      </c>
    </row>
    <row r="97">
      <c r="A97" s="1" t="inlineStr">
        <is>
          <t>Lewy body dementia</t>
        </is>
      </c>
      <c r="B97" s="1" t="inlineStr">
        <is>
          <t>EFO_0006792</t>
        </is>
      </c>
      <c r="C97" s="1" t="inlineStr">
        <is>
          <t>name</t>
        </is>
      </c>
      <c r="D97" s="1" t="n">
        <v>0.05</v>
      </c>
      <c r="E97" s="15" t="n">
        <v>0</v>
      </c>
      <c r="F97" s="15" t="n">
        <v>204</v>
      </c>
      <c r="G97" s="15" t="n">
        <v>0</v>
      </c>
      <c r="H97" s="16">
        <f>G97/F97</f>
        <v/>
      </c>
      <c r="I97" s="16">
        <f>G97/E97</f>
        <v/>
      </c>
      <c r="J97" s="17" t="n">
        <v>2</v>
      </c>
      <c r="K97" s="17" t="n">
        <v>23</v>
      </c>
      <c r="L97" s="17" t="n">
        <v>0</v>
      </c>
      <c r="M97" s="16">
        <f>L97/K97</f>
        <v/>
      </c>
      <c r="N97" s="16">
        <f>L97/J97</f>
        <v/>
      </c>
      <c r="O97" s="18" t="n">
        <v>0</v>
      </c>
      <c r="P97" s="18" t="n">
        <v>0</v>
      </c>
      <c r="Q97" s="16">
        <f>P97/O97</f>
        <v/>
      </c>
      <c r="R97" s="1" t="n">
        <v>50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1</v>
      </c>
    </row>
    <row r="98">
      <c r="A98" s="1" t="inlineStr">
        <is>
          <t>lung adenocarcinoma</t>
        </is>
      </c>
      <c r="B98" s="1" t="inlineStr">
        <is>
          <t>EFO_0000571</t>
        </is>
      </c>
      <c r="C98" s="1" t="inlineStr">
        <is>
          <t>name</t>
        </is>
      </c>
      <c r="D98" s="1" t="n">
        <v>0.05</v>
      </c>
      <c r="E98" s="15" t="n">
        <v>13</v>
      </c>
      <c r="F98" s="15" t="n">
        <v>146</v>
      </c>
      <c r="G98" s="15" t="n">
        <v>10</v>
      </c>
      <c r="H98" s="16">
        <f>G98/F98</f>
        <v/>
      </c>
      <c r="I98" s="16">
        <f>G98/E98</f>
        <v/>
      </c>
      <c r="J98" s="17" t="n">
        <v>6</v>
      </c>
      <c r="K98" s="17" t="n">
        <v>231</v>
      </c>
      <c r="L98" s="17" t="n">
        <v>2</v>
      </c>
      <c r="M98" s="16">
        <f>L98/K98</f>
        <v/>
      </c>
      <c r="N98" s="16">
        <f>L98/J98</f>
        <v/>
      </c>
      <c r="O98" s="18" t="n">
        <v>3</v>
      </c>
      <c r="P98" s="18" t="n">
        <v>0</v>
      </c>
      <c r="Q98" s="16">
        <f>P98/O98</f>
        <v/>
      </c>
      <c r="R98" s="1" t="n">
        <v>466</v>
      </c>
      <c r="S98" s="1" t="n">
        <v>12</v>
      </c>
      <c r="T98" s="1" t="n">
        <v>1</v>
      </c>
      <c r="U98" s="1" t="n">
        <v>8</v>
      </c>
      <c r="V98" s="1" t="n">
        <v>13</v>
      </c>
      <c r="W98" s="1" t="n">
        <v>6</v>
      </c>
      <c r="X98" s="1" t="n">
        <v>0</v>
      </c>
      <c r="Y98" s="1" t="n">
        <v>1</v>
      </c>
      <c r="Z98" s="1" t="n">
        <v>13</v>
      </c>
      <c r="AA98" s="1" t="n">
        <v>0</v>
      </c>
      <c r="AB98" s="1" t="n">
        <v>0</v>
      </c>
      <c r="AC98" s="1" t="n">
        <v>2</v>
      </c>
      <c r="AD98" s="1" t="n">
        <v>0</v>
      </c>
      <c r="AE98" s="1" t="n">
        <v>9</v>
      </c>
      <c r="AF98" s="1" t="n">
        <v>0</v>
      </c>
      <c r="AG98" s="1" t="n">
        <v>2</v>
      </c>
      <c r="AH98" s="1" t="n">
        <v>1</v>
      </c>
      <c r="AI98" s="1" t="n">
        <v>2</v>
      </c>
      <c r="AJ98" s="1" t="n">
        <v>3</v>
      </c>
      <c r="AK98" s="1" t="n">
        <v>1</v>
      </c>
      <c r="AL98" s="1" t="n">
        <v>6</v>
      </c>
      <c r="AM98" s="1" t="n">
        <v>3</v>
      </c>
    </row>
    <row r="99">
      <c r="A99" s="1" t="inlineStr">
        <is>
          <t>lupus erythematosus</t>
        </is>
      </c>
      <c r="B99" s="1" t="inlineStr">
        <is>
          <t>MONDO_0004670</t>
        </is>
      </c>
      <c r="C99" s="1" t="inlineStr">
        <is>
          <t>name</t>
        </is>
      </c>
      <c r="D99" s="1" t="n">
        <v>0.05</v>
      </c>
      <c r="E99" s="15" t="n">
        <v>1</v>
      </c>
      <c r="F99" s="15" t="n">
        <v>210</v>
      </c>
      <c r="G99" s="15" t="n">
        <v>0</v>
      </c>
      <c r="H99" s="16">
        <f>G99/F99</f>
        <v/>
      </c>
      <c r="I99" s="16">
        <f>G99/E99</f>
        <v/>
      </c>
      <c r="J99" s="17" t="n">
        <v>0</v>
      </c>
      <c r="K99" s="17" t="n">
        <v>41</v>
      </c>
      <c r="L99" s="17" t="n">
        <v>0</v>
      </c>
      <c r="M99" s="16">
        <f>L99/K99</f>
        <v/>
      </c>
      <c r="N99" s="16">
        <f>L99/J99</f>
        <v/>
      </c>
      <c r="O99" s="18" t="n">
        <v>0</v>
      </c>
      <c r="P99" s="18" t="n">
        <v>0</v>
      </c>
      <c r="Q99" s="16">
        <f>P99/O99</f>
        <v/>
      </c>
      <c r="R99" s="1" t="n">
        <v>45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</row>
    <row r="100">
      <c r="A100" s="1" t="inlineStr">
        <is>
          <t>macular degeneration</t>
        </is>
      </c>
      <c r="B100" s="1" t="inlineStr">
        <is>
          <t>EFO_0009606</t>
        </is>
      </c>
      <c r="C100" s="1" t="inlineStr">
        <is>
          <t>name</t>
        </is>
      </c>
      <c r="D100" s="1" t="n">
        <v>0.05</v>
      </c>
      <c r="E100" s="15" t="n">
        <v>4</v>
      </c>
      <c r="F100" s="15" t="n">
        <v>106</v>
      </c>
      <c r="G100" s="15" t="n">
        <v>0</v>
      </c>
      <c r="H100" s="16">
        <f>G100/F100</f>
        <v/>
      </c>
      <c r="I100" s="16">
        <f>G100/E100</f>
        <v/>
      </c>
      <c r="J100" s="17" t="n">
        <v>4</v>
      </c>
      <c r="K100" s="17" t="n">
        <v>131</v>
      </c>
      <c r="L100" s="17" t="n">
        <v>1</v>
      </c>
      <c r="M100" s="16">
        <f>L100/K100</f>
        <v/>
      </c>
      <c r="N100" s="16">
        <f>L100/J100</f>
        <v/>
      </c>
      <c r="O100" s="18" t="n">
        <v>2</v>
      </c>
      <c r="P100" s="18" t="n">
        <v>0</v>
      </c>
      <c r="Q100" s="16">
        <f>P100/O100</f>
        <v/>
      </c>
      <c r="R100" s="1" t="n">
        <v>336</v>
      </c>
      <c r="S100" s="1" t="n">
        <v>1</v>
      </c>
      <c r="T100" s="1" t="n">
        <v>0</v>
      </c>
      <c r="U100" s="1" t="n">
        <v>0</v>
      </c>
      <c r="V100" s="1" t="n">
        <v>0</v>
      </c>
      <c r="W100" s="1" t="n">
        <v>1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1</v>
      </c>
      <c r="AH100" s="1" t="n">
        <v>0</v>
      </c>
      <c r="AI100" s="1" t="n">
        <v>0</v>
      </c>
      <c r="AJ100" s="1" t="n">
        <v>0</v>
      </c>
      <c r="AK100" s="1" t="n">
        <v>1</v>
      </c>
      <c r="AL100" s="1" t="n">
        <v>2</v>
      </c>
      <c r="AM100" s="1" t="n">
        <v>1</v>
      </c>
    </row>
    <row r="101">
      <c r="A101" s="1" t="inlineStr">
        <is>
          <t>malignant pleural mesothelioma</t>
        </is>
      </c>
      <c r="B101" s="1" t="inlineStr">
        <is>
          <t>EFO_0000770</t>
        </is>
      </c>
      <c r="C101" s="1" t="inlineStr">
        <is>
          <t>name</t>
        </is>
      </c>
      <c r="D101" s="1" t="n">
        <v>0.05</v>
      </c>
      <c r="E101" s="15" t="n">
        <v>4</v>
      </c>
      <c r="F101" s="15" t="n">
        <v>202</v>
      </c>
      <c r="G101" s="15" t="n">
        <v>3</v>
      </c>
      <c r="H101" s="16">
        <f>G101/F101</f>
        <v/>
      </c>
      <c r="I101" s="16">
        <f>G101/E101</f>
        <v/>
      </c>
      <c r="J101" s="17" t="n">
        <v>3</v>
      </c>
      <c r="K101" s="17" t="n">
        <v>12</v>
      </c>
      <c r="L101" s="17" t="n">
        <v>0</v>
      </c>
      <c r="M101" s="16">
        <f>L101/K101</f>
        <v/>
      </c>
      <c r="N101" s="16">
        <f>L101/J101</f>
        <v/>
      </c>
      <c r="O101" s="18" t="n">
        <v>0</v>
      </c>
      <c r="P101" s="18" t="n">
        <v>0</v>
      </c>
      <c r="Q101" s="16">
        <f>P101/O101</f>
        <v/>
      </c>
      <c r="R101" s="1" t="n">
        <v>246</v>
      </c>
      <c r="S101" s="1" t="n">
        <v>3</v>
      </c>
      <c r="T101" s="1" t="n">
        <v>0</v>
      </c>
      <c r="U101" s="1" t="n">
        <v>5</v>
      </c>
      <c r="V101" s="1" t="n">
        <v>10</v>
      </c>
      <c r="W101" s="1" t="n">
        <v>3</v>
      </c>
      <c r="X101" s="1" t="n">
        <v>1</v>
      </c>
      <c r="Y101" s="1" t="n">
        <v>5</v>
      </c>
      <c r="Z101" s="1" t="n">
        <v>6</v>
      </c>
      <c r="AA101" s="1" t="n">
        <v>0</v>
      </c>
      <c r="AB101" s="1" t="n">
        <v>1</v>
      </c>
      <c r="AC101" s="1" t="n">
        <v>3</v>
      </c>
      <c r="AD101" s="1" t="n">
        <v>0</v>
      </c>
      <c r="AE101" s="1" t="n">
        <v>0</v>
      </c>
      <c r="AF101" s="1" t="n">
        <v>1</v>
      </c>
      <c r="AG101" s="1" t="n">
        <v>2</v>
      </c>
      <c r="AH101" s="1" t="n">
        <v>1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</row>
    <row r="102">
      <c r="A102" s="1" t="inlineStr">
        <is>
          <t>Marfan syndrome</t>
        </is>
      </c>
      <c r="B102" s="1" t="inlineStr">
        <is>
          <t>MONDO_0007947</t>
        </is>
      </c>
      <c r="C102" s="1" t="inlineStr">
        <is>
          <t>name</t>
        </is>
      </c>
      <c r="D102" s="1" t="n">
        <v>0.05</v>
      </c>
      <c r="E102" s="15" t="n">
        <v>2</v>
      </c>
      <c r="F102" s="15" t="n">
        <v>66</v>
      </c>
      <c r="G102" s="15" t="n">
        <v>1</v>
      </c>
      <c r="H102" s="16">
        <f>G102/F102</f>
        <v/>
      </c>
      <c r="I102" s="16">
        <f>G102/E102</f>
        <v/>
      </c>
      <c r="J102" s="17" t="n">
        <v>3</v>
      </c>
      <c r="K102" s="17" t="n">
        <v>0</v>
      </c>
      <c r="L102" s="17" t="n">
        <v>0</v>
      </c>
      <c r="M102" s="16">
        <f>L102/K102</f>
        <v/>
      </c>
      <c r="N102" s="16">
        <f>L102/J102</f>
        <v/>
      </c>
      <c r="O102" s="18" t="n">
        <v>0</v>
      </c>
      <c r="P102" s="18" t="n">
        <v>0</v>
      </c>
      <c r="Q102" s="16">
        <f>P102/O102</f>
        <v/>
      </c>
      <c r="R102" s="1" t="n">
        <v>109</v>
      </c>
      <c r="S102" s="1" t="n">
        <v>1</v>
      </c>
      <c r="T102" s="1" t="n">
        <v>0</v>
      </c>
      <c r="U102" s="1" t="n">
        <v>0</v>
      </c>
      <c r="V102" s="1" t="n">
        <v>1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1</v>
      </c>
      <c r="AH102" s="1" t="n">
        <v>0</v>
      </c>
      <c r="AI102" s="1" t="n">
        <v>0</v>
      </c>
      <c r="AJ102" s="1" t="n">
        <v>5</v>
      </c>
      <c r="AK102" s="1" t="n">
        <v>0</v>
      </c>
      <c r="AL102" s="1" t="n">
        <v>3</v>
      </c>
      <c r="AM102" s="1" t="n">
        <v>3</v>
      </c>
    </row>
    <row r="103">
      <c r="A103" s="1" t="inlineStr">
        <is>
          <t>melanoma</t>
        </is>
      </c>
      <c r="B103" s="1" t="inlineStr">
        <is>
          <t>EFO_0000756</t>
        </is>
      </c>
      <c r="C103" s="1" t="inlineStr">
        <is>
          <t>name</t>
        </is>
      </c>
      <c r="D103" s="1" t="n">
        <v>0.05</v>
      </c>
      <c r="E103" s="15" t="n">
        <v>39</v>
      </c>
      <c r="F103" s="15" t="n">
        <v>31</v>
      </c>
      <c r="G103" s="15" t="n">
        <v>3</v>
      </c>
      <c r="H103" s="16">
        <f>G103/F103</f>
        <v/>
      </c>
      <c r="I103" s="16">
        <f>G103/E103</f>
        <v/>
      </c>
      <c r="J103" s="17" t="n">
        <v>39</v>
      </c>
      <c r="K103" s="17" t="n">
        <v>874</v>
      </c>
      <c r="L103" s="17" t="n">
        <v>24</v>
      </c>
      <c r="M103" s="16">
        <f>L103/K103</f>
        <v/>
      </c>
      <c r="N103" s="16">
        <f>L103/J103</f>
        <v/>
      </c>
      <c r="O103" s="18" t="n">
        <v>1</v>
      </c>
      <c r="P103" s="18" t="n">
        <v>0</v>
      </c>
      <c r="Q103" s="16">
        <f>P103/O103</f>
        <v/>
      </c>
      <c r="R103" s="1" t="n">
        <v>2142</v>
      </c>
      <c r="S103" s="1" t="n">
        <v>27</v>
      </c>
      <c r="T103" s="1" t="n">
        <v>2</v>
      </c>
      <c r="U103" s="1" t="n">
        <v>25</v>
      </c>
      <c r="V103" s="1" t="n">
        <v>32</v>
      </c>
      <c r="W103" s="1" t="n">
        <v>5</v>
      </c>
      <c r="X103" s="1" t="n">
        <v>1</v>
      </c>
      <c r="Y103" s="1" t="n">
        <v>7</v>
      </c>
      <c r="Z103" s="1" t="n">
        <v>19</v>
      </c>
      <c r="AA103" s="1" t="n">
        <v>0</v>
      </c>
      <c r="AB103" s="1" t="n">
        <v>0</v>
      </c>
      <c r="AC103" s="1" t="n">
        <v>12</v>
      </c>
      <c r="AD103" s="1" t="n">
        <v>0</v>
      </c>
      <c r="AE103" s="1" t="n">
        <v>15</v>
      </c>
      <c r="AF103" s="1" t="n">
        <v>1</v>
      </c>
      <c r="AG103" s="1" t="n">
        <v>4</v>
      </c>
      <c r="AH103" s="1" t="n">
        <v>7</v>
      </c>
      <c r="AI103" s="1" t="n">
        <v>0</v>
      </c>
      <c r="AJ103" s="1" t="n">
        <v>3</v>
      </c>
      <c r="AK103" s="1" t="n">
        <v>7</v>
      </c>
      <c r="AL103" s="1" t="n">
        <v>5</v>
      </c>
      <c r="AM103" s="1" t="n">
        <v>3</v>
      </c>
    </row>
    <row r="104">
      <c r="A104" s="1" t="inlineStr">
        <is>
          <t>MELAS syndrome</t>
        </is>
      </c>
      <c r="B104" s="1" t="inlineStr">
        <is>
          <t>MONDO_0010789</t>
        </is>
      </c>
      <c r="C104" s="1" t="inlineStr">
        <is>
          <t>name</t>
        </is>
      </c>
      <c r="D104" s="1" t="n">
        <v>0.05</v>
      </c>
      <c r="E104" s="15" t="n">
        <v>0</v>
      </c>
      <c r="F104" s="15" t="n">
        <v>172</v>
      </c>
      <c r="G104" s="15" t="n">
        <v>0</v>
      </c>
      <c r="H104" s="16">
        <f>G104/F104</f>
        <v/>
      </c>
      <c r="I104" s="16">
        <f>G104/E104</f>
        <v/>
      </c>
      <c r="J104" s="17" t="n">
        <v>0</v>
      </c>
      <c r="K104" s="17" t="n">
        <v>89</v>
      </c>
      <c r="L104" s="17" t="n">
        <v>0</v>
      </c>
      <c r="M104" s="16">
        <f>L104/K104</f>
        <v/>
      </c>
      <c r="N104" s="16">
        <f>L104/J104</f>
        <v/>
      </c>
      <c r="O104" s="18" t="n">
        <v>2</v>
      </c>
      <c r="P104" s="18" t="n">
        <v>0</v>
      </c>
      <c r="Q104" s="16">
        <f>P104/O104</f>
        <v/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</row>
    <row r="105">
      <c r="A105" s="1" t="inlineStr">
        <is>
          <t>Meningococcal infection</t>
        </is>
      </c>
      <c r="B105" s="1" t="inlineStr">
        <is>
          <t>EFO_0004249</t>
        </is>
      </c>
      <c r="C105" s="1" t="inlineStr">
        <is>
          <t>name</t>
        </is>
      </c>
      <c r="D105" s="1" t="n">
        <v>0.05</v>
      </c>
      <c r="E105" s="15" t="n">
        <v>0</v>
      </c>
      <c r="F105" s="15" t="n">
        <v>75</v>
      </c>
      <c r="G105" s="15" t="n">
        <v>0</v>
      </c>
      <c r="H105" s="16">
        <f>G105/F105</f>
        <v/>
      </c>
      <c r="I105" s="16">
        <f>G105/E105</f>
        <v/>
      </c>
      <c r="J105" s="17" t="n">
        <v>0</v>
      </c>
      <c r="K105" s="17" t="n">
        <v>920</v>
      </c>
      <c r="L105" s="17" t="n">
        <v>0</v>
      </c>
      <c r="M105" s="16">
        <f>L105/K105</f>
        <v/>
      </c>
      <c r="N105" s="16">
        <f>L105/J105</f>
        <v/>
      </c>
      <c r="O105" s="18" t="n">
        <v>5</v>
      </c>
      <c r="P105" s="18" t="n">
        <v>0</v>
      </c>
      <c r="Q105" s="16">
        <f>P105/O105</f>
        <v/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</row>
    <row r="106">
      <c r="A106" s="1" t="inlineStr">
        <is>
          <t>morbid obesity</t>
        </is>
      </c>
      <c r="B106" s="1" t="inlineStr">
        <is>
          <t>EFO_0001074</t>
        </is>
      </c>
      <c r="C106" s="1" t="inlineStr">
        <is>
          <t>name</t>
        </is>
      </c>
      <c r="D106" s="1" t="n">
        <v>0.05</v>
      </c>
      <c r="E106" s="15" t="n">
        <v>1</v>
      </c>
      <c r="F106" s="15" t="n">
        <v>19</v>
      </c>
      <c r="G106" s="15" t="n">
        <v>0</v>
      </c>
      <c r="H106" s="16">
        <f>G106/F106</f>
        <v/>
      </c>
      <c r="I106" s="16">
        <f>G106/E106</f>
        <v/>
      </c>
      <c r="J106" s="17" t="n">
        <v>4</v>
      </c>
      <c r="K106" s="17" t="n">
        <v>3</v>
      </c>
      <c r="L106" s="17" t="n">
        <v>0</v>
      </c>
      <c r="M106" s="16">
        <f>L106/K106</f>
        <v/>
      </c>
      <c r="N106" s="16">
        <f>L106/J106</f>
        <v/>
      </c>
      <c r="O106" s="18" t="n">
        <v>0</v>
      </c>
      <c r="P106" s="18" t="n">
        <v>0</v>
      </c>
      <c r="Q106" s="16">
        <f>P106/O106</f>
        <v/>
      </c>
      <c r="R106" s="1" t="n">
        <v>262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1</v>
      </c>
      <c r="AL106" s="1" t="n">
        <v>0</v>
      </c>
      <c r="AM106" s="1" t="n">
        <v>0</v>
      </c>
    </row>
    <row r="107">
      <c r="A107" s="1" t="inlineStr">
        <is>
          <t>muscular dystrophy</t>
        </is>
      </c>
      <c r="B107" s="1" t="inlineStr">
        <is>
          <t>MONDO_0020121</t>
        </is>
      </c>
      <c r="C107" s="1" t="inlineStr">
        <is>
          <t>name</t>
        </is>
      </c>
      <c r="D107" s="1" t="n">
        <v>0.05</v>
      </c>
      <c r="E107" s="15" t="n">
        <v>1</v>
      </c>
      <c r="F107" s="15" t="n">
        <v>61</v>
      </c>
      <c r="G107" s="15" t="n">
        <v>0</v>
      </c>
      <c r="H107" s="16">
        <f>G107/F107</f>
        <v/>
      </c>
      <c r="I107" s="16">
        <f>G107/E107</f>
        <v/>
      </c>
      <c r="J107" s="17" t="n">
        <v>1</v>
      </c>
      <c r="K107" s="17" t="n">
        <v>1</v>
      </c>
      <c r="L107" s="17" t="n">
        <v>0</v>
      </c>
      <c r="M107" s="16">
        <f>L107/K107</f>
        <v/>
      </c>
      <c r="N107" s="16">
        <f>L107/J107</f>
        <v/>
      </c>
      <c r="O107" s="18" t="n">
        <v>0</v>
      </c>
      <c r="P107" s="18" t="n">
        <v>0</v>
      </c>
      <c r="Q107" s="16">
        <f>P107/O107</f>
        <v/>
      </c>
      <c r="R107" s="1" t="n">
        <v>45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2</v>
      </c>
      <c r="AK107" s="1" t="n">
        <v>0</v>
      </c>
      <c r="AL107" s="1" t="n">
        <v>0</v>
      </c>
      <c r="AM107" s="1" t="n">
        <v>0</v>
      </c>
    </row>
    <row r="108">
      <c r="A108" s="1" t="inlineStr">
        <is>
          <t>myelodysplastic syndrome</t>
        </is>
      </c>
      <c r="B108" s="1" t="inlineStr">
        <is>
          <t>EFO_0000198</t>
        </is>
      </c>
      <c r="C108" s="1" t="inlineStr">
        <is>
          <t>name</t>
        </is>
      </c>
      <c r="D108" s="1" t="n">
        <v>0.05</v>
      </c>
      <c r="E108" s="15" t="n">
        <v>40</v>
      </c>
      <c r="F108" s="15" t="n">
        <v>221</v>
      </c>
      <c r="G108" s="15" t="n">
        <v>27</v>
      </c>
      <c r="H108" s="16">
        <f>G108/F108</f>
        <v/>
      </c>
      <c r="I108" s="16">
        <f>G108/E108</f>
        <v/>
      </c>
      <c r="J108" s="17" t="n">
        <v>30</v>
      </c>
      <c r="K108" s="17" t="n">
        <v>672</v>
      </c>
      <c r="L108" s="17" t="n">
        <v>15</v>
      </c>
      <c r="M108" s="16">
        <f>L108/K108</f>
        <v/>
      </c>
      <c r="N108" s="16">
        <f>L108/J108</f>
        <v/>
      </c>
      <c r="O108" s="18" t="n">
        <v>18</v>
      </c>
      <c r="P108" s="18" t="n">
        <v>0</v>
      </c>
      <c r="Q108" s="16">
        <f>P108/O108</f>
        <v/>
      </c>
      <c r="R108" s="1" t="n">
        <v>1767</v>
      </c>
      <c r="S108" s="1" t="n">
        <v>42</v>
      </c>
      <c r="T108" s="1" t="n">
        <v>0</v>
      </c>
      <c r="U108" s="1" t="n">
        <v>47</v>
      </c>
      <c r="V108" s="1" t="n">
        <v>48</v>
      </c>
      <c r="W108" s="1" t="n">
        <v>14</v>
      </c>
      <c r="X108" s="1" t="n">
        <v>0</v>
      </c>
      <c r="Y108" s="1" t="n">
        <v>5</v>
      </c>
      <c r="Z108" s="1" t="n">
        <v>48</v>
      </c>
      <c r="AA108" s="1" t="n">
        <v>0</v>
      </c>
      <c r="AB108" s="1" t="n">
        <v>2</v>
      </c>
      <c r="AC108" s="1" t="n">
        <v>13</v>
      </c>
      <c r="AD108" s="1" t="n">
        <v>0</v>
      </c>
      <c r="AE108" s="1" t="n">
        <v>20</v>
      </c>
      <c r="AF108" s="1" t="n">
        <v>0</v>
      </c>
      <c r="AG108" s="1" t="n">
        <v>14</v>
      </c>
      <c r="AH108" s="1" t="n">
        <v>7</v>
      </c>
      <c r="AI108" s="1" t="n">
        <v>0</v>
      </c>
      <c r="AJ108" s="1" t="n">
        <v>0</v>
      </c>
      <c r="AK108" s="1" t="n">
        <v>0</v>
      </c>
      <c r="AL108" s="1" t="n">
        <v>1</v>
      </c>
      <c r="AM108" s="1" t="n">
        <v>0</v>
      </c>
    </row>
    <row r="109">
      <c r="A109" s="1" t="inlineStr">
        <is>
          <t>myocardial infarction</t>
        </is>
      </c>
      <c r="B109" s="1" t="inlineStr">
        <is>
          <t>EFO_0000612</t>
        </is>
      </c>
      <c r="C109" s="1" t="inlineStr">
        <is>
          <t>name</t>
        </is>
      </c>
      <c r="D109" s="1" t="n">
        <v>0.05</v>
      </c>
      <c r="E109" s="15" t="n">
        <v>13</v>
      </c>
      <c r="F109" s="15" t="n">
        <v>319</v>
      </c>
      <c r="G109" s="15" t="n">
        <v>11</v>
      </c>
      <c r="H109" s="16">
        <f>G109/F109</f>
        <v/>
      </c>
      <c r="I109" s="16">
        <f>G109/E109</f>
        <v/>
      </c>
      <c r="J109" s="17" t="n">
        <v>30</v>
      </c>
      <c r="K109" s="17" t="n">
        <v>122</v>
      </c>
      <c r="L109" s="17" t="n">
        <v>2</v>
      </c>
      <c r="M109" s="16">
        <f>L109/K109</f>
        <v/>
      </c>
      <c r="N109" s="16">
        <f>L109/J109</f>
        <v/>
      </c>
      <c r="O109" s="18" t="n">
        <v>5</v>
      </c>
      <c r="P109" s="18" t="n">
        <v>0</v>
      </c>
      <c r="Q109" s="16">
        <f>P109/O109</f>
        <v/>
      </c>
      <c r="R109" s="1" t="n">
        <v>1312</v>
      </c>
      <c r="S109" s="1" t="n">
        <v>13</v>
      </c>
      <c r="T109" s="1" t="n">
        <v>0</v>
      </c>
      <c r="U109" s="1" t="n">
        <v>0</v>
      </c>
      <c r="V109" s="1" t="n">
        <v>6</v>
      </c>
      <c r="W109" s="1" t="n">
        <v>6</v>
      </c>
      <c r="X109" s="1" t="n">
        <v>8</v>
      </c>
      <c r="Y109" s="1" t="n">
        <v>0</v>
      </c>
      <c r="Z109" s="1" t="n">
        <v>8</v>
      </c>
      <c r="AA109" s="1" t="n">
        <v>0</v>
      </c>
      <c r="AB109" s="1" t="n">
        <v>1</v>
      </c>
      <c r="AC109" s="1" t="n">
        <v>1</v>
      </c>
      <c r="AD109" s="1" t="n">
        <v>0</v>
      </c>
      <c r="AE109" s="1" t="n">
        <v>2</v>
      </c>
      <c r="AF109" s="1" t="n">
        <v>5</v>
      </c>
      <c r="AG109" s="1" t="n">
        <v>3</v>
      </c>
      <c r="AH109" s="1" t="n">
        <v>0</v>
      </c>
      <c r="AI109" s="1" t="n">
        <v>0</v>
      </c>
      <c r="AJ109" s="1" t="n">
        <v>3</v>
      </c>
      <c r="AK109" s="1" t="n">
        <v>0</v>
      </c>
      <c r="AL109" s="1" t="n">
        <v>0</v>
      </c>
      <c r="AM109" s="1" t="n">
        <v>2</v>
      </c>
    </row>
    <row r="110">
      <c r="A110" s="1" t="inlineStr">
        <is>
          <t>myotonic dystrophy type 1</t>
        </is>
      </c>
      <c r="B110" s="1" t="inlineStr">
        <is>
          <t>MONDO_0008056</t>
        </is>
      </c>
      <c r="C110" s="1" t="inlineStr">
        <is>
          <t>name</t>
        </is>
      </c>
      <c r="D110" s="1" t="n">
        <v>0.05</v>
      </c>
      <c r="E110" s="15" t="n">
        <v>0</v>
      </c>
      <c r="F110" s="15" t="n">
        <v>182</v>
      </c>
      <c r="G110" s="15" t="n">
        <v>0</v>
      </c>
      <c r="H110" s="16">
        <f>G110/F110</f>
        <v/>
      </c>
      <c r="I110" s="16">
        <f>G110/E110</f>
        <v/>
      </c>
      <c r="J110" s="17" t="n">
        <v>1</v>
      </c>
      <c r="K110" s="17" t="n">
        <v>490</v>
      </c>
      <c r="L110" s="17" t="n">
        <v>0</v>
      </c>
      <c r="M110" s="16">
        <f>L110/K110</f>
        <v/>
      </c>
      <c r="N110" s="16">
        <f>L110/J110</f>
        <v/>
      </c>
      <c r="O110" s="18" t="n">
        <v>8</v>
      </c>
      <c r="P110" s="18" t="n">
        <v>0</v>
      </c>
      <c r="Q110" s="16">
        <f>P110/O110</f>
        <v/>
      </c>
      <c r="R110" s="1" t="n">
        <v>4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15</v>
      </c>
      <c r="AK110" s="1" t="n">
        <v>0</v>
      </c>
      <c r="AL110" s="1" t="n">
        <v>17</v>
      </c>
      <c r="AM110" s="1" t="n">
        <v>6</v>
      </c>
    </row>
    <row r="111">
      <c r="A111" s="1" t="inlineStr">
        <is>
          <t>nephroblastoma</t>
        </is>
      </c>
      <c r="B111" s="1" t="inlineStr">
        <is>
          <t>Orphanet_654</t>
        </is>
      </c>
      <c r="C111" s="1" t="inlineStr">
        <is>
          <t>name</t>
        </is>
      </c>
      <c r="D111" s="1" t="n">
        <v>0.05</v>
      </c>
      <c r="E111" s="15" t="n">
        <v>0</v>
      </c>
      <c r="F111" s="15" t="n">
        <v>214</v>
      </c>
      <c r="G111" s="15" t="n">
        <v>0</v>
      </c>
      <c r="H111" s="16">
        <f>G111/F111</f>
        <v/>
      </c>
      <c r="I111" s="16">
        <f>G111/E111</f>
        <v/>
      </c>
      <c r="J111" s="17" t="n">
        <v>0</v>
      </c>
      <c r="K111" s="17" t="n">
        <v>96</v>
      </c>
      <c r="L111" s="17" t="n">
        <v>0</v>
      </c>
      <c r="M111" s="16">
        <f>L111/K111</f>
        <v/>
      </c>
      <c r="N111" s="16">
        <f>L111/J111</f>
        <v/>
      </c>
      <c r="O111" s="18" t="n">
        <v>1</v>
      </c>
      <c r="P111" s="18" t="n">
        <v>0</v>
      </c>
      <c r="Q111" s="16">
        <f>P111/O111</f>
        <v/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</row>
    <row r="112">
      <c r="A112" s="1" t="inlineStr">
        <is>
          <t>nephrosclerosis</t>
        </is>
      </c>
      <c r="B112" s="1" t="inlineStr">
        <is>
          <t>EFO_1000041</t>
        </is>
      </c>
      <c r="C112" s="1" t="inlineStr">
        <is>
          <t>name</t>
        </is>
      </c>
      <c r="D112" s="1" t="n">
        <v>0.05</v>
      </c>
      <c r="E112" s="15" t="n">
        <v>0</v>
      </c>
      <c r="F112" s="15" t="n">
        <v>231</v>
      </c>
      <c r="G112" s="15" t="n">
        <v>0</v>
      </c>
      <c r="H112" s="16">
        <f>G112/F112</f>
        <v/>
      </c>
      <c r="I112" s="16">
        <f>G112/E112</f>
        <v/>
      </c>
      <c r="J112" s="17" t="n">
        <v>0</v>
      </c>
      <c r="K112" s="17" t="n">
        <v>530</v>
      </c>
      <c r="L112" s="17" t="n">
        <v>0</v>
      </c>
      <c r="M112" s="16">
        <f>L112/K112</f>
        <v/>
      </c>
      <c r="N112" s="16">
        <f>L112/J112</f>
        <v/>
      </c>
      <c r="O112" s="18" t="n">
        <v>11</v>
      </c>
      <c r="P112" s="18" t="n">
        <v>0</v>
      </c>
      <c r="Q112" s="16">
        <f>P112/O112</f>
        <v/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1</v>
      </c>
      <c r="AK112" s="1" t="n">
        <v>0</v>
      </c>
      <c r="AL112" s="1" t="n">
        <v>0</v>
      </c>
      <c r="AM112" s="1" t="n">
        <v>0</v>
      </c>
    </row>
    <row r="113">
      <c r="A113" s="1" t="inlineStr">
        <is>
          <t>nicotine dependence</t>
        </is>
      </c>
      <c r="B113" s="1" t="inlineStr">
        <is>
          <t>EFO_0003768</t>
        </is>
      </c>
      <c r="C113" s="1" t="inlineStr">
        <is>
          <t>name</t>
        </is>
      </c>
      <c r="D113" s="1" t="n">
        <v>0.05</v>
      </c>
      <c r="E113" s="15" t="n">
        <v>9</v>
      </c>
      <c r="F113" s="15" t="n">
        <v>24</v>
      </c>
      <c r="G113" s="15" t="n">
        <v>0</v>
      </c>
      <c r="H113" s="16">
        <f>G113/F113</f>
        <v/>
      </c>
      <c r="I113" s="16">
        <f>G113/E113</f>
        <v/>
      </c>
      <c r="J113" s="17" t="n">
        <v>27</v>
      </c>
      <c r="K113" s="17" t="n">
        <v>886</v>
      </c>
      <c r="L113" s="17" t="n">
        <v>20</v>
      </c>
      <c r="M113" s="16">
        <f>L113/K113</f>
        <v/>
      </c>
      <c r="N113" s="16">
        <f>L113/J113</f>
        <v/>
      </c>
      <c r="O113" s="18" t="n">
        <v>2</v>
      </c>
      <c r="P113" s="18" t="n">
        <v>0</v>
      </c>
      <c r="Q113" s="16">
        <f>P113/O113</f>
        <v/>
      </c>
      <c r="R113" s="1" t="n">
        <v>785</v>
      </c>
      <c r="S113" s="1" t="n">
        <v>20</v>
      </c>
      <c r="T113" s="1" t="n">
        <v>4</v>
      </c>
      <c r="U113" s="1" t="n">
        <v>8</v>
      </c>
      <c r="V113" s="1" t="n">
        <v>14</v>
      </c>
      <c r="W113" s="1" t="n">
        <v>5</v>
      </c>
      <c r="X113" s="1" t="n">
        <v>0</v>
      </c>
      <c r="Y113" s="1" t="n">
        <v>0</v>
      </c>
      <c r="Z113" s="1" t="n">
        <v>23</v>
      </c>
      <c r="AA113" s="1" t="n">
        <v>0</v>
      </c>
      <c r="AB113" s="1" t="n">
        <v>0</v>
      </c>
      <c r="AC113" s="1" t="n">
        <v>1</v>
      </c>
      <c r="AD113" s="1" t="n">
        <v>0</v>
      </c>
      <c r="AE113" s="1" t="n">
        <v>4</v>
      </c>
      <c r="AF113" s="1" t="n">
        <v>1</v>
      </c>
      <c r="AG113" s="1" t="n">
        <v>2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</row>
    <row r="114">
      <c r="A114" s="1" t="inlineStr">
        <is>
          <t>oligodendroglioma</t>
        </is>
      </c>
      <c r="B114" s="1" t="inlineStr">
        <is>
          <t>EFO_0000632</t>
        </is>
      </c>
      <c r="C114" s="1" t="inlineStr">
        <is>
          <t>name</t>
        </is>
      </c>
      <c r="D114" s="1" t="n">
        <v>0.05</v>
      </c>
      <c r="E114" s="15" t="n">
        <v>4</v>
      </c>
      <c r="F114" s="15" t="n">
        <v>191</v>
      </c>
      <c r="G114" s="15" t="n">
        <v>2</v>
      </c>
      <c r="H114" s="16">
        <f>G114/F114</f>
        <v/>
      </c>
      <c r="I114" s="16">
        <f>G114/E114</f>
        <v/>
      </c>
      <c r="J114" s="17" t="n">
        <v>2</v>
      </c>
      <c r="K114" s="17" t="n">
        <v>122</v>
      </c>
      <c r="L114" s="17" t="n">
        <v>0</v>
      </c>
      <c r="M114" s="16">
        <f>L114/K114</f>
        <v/>
      </c>
      <c r="N114" s="16">
        <f>L114/J114</f>
        <v/>
      </c>
      <c r="O114" s="18" t="n">
        <v>1</v>
      </c>
      <c r="P114" s="18" t="n">
        <v>0</v>
      </c>
      <c r="Q114" s="16">
        <f>P114/O114</f>
        <v/>
      </c>
      <c r="R114" s="1" t="n">
        <v>135</v>
      </c>
      <c r="S114" s="1" t="n">
        <v>2</v>
      </c>
      <c r="T114" s="1" t="n">
        <v>0</v>
      </c>
      <c r="U114" s="1" t="n">
        <v>0</v>
      </c>
      <c r="V114" s="1" t="n">
        <v>2</v>
      </c>
      <c r="W114" s="1" t="n">
        <v>0</v>
      </c>
      <c r="X114" s="1" t="n">
        <v>0</v>
      </c>
      <c r="Y114" s="1" t="n">
        <v>1</v>
      </c>
      <c r="Z114" s="1" t="n">
        <v>1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</row>
    <row r="115">
      <c r="A115" s="1" t="inlineStr">
        <is>
          <t>Osteolysis</t>
        </is>
      </c>
      <c r="B115" s="1" t="inlineStr">
        <is>
          <t>HP_0002797</t>
        </is>
      </c>
      <c r="C115" s="1" t="inlineStr">
        <is>
          <t>name</t>
        </is>
      </c>
      <c r="D115" s="1" t="n">
        <v>0.05</v>
      </c>
      <c r="E115" s="15" t="n">
        <v>0</v>
      </c>
      <c r="F115" s="15" t="n">
        <v>278</v>
      </c>
      <c r="G115" s="15" t="n">
        <v>0</v>
      </c>
      <c r="H115" s="16">
        <f>G115/F115</f>
        <v/>
      </c>
      <c r="I115" s="16">
        <f>G115/E115</f>
        <v/>
      </c>
      <c r="J115" s="17" t="n">
        <v>0</v>
      </c>
      <c r="K115" s="17" t="n">
        <v>302</v>
      </c>
      <c r="L115" s="17" t="n">
        <v>0</v>
      </c>
      <c r="M115" s="16">
        <f>L115/K115</f>
        <v/>
      </c>
      <c r="N115" s="16">
        <f>L115/J115</f>
        <v/>
      </c>
      <c r="O115" s="18" t="n">
        <v>14</v>
      </c>
      <c r="P115" s="18" t="n">
        <v>0</v>
      </c>
      <c r="Q115" s="16">
        <f>P115/O115</f>
        <v/>
      </c>
      <c r="R115" s="1" t="n">
        <v>11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</row>
    <row r="116">
      <c r="A116" s="1" t="inlineStr">
        <is>
          <t>osteoporosis</t>
        </is>
      </c>
      <c r="B116" s="1" t="inlineStr">
        <is>
          <t>EFO_0003882</t>
        </is>
      </c>
      <c r="C116" s="1" t="inlineStr">
        <is>
          <t>name</t>
        </is>
      </c>
      <c r="D116" s="1" t="n">
        <v>0.05</v>
      </c>
      <c r="E116" s="15" t="n">
        <v>2</v>
      </c>
      <c r="F116" s="15" t="n">
        <v>147</v>
      </c>
      <c r="G116" s="15" t="n">
        <v>1</v>
      </c>
      <c r="H116" s="16">
        <f>G116/F116</f>
        <v/>
      </c>
      <c r="I116" s="16">
        <f>G116/E116</f>
        <v/>
      </c>
      <c r="J116" s="17" t="n">
        <v>10</v>
      </c>
      <c r="K116" s="17" t="n">
        <v>297</v>
      </c>
      <c r="L116" s="17" t="n">
        <v>4</v>
      </c>
      <c r="M116" s="16">
        <f>L116/K116</f>
        <v/>
      </c>
      <c r="N116" s="16">
        <f>L116/J116</f>
        <v/>
      </c>
      <c r="O116" s="18" t="n">
        <v>5</v>
      </c>
      <c r="P116" s="18" t="n">
        <v>0</v>
      </c>
      <c r="Q116" s="16">
        <f>P116/O116</f>
        <v/>
      </c>
      <c r="R116" s="1" t="n">
        <v>668</v>
      </c>
      <c r="S116" s="1" t="n">
        <v>5</v>
      </c>
      <c r="T116" s="1" t="n">
        <v>1</v>
      </c>
      <c r="U116" s="1" t="n">
        <v>3</v>
      </c>
      <c r="V116" s="1" t="n">
        <v>1</v>
      </c>
      <c r="W116" s="1" t="n">
        <v>4</v>
      </c>
      <c r="X116" s="1" t="n">
        <v>1</v>
      </c>
      <c r="Y116" s="1" t="n">
        <v>0</v>
      </c>
      <c r="Z116" s="1" t="n">
        <v>6</v>
      </c>
      <c r="AA116" s="1" t="n">
        <v>0</v>
      </c>
      <c r="AB116" s="1" t="n">
        <v>1</v>
      </c>
      <c r="AC116" s="1" t="n">
        <v>0</v>
      </c>
      <c r="AD116" s="1" t="n">
        <v>0</v>
      </c>
      <c r="AE116" s="1" t="n">
        <v>2</v>
      </c>
      <c r="AF116" s="1" t="n">
        <v>1</v>
      </c>
      <c r="AG116" s="1" t="n">
        <v>0</v>
      </c>
      <c r="AH116" s="1" t="n">
        <v>0</v>
      </c>
      <c r="AI116" s="1" t="n">
        <v>0</v>
      </c>
      <c r="AJ116" s="1" t="n">
        <v>2</v>
      </c>
      <c r="AK116" s="1" t="n">
        <v>0</v>
      </c>
      <c r="AL116" s="1" t="n">
        <v>0</v>
      </c>
      <c r="AM116" s="1" t="n">
        <v>0</v>
      </c>
    </row>
    <row r="117">
      <c r="A117" s="1" t="inlineStr">
        <is>
          <t>ovarian cancer</t>
        </is>
      </c>
      <c r="B117" s="1" t="inlineStr">
        <is>
          <t>MONDO_0008170</t>
        </is>
      </c>
      <c r="C117" s="1" t="inlineStr">
        <is>
          <t>name</t>
        </is>
      </c>
      <c r="D117" s="1" t="n">
        <v>0.05</v>
      </c>
      <c r="E117" s="15" t="n">
        <v>46</v>
      </c>
      <c r="F117" s="15" t="n">
        <v>180</v>
      </c>
      <c r="G117" s="15" t="n">
        <v>21</v>
      </c>
      <c r="H117" s="16">
        <f>G117/F117</f>
        <v/>
      </c>
      <c r="I117" s="16">
        <f>G117/E117</f>
        <v/>
      </c>
      <c r="J117" s="17" t="n">
        <v>35</v>
      </c>
      <c r="K117" s="17" t="n">
        <v>510</v>
      </c>
      <c r="L117" s="17" t="n">
        <v>13</v>
      </c>
      <c r="M117" s="16">
        <f>L117/K117</f>
        <v/>
      </c>
      <c r="N117" s="16">
        <f>L117/J117</f>
        <v/>
      </c>
      <c r="O117" s="18" t="n">
        <v>12</v>
      </c>
      <c r="P117" s="18" t="n">
        <v>0</v>
      </c>
      <c r="Q117" s="16">
        <f>P117/O117</f>
        <v/>
      </c>
      <c r="R117" s="1" t="n">
        <v>1999</v>
      </c>
      <c r="S117" s="1" t="n">
        <v>34</v>
      </c>
      <c r="T117" s="1" t="n">
        <v>1</v>
      </c>
      <c r="U117" s="1" t="n">
        <v>36</v>
      </c>
      <c r="V117" s="1" t="n">
        <v>55</v>
      </c>
      <c r="W117" s="1" t="n">
        <v>24</v>
      </c>
      <c r="X117" s="1" t="n">
        <v>3</v>
      </c>
      <c r="Y117" s="1" t="n">
        <v>12</v>
      </c>
      <c r="Z117" s="1" t="n">
        <v>41</v>
      </c>
      <c r="AA117" s="1" t="n">
        <v>1</v>
      </c>
      <c r="AB117" s="1" t="n">
        <v>7</v>
      </c>
      <c r="AC117" s="1" t="n">
        <v>16</v>
      </c>
      <c r="AD117" s="1" t="n">
        <v>0</v>
      </c>
      <c r="AE117" s="1" t="n">
        <v>20</v>
      </c>
      <c r="AF117" s="1" t="n">
        <v>1</v>
      </c>
      <c r="AG117" s="1" t="n">
        <v>12</v>
      </c>
      <c r="AH117" s="1" t="n">
        <v>9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</row>
    <row r="118">
      <c r="A118" s="1" t="inlineStr">
        <is>
          <t>ovarian serous carcinoma</t>
        </is>
      </c>
      <c r="B118" s="1" t="inlineStr">
        <is>
          <t>EFO_1001516</t>
        </is>
      </c>
      <c r="C118" s="1" t="inlineStr">
        <is>
          <t>name</t>
        </is>
      </c>
      <c r="D118" s="1" t="n">
        <v>0.05</v>
      </c>
      <c r="E118" s="15" t="n">
        <v>0</v>
      </c>
      <c r="F118" s="15" t="n">
        <v>46</v>
      </c>
      <c r="G118" s="15" t="n">
        <v>0</v>
      </c>
      <c r="H118" s="16">
        <f>G118/F118</f>
        <v/>
      </c>
      <c r="I118" s="16">
        <f>G118/E118</f>
        <v/>
      </c>
      <c r="J118" s="17" t="n">
        <v>0</v>
      </c>
      <c r="K118" s="17" t="n">
        <v>240</v>
      </c>
      <c r="L118" s="17" t="n">
        <v>0</v>
      </c>
      <c r="M118" s="16">
        <f>L118/K118</f>
        <v/>
      </c>
      <c r="N118" s="16">
        <f>L118/J118</f>
        <v/>
      </c>
      <c r="O118" s="18" t="n">
        <v>0</v>
      </c>
      <c r="P118" s="18" t="n">
        <v>0</v>
      </c>
      <c r="Q118" s="16">
        <f>P118/O118</f>
        <v/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</row>
    <row r="119">
      <c r="A119" s="1" t="inlineStr">
        <is>
          <t>pancreatic ductal adenocarcinoma</t>
        </is>
      </c>
      <c r="B119" s="1" t="inlineStr">
        <is>
          <t>MONDO_0005184</t>
        </is>
      </c>
      <c r="C119" s="1" t="inlineStr">
        <is>
          <t>name</t>
        </is>
      </c>
      <c r="D119" s="1" t="n">
        <v>0.05</v>
      </c>
      <c r="E119" s="15" t="n">
        <v>14</v>
      </c>
      <c r="F119" s="15" t="n">
        <v>106</v>
      </c>
      <c r="G119" s="15" t="n">
        <v>7</v>
      </c>
      <c r="H119" s="16">
        <f>G119/F119</f>
        <v/>
      </c>
      <c r="I119" s="16">
        <f>G119/E119</f>
        <v/>
      </c>
      <c r="J119" s="17" t="n">
        <v>8</v>
      </c>
      <c r="K119" s="17" t="n">
        <v>1</v>
      </c>
      <c r="L119" s="17" t="n">
        <v>0</v>
      </c>
      <c r="M119" s="16">
        <f>L119/K119</f>
        <v/>
      </c>
      <c r="N119" s="16">
        <f>L119/J119</f>
        <v/>
      </c>
      <c r="O119" s="18" t="n">
        <v>0</v>
      </c>
      <c r="P119" s="18" t="n">
        <v>0</v>
      </c>
      <c r="Q119" s="16">
        <f>P119/O119</f>
        <v/>
      </c>
      <c r="R119" s="1" t="n">
        <v>592</v>
      </c>
      <c r="S119" s="1" t="n">
        <v>7</v>
      </c>
      <c r="T119" s="1" t="n">
        <v>2</v>
      </c>
      <c r="U119" s="1" t="n">
        <v>16</v>
      </c>
      <c r="V119" s="1" t="n">
        <v>16</v>
      </c>
      <c r="W119" s="1" t="n">
        <v>6</v>
      </c>
      <c r="X119" s="1" t="n">
        <v>0</v>
      </c>
      <c r="Y119" s="1" t="n">
        <v>7</v>
      </c>
      <c r="Z119" s="1" t="n">
        <v>8</v>
      </c>
      <c r="AA119" s="1" t="n">
        <v>0</v>
      </c>
      <c r="AB119" s="1" t="n">
        <v>6</v>
      </c>
      <c r="AC119" s="1" t="n">
        <v>6</v>
      </c>
      <c r="AD119" s="1" t="n">
        <v>1</v>
      </c>
      <c r="AE119" s="1" t="n">
        <v>6</v>
      </c>
      <c r="AF119" s="1" t="n">
        <v>0</v>
      </c>
      <c r="AG119" s="1" t="n">
        <v>4</v>
      </c>
      <c r="AH119" s="1" t="n">
        <v>2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</row>
    <row r="120">
      <c r="A120" s="1" t="inlineStr">
        <is>
          <t>papillary thyroid carcinoma</t>
        </is>
      </c>
      <c r="B120" s="1" t="inlineStr">
        <is>
          <t>EFO_0000641</t>
        </is>
      </c>
      <c r="C120" s="1" t="inlineStr">
        <is>
          <t>name</t>
        </is>
      </c>
      <c r="D120" s="1" t="n">
        <v>0.05</v>
      </c>
      <c r="E120" s="15" t="n">
        <v>7</v>
      </c>
      <c r="F120" s="15" t="n">
        <v>10</v>
      </c>
      <c r="G120" s="15" t="n">
        <v>0</v>
      </c>
      <c r="H120" s="16">
        <f>G120/F120</f>
        <v/>
      </c>
      <c r="I120" s="16">
        <f>G120/E120</f>
        <v/>
      </c>
      <c r="J120" s="17" t="n">
        <v>5</v>
      </c>
      <c r="K120" s="17" t="n">
        <v>492</v>
      </c>
      <c r="L120" s="17" t="n">
        <v>2</v>
      </c>
      <c r="M120" s="16">
        <f>L120/K120</f>
        <v/>
      </c>
      <c r="N120" s="16">
        <f>L120/J120</f>
        <v/>
      </c>
      <c r="O120" s="18" t="n">
        <v>0</v>
      </c>
      <c r="P120" s="18" t="n">
        <v>0</v>
      </c>
      <c r="Q120" s="16">
        <f>P120/O120</f>
        <v/>
      </c>
      <c r="R120" s="1" t="n">
        <v>259</v>
      </c>
      <c r="S120" s="1" t="n">
        <v>2</v>
      </c>
      <c r="T120" s="1" t="n">
        <v>0</v>
      </c>
      <c r="U120" s="1" t="n">
        <v>1</v>
      </c>
      <c r="V120" s="1" t="n">
        <v>1</v>
      </c>
      <c r="W120" s="1" t="n">
        <v>0</v>
      </c>
      <c r="X120" s="1" t="n">
        <v>0</v>
      </c>
      <c r="Y120" s="1" t="n">
        <v>0</v>
      </c>
      <c r="Z120" s="1" t="n">
        <v>2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1</v>
      </c>
      <c r="AL120" s="1" t="n">
        <v>0</v>
      </c>
      <c r="AM120" s="1" t="n">
        <v>0</v>
      </c>
    </row>
    <row r="121">
      <c r="A121" s="1" t="inlineStr">
        <is>
          <t>peripartum cardiomyopathy</t>
        </is>
      </c>
      <c r="B121" s="1" t="inlineStr">
        <is>
          <t>EFO_0002628</t>
        </is>
      </c>
      <c r="C121" s="1" t="inlineStr">
        <is>
          <t>name</t>
        </is>
      </c>
      <c r="D121" s="1" t="n">
        <v>0.05</v>
      </c>
      <c r="E121" s="15" t="n">
        <v>0</v>
      </c>
      <c r="F121" s="15" t="n">
        <v>210</v>
      </c>
      <c r="G121" s="15" t="n">
        <v>0</v>
      </c>
      <c r="H121" s="16">
        <f>G121/F121</f>
        <v/>
      </c>
      <c r="I121" s="16">
        <f>G121/E121</f>
        <v/>
      </c>
      <c r="J121" s="17" t="n">
        <v>1</v>
      </c>
      <c r="K121" s="17" t="n">
        <v>0</v>
      </c>
      <c r="L121" s="17" t="n">
        <v>0</v>
      </c>
      <c r="M121" s="16">
        <f>L121/K121</f>
        <v/>
      </c>
      <c r="N121" s="16">
        <f>L121/J121</f>
        <v/>
      </c>
      <c r="O121" s="18" t="n">
        <v>0</v>
      </c>
      <c r="P121" s="18" t="n">
        <v>0</v>
      </c>
      <c r="Q121" s="16">
        <f>P121/O121</f>
        <v/>
      </c>
      <c r="R121" s="1" t="n">
        <v>8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</row>
    <row r="122">
      <c r="A122" s="1" t="inlineStr">
        <is>
          <t>polycystic ovary syndrome</t>
        </is>
      </c>
      <c r="B122" s="1" t="inlineStr">
        <is>
          <t>EFO_0000660</t>
        </is>
      </c>
      <c r="C122" s="1" t="inlineStr">
        <is>
          <t>name</t>
        </is>
      </c>
      <c r="D122" s="1" t="n">
        <v>0.05</v>
      </c>
      <c r="E122" s="15" t="n">
        <v>7</v>
      </c>
      <c r="F122" s="15" t="n">
        <v>25</v>
      </c>
      <c r="G122" s="15" t="n">
        <v>1</v>
      </c>
      <c r="H122" s="16">
        <f>G122/F122</f>
        <v/>
      </c>
      <c r="I122" s="16">
        <f>G122/E122</f>
        <v/>
      </c>
      <c r="J122" s="17" t="n">
        <v>16</v>
      </c>
      <c r="K122" s="17" t="n">
        <v>50</v>
      </c>
      <c r="L122" s="17" t="n">
        <v>1</v>
      </c>
      <c r="M122" s="16">
        <f>L122/K122</f>
        <v/>
      </c>
      <c r="N122" s="16">
        <f>L122/J122</f>
        <v/>
      </c>
      <c r="O122" s="18" t="n">
        <v>0</v>
      </c>
      <c r="P122" s="18" t="n">
        <v>0</v>
      </c>
      <c r="Q122" s="16">
        <f>P122/O122</f>
        <v/>
      </c>
      <c r="R122" s="1" t="n">
        <v>720</v>
      </c>
      <c r="S122" s="1" t="n">
        <v>2</v>
      </c>
      <c r="T122" s="1" t="n">
        <v>0</v>
      </c>
      <c r="U122" s="1" t="n">
        <v>1</v>
      </c>
      <c r="V122" s="1" t="n">
        <v>0</v>
      </c>
      <c r="W122" s="1" t="n">
        <v>2</v>
      </c>
      <c r="X122" s="1" t="n">
        <v>0</v>
      </c>
      <c r="Y122" s="1" t="n">
        <v>0</v>
      </c>
      <c r="Z122" s="1" t="n">
        <v>2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1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</row>
    <row r="123">
      <c r="A123" s="1" t="inlineStr">
        <is>
          <t>Polymyositis</t>
        </is>
      </c>
      <c r="B123" s="1" t="inlineStr">
        <is>
          <t>EFO_0003063</t>
        </is>
      </c>
      <c r="C123" s="1" t="inlineStr">
        <is>
          <t>name</t>
        </is>
      </c>
      <c r="D123" s="1" t="n">
        <v>0.05</v>
      </c>
      <c r="E123" s="15" t="n">
        <v>0</v>
      </c>
      <c r="F123" s="15" t="n">
        <v>322</v>
      </c>
      <c r="G123" s="15" t="n">
        <v>0</v>
      </c>
      <c r="H123" s="16">
        <f>G123/F123</f>
        <v/>
      </c>
      <c r="I123" s="16">
        <f>G123/E123</f>
        <v/>
      </c>
      <c r="J123" s="17" t="n">
        <v>3</v>
      </c>
      <c r="K123" s="17" t="n">
        <v>32</v>
      </c>
      <c r="L123" s="17" t="n">
        <v>0</v>
      </c>
      <c r="M123" s="16">
        <f>L123/K123</f>
        <v/>
      </c>
      <c r="N123" s="16">
        <f>L123/J123</f>
        <v/>
      </c>
      <c r="O123" s="18" t="n">
        <v>2</v>
      </c>
      <c r="P123" s="18" t="n">
        <v>0</v>
      </c>
      <c r="Q123" s="16">
        <f>P123/O123</f>
        <v/>
      </c>
      <c r="R123" s="1" t="n">
        <v>116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2</v>
      </c>
      <c r="AL123" s="1" t="n">
        <v>1</v>
      </c>
      <c r="AM123" s="1" t="n">
        <v>0</v>
      </c>
    </row>
    <row r="124">
      <c r="A124" s="1" t="inlineStr">
        <is>
          <t>post-traumatic stress disorder</t>
        </is>
      </c>
      <c r="B124" s="1" t="inlineStr">
        <is>
          <t>EFO_0001358</t>
        </is>
      </c>
      <c r="C124" s="1" t="inlineStr">
        <is>
          <t>name</t>
        </is>
      </c>
      <c r="D124" s="1" t="n">
        <v>0.05</v>
      </c>
      <c r="E124" s="15" t="n">
        <v>1</v>
      </c>
      <c r="F124" s="15" t="n">
        <v>193</v>
      </c>
      <c r="G124" s="15" t="n">
        <v>0</v>
      </c>
      <c r="H124" s="16">
        <f>G124/F124</f>
        <v/>
      </c>
      <c r="I124" s="16">
        <f>G124/E124</f>
        <v/>
      </c>
      <c r="J124" s="17" t="n">
        <v>19</v>
      </c>
      <c r="K124" s="17" t="n">
        <v>437</v>
      </c>
      <c r="L124" s="17" t="n">
        <v>8</v>
      </c>
      <c r="M124" s="16">
        <f>L124/K124</f>
        <v/>
      </c>
      <c r="N124" s="16">
        <f>L124/J124</f>
        <v/>
      </c>
      <c r="O124" s="18" t="n">
        <v>10</v>
      </c>
      <c r="P124" s="18" t="n">
        <v>0</v>
      </c>
      <c r="Q124" s="16">
        <f>P124/O124</f>
        <v/>
      </c>
      <c r="R124" s="1" t="n">
        <v>762</v>
      </c>
      <c r="S124" s="1" t="n">
        <v>8</v>
      </c>
      <c r="T124" s="1" t="n">
        <v>0</v>
      </c>
      <c r="U124" s="1" t="n">
        <v>4</v>
      </c>
      <c r="V124" s="1" t="n">
        <v>4</v>
      </c>
      <c r="W124" s="1" t="n">
        <v>7</v>
      </c>
      <c r="X124" s="1" t="n">
        <v>0</v>
      </c>
      <c r="Y124" s="1" t="n">
        <v>0</v>
      </c>
      <c r="Z124" s="1" t="n">
        <v>10</v>
      </c>
      <c r="AA124" s="1" t="n">
        <v>0</v>
      </c>
      <c r="AB124" s="1" t="n">
        <v>0</v>
      </c>
      <c r="AC124" s="1" t="n">
        <v>2</v>
      </c>
      <c r="AD124" s="1" t="n">
        <v>0</v>
      </c>
      <c r="AE124" s="1" t="n">
        <v>2</v>
      </c>
      <c r="AF124" s="1" t="n">
        <v>0</v>
      </c>
      <c r="AG124" s="1" t="n">
        <v>1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</row>
    <row r="125">
      <c r="A125" s="1" t="inlineStr">
        <is>
          <t>pre-eclampsia</t>
        </is>
      </c>
      <c r="B125" s="1" t="inlineStr">
        <is>
          <t>EFO_0000668</t>
        </is>
      </c>
      <c r="C125" s="1" t="inlineStr">
        <is>
          <t>name</t>
        </is>
      </c>
      <c r="D125" s="1" t="n">
        <v>0.05</v>
      </c>
      <c r="E125" s="15" t="n">
        <v>5</v>
      </c>
      <c r="F125" s="15" t="n">
        <v>68</v>
      </c>
      <c r="G125" s="15" t="n">
        <v>0</v>
      </c>
      <c r="H125" s="16">
        <f>G125/F125</f>
        <v/>
      </c>
      <c r="I125" s="16">
        <f>G125/E125</f>
        <v/>
      </c>
      <c r="J125" s="17" t="n">
        <v>21</v>
      </c>
      <c r="K125" s="17" t="n">
        <v>127</v>
      </c>
      <c r="L125" s="17" t="n">
        <v>2</v>
      </c>
      <c r="M125" s="16">
        <f>L125/K125</f>
        <v/>
      </c>
      <c r="N125" s="16">
        <f>L125/J125</f>
        <v/>
      </c>
      <c r="O125" s="18" t="n">
        <v>1</v>
      </c>
      <c r="P125" s="18" t="n">
        <v>0</v>
      </c>
      <c r="Q125" s="16">
        <f>P125/O125</f>
        <v/>
      </c>
      <c r="R125" s="1" t="n">
        <v>756</v>
      </c>
      <c r="S125" s="1" t="n">
        <v>2</v>
      </c>
      <c r="T125" s="1" t="n">
        <v>0</v>
      </c>
      <c r="U125" s="1" t="n">
        <v>0</v>
      </c>
      <c r="V125" s="1" t="n">
        <v>1</v>
      </c>
      <c r="W125" s="1" t="n">
        <v>0</v>
      </c>
      <c r="X125" s="1" t="n">
        <v>1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1</v>
      </c>
      <c r="AD125" s="1" t="n">
        <v>0</v>
      </c>
      <c r="AE125" s="1" t="n">
        <v>0</v>
      </c>
      <c r="AF125" s="1" t="n">
        <v>1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</row>
    <row r="126">
      <c r="A126" s="1" t="inlineStr">
        <is>
          <t>Pseudomonas Infection</t>
        </is>
      </c>
      <c r="B126" s="1" t="inlineStr">
        <is>
          <t>EFO_0001076</t>
        </is>
      </c>
      <c r="C126" s="1" t="inlineStr">
        <is>
          <t>name</t>
        </is>
      </c>
      <c r="D126" s="1" t="n">
        <v>0.05</v>
      </c>
      <c r="E126" s="15" t="n">
        <v>0</v>
      </c>
      <c r="F126" s="15" t="n">
        <v>51</v>
      </c>
      <c r="G126" s="15" t="n">
        <v>0</v>
      </c>
      <c r="H126" s="16">
        <f>G126/F126</f>
        <v/>
      </c>
      <c r="I126" s="16">
        <f>G126/E126</f>
        <v/>
      </c>
      <c r="J126" s="17" t="n">
        <v>0</v>
      </c>
      <c r="K126" s="17" t="n">
        <v>727</v>
      </c>
      <c r="L126" s="17" t="n">
        <v>0</v>
      </c>
      <c r="M126" s="16">
        <f>L126/K126</f>
        <v/>
      </c>
      <c r="N126" s="16">
        <f>L126/J126</f>
        <v/>
      </c>
      <c r="O126" s="18" t="n">
        <v>2</v>
      </c>
      <c r="P126" s="18" t="n">
        <v>0</v>
      </c>
      <c r="Q126" s="16">
        <f>P126/O126</f>
        <v/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</row>
    <row r="127">
      <c r="A127" s="1" t="inlineStr">
        <is>
          <t>psoriasis</t>
        </is>
      </c>
      <c r="B127" s="1" t="inlineStr">
        <is>
          <t>EFO_0000676</t>
        </is>
      </c>
      <c r="C127" s="1" t="inlineStr">
        <is>
          <t>name</t>
        </is>
      </c>
      <c r="D127" s="1" t="n">
        <v>0.05</v>
      </c>
      <c r="E127" s="15" t="n">
        <v>15</v>
      </c>
      <c r="F127" s="15" t="n">
        <v>332</v>
      </c>
      <c r="G127" s="15" t="n">
        <v>14</v>
      </c>
      <c r="H127" s="16">
        <f>G127/F127</f>
        <v/>
      </c>
      <c r="I127" s="16">
        <f>G127/E127</f>
        <v/>
      </c>
      <c r="J127" s="17" t="n">
        <v>24</v>
      </c>
      <c r="K127" s="17" t="n">
        <v>58</v>
      </c>
      <c r="L127" s="17" t="n">
        <v>1</v>
      </c>
      <c r="M127" s="16">
        <f>L127/K127</f>
        <v/>
      </c>
      <c r="N127" s="16">
        <f>L127/J127</f>
        <v/>
      </c>
      <c r="O127" s="18" t="n">
        <v>1</v>
      </c>
      <c r="P127" s="18" t="n">
        <v>0</v>
      </c>
      <c r="Q127" s="16">
        <f>P127/O127</f>
        <v/>
      </c>
      <c r="R127" s="1" t="n">
        <v>1473</v>
      </c>
      <c r="S127" s="1" t="n">
        <v>15</v>
      </c>
      <c r="T127" s="1" t="n">
        <v>2</v>
      </c>
      <c r="U127" s="1" t="n">
        <v>10</v>
      </c>
      <c r="V127" s="1" t="n">
        <v>15</v>
      </c>
      <c r="W127" s="1" t="n">
        <v>10</v>
      </c>
      <c r="X127" s="1" t="n">
        <v>22</v>
      </c>
      <c r="Y127" s="1" t="n">
        <v>1</v>
      </c>
      <c r="Z127" s="1" t="n">
        <v>31</v>
      </c>
      <c r="AA127" s="1" t="n">
        <v>0</v>
      </c>
      <c r="AB127" s="1" t="n">
        <v>3</v>
      </c>
      <c r="AC127" s="1" t="n">
        <v>6</v>
      </c>
      <c r="AD127" s="1" t="n">
        <v>0</v>
      </c>
      <c r="AE127" s="1" t="n">
        <v>3</v>
      </c>
      <c r="AF127" s="1" t="n">
        <v>7</v>
      </c>
      <c r="AG127" s="1" t="n">
        <v>5</v>
      </c>
      <c r="AH127" s="1" t="n">
        <v>3</v>
      </c>
      <c r="AI127" s="1" t="n">
        <v>1</v>
      </c>
      <c r="AJ127" s="1" t="n">
        <v>21</v>
      </c>
      <c r="AK127" s="1" t="n">
        <v>1</v>
      </c>
      <c r="AL127" s="1" t="n">
        <v>13</v>
      </c>
      <c r="AM127" s="1" t="n">
        <v>9</v>
      </c>
    </row>
    <row r="128">
      <c r="A128" s="1" t="inlineStr">
        <is>
          <t>psoriatic arthritis</t>
        </is>
      </c>
      <c r="B128" s="1" t="inlineStr">
        <is>
          <t>EFO_0003778</t>
        </is>
      </c>
      <c r="C128" s="1" t="inlineStr">
        <is>
          <t>name</t>
        </is>
      </c>
      <c r="D128" s="1" t="n">
        <v>0.05</v>
      </c>
      <c r="E128" s="15" t="n">
        <v>6</v>
      </c>
      <c r="F128" s="15" t="n">
        <v>365</v>
      </c>
      <c r="G128" s="15" t="n">
        <v>6</v>
      </c>
      <c r="H128" s="16">
        <f>G128/F128</f>
        <v/>
      </c>
      <c r="I128" s="16">
        <f>G128/E128</f>
        <v/>
      </c>
      <c r="J128" s="17" t="n">
        <v>9</v>
      </c>
      <c r="K128" s="17" t="n">
        <v>5</v>
      </c>
      <c r="L128" s="17" t="n">
        <v>0</v>
      </c>
      <c r="M128" s="16">
        <f>L128/K128</f>
        <v/>
      </c>
      <c r="N128" s="16">
        <f>L128/J128</f>
        <v/>
      </c>
      <c r="O128" s="18" t="n">
        <v>0</v>
      </c>
      <c r="P128" s="18" t="n">
        <v>0</v>
      </c>
      <c r="Q128" s="16">
        <f>P128/O128</f>
        <v/>
      </c>
      <c r="R128" s="1" t="n">
        <v>630</v>
      </c>
      <c r="S128" s="1" t="n">
        <v>6</v>
      </c>
      <c r="T128" s="1" t="n">
        <v>0</v>
      </c>
      <c r="U128" s="1" t="n">
        <v>1</v>
      </c>
      <c r="V128" s="1" t="n">
        <v>5</v>
      </c>
      <c r="W128" s="1" t="n">
        <v>5</v>
      </c>
      <c r="X128" s="1" t="n">
        <v>6</v>
      </c>
      <c r="Y128" s="1" t="n">
        <v>0</v>
      </c>
      <c r="Z128" s="1" t="n">
        <v>5</v>
      </c>
      <c r="AA128" s="1" t="n">
        <v>0</v>
      </c>
      <c r="AB128" s="1" t="n">
        <v>1</v>
      </c>
      <c r="AC128" s="1" t="n">
        <v>4</v>
      </c>
      <c r="AD128" s="1" t="n">
        <v>0</v>
      </c>
      <c r="AE128" s="1" t="n">
        <v>2</v>
      </c>
      <c r="AF128" s="1" t="n">
        <v>4</v>
      </c>
      <c r="AG128" s="1" t="n">
        <v>0</v>
      </c>
      <c r="AH128" s="1" t="n">
        <v>1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</row>
    <row r="129">
      <c r="A129" s="1" t="inlineStr">
        <is>
          <t>pulmonary fibrosis</t>
        </is>
      </c>
      <c r="B129" s="1" t="inlineStr">
        <is>
          <t>EFO_0009448</t>
        </is>
      </c>
      <c r="C129" s="1" t="inlineStr">
        <is>
          <t>name</t>
        </is>
      </c>
      <c r="D129" s="1" t="n">
        <v>0.05</v>
      </c>
      <c r="E129" s="15" t="n">
        <v>1</v>
      </c>
      <c r="F129" s="15" t="n">
        <v>282</v>
      </c>
      <c r="G129" s="15" t="n">
        <v>1</v>
      </c>
      <c r="H129" s="16">
        <f>G129/F129</f>
        <v/>
      </c>
      <c r="I129" s="16">
        <f>G129/E129</f>
        <v/>
      </c>
      <c r="J129" s="17" t="n">
        <v>3</v>
      </c>
      <c r="K129" s="17" t="n">
        <v>2</v>
      </c>
      <c r="L129" s="17" t="n">
        <v>0</v>
      </c>
      <c r="M129" s="16">
        <f>L129/K129</f>
        <v/>
      </c>
      <c r="N129" s="16">
        <f>L129/J129</f>
        <v/>
      </c>
      <c r="O129" s="18" t="n">
        <v>0</v>
      </c>
      <c r="P129" s="18" t="n">
        <v>0</v>
      </c>
      <c r="Q129" s="16">
        <f>P129/O129</f>
        <v/>
      </c>
      <c r="R129" s="1" t="n">
        <v>232</v>
      </c>
      <c r="S129" s="1" t="n">
        <v>1</v>
      </c>
      <c r="T129" s="1" t="n">
        <v>0</v>
      </c>
      <c r="U129" s="1" t="n">
        <v>0</v>
      </c>
      <c r="V129" s="1" t="n">
        <v>1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1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1</v>
      </c>
      <c r="AK129" s="1" t="n">
        <v>1</v>
      </c>
      <c r="AL129" s="1" t="n">
        <v>6</v>
      </c>
      <c r="AM129" s="1" t="n">
        <v>0</v>
      </c>
    </row>
    <row r="130">
      <c r="A130" s="1" t="inlineStr">
        <is>
          <t>pulmonary hypertension</t>
        </is>
      </c>
      <c r="B130" s="1" t="inlineStr">
        <is>
          <t>MONDO_0005149</t>
        </is>
      </c>
      <c r="C130" s="1" t="inlineStr">
        <is>
          <t>name</t>
        </is>
      </c>
      <c r="D130" s="1" t="n">
        <v>0.05</v>
      </c>
      <c r="E130" s="15" t="n">
        <v>7</v>
      </c>
      <c r="F130" s="15" t="n">
        <v>207</v>
      </c>
      <c r="G130" s="15" t="n">
        <v>6</v>
      </c>
      <c r="H130" s="16">
        <f>G130/F130</f>
        <v/>
      </c>
      <c r="I130" s="16">
        <f>G130/E130</f>
        <v/>
      </c>
      <c r="J130" s="17" t="n">
        <v>8</v>
      </c>
      <c r="K130" s="17" t="n">
        <v>560</v>
      </c>
      <c r="L130" s="17" t="n">
        <v>5</v>
      </c>
      <c r="M130" s="16">
        <f>L130/K130</f>
        <v/>
      </c>
      <c r="N130" s="16">
        <f>L130/J130</f>
        <v/>
      </c>
      <c r="O130" s="18" t="n">
        <v>8</v>
      </c>
      <c r="P130" s="18" t="n">
        <v>0</v>
      </c>
      <c r="Q130" s="16">
        <f>P130/O130</f>
        <v/>
      </c>
      <c r="R130" s="1" t="n">
        <v>447</v>
      </c>
      <c r="S130" s="1" t="n">
        <v>11</v>
      </c>
      <c r="T130" s="1" t="n">
        <v>1</v>
      </c>
      <c r="U130" s="1" t="n">
        <v>4</v>
      </c>
      <c r="V130" s="1" t="n">
        <v>10</v>
      </c>
      <c r="W130" s="1" t="n">
        <v>8</v>
      </c>
      <c r="X130" s="1" t="n">
        <v>4</v>
      </c>
      <c r="Y130" s="1" t="n">
        <v>0</v>
      </c>
      <c r="Z130" s="1" t="n">
        <v>15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5</v>
      </c>
      <c r="AF130" s="1" t="n">
        <v>3</v>
      </c>
      <c r="AG130" s="1" t="n">
        <v>2</v>
      </c>
      <c r="AH130" s="1" t="n">
        <v>2</v>
      </c>
      <c r="AI130" s="1" t="n">
        <v>0</v>
      </c>
      <c r="AJ130" s="1" t="n">
        <v>1</v>
      </c>
      <c r="AK130" s="1" t="n">
        <v>0</v>
      </c>
      <c r="AL130" s="1" t="n">
        <v>0</v>
      </c>
      <c r="AM130" s="1" t="n">
        <v>0</v>
      </c>
    </row>
    <row r="131">
      <c r="A131" s="1" t="inlineStr">
        <is>
          <t>pulmonary sarcoidosis</t>
        </is>
      </c>
      <c r="B131" s="1" t="inlineStr">
        <is>
          <t>DOID_13406</t>
        </is>
      </c>
      <c r="C131" s="1" t="inlineStr">
        <is>
          <t>name</t>
        </is>
      </c>
      <c r="D131" s="1" t="n">
        <v>0.05</v>
      </c>
      <c r="E131" s="15" t="n">
        <v>1</v>
      </c>
      <c r="F131" s="15" t="n">
        <v>179</v>
      </c>
      <c r="G131" s="15" t="n">
        <v>0</v>
      </c>
      <c r="H131" s="16">
        <f>G131/F131</f>
        <v/>
      </c>
      <c r="I131" s="16">
        <f>G131/E131</f>
        <v/>
      </c>
      <c r="J131" s="17" t="n">
        <v>3</v>
      </c>
      <c r="K131" s="17" t="n">
        <v>413</v>
      </c>
      <c r="L131" s="17" t="n">
        <v>2</v>
      </c>
      <c r="M131" s="16">
        <f>L131/K131</f>
        <v/>
      </c>
      <c r="N131" s="16">
        <f>L131/J131</f>
        <v/>
      </c>
      <c r="O131" s="18" t="n">
        <v>5</v>
      </c>
      <c r="P131" s="18" t="n">
        <v>0</v>
      </c>
      <c r="Q131" s="16">
        <f>P131/O131</f>
        <v/>
      </c>
      <c r="R131" s="1" t="n">
        <v>83</v>
      </c>
      <c r="S131" s="1" t="n">
        <v>2</v>
      </c>
      <c r="T131" s="1" t="n">
        <v>0</v>
      </c>
      <c r="U131" s="1" t="n">
        <v>0</v>
      </c>
      <c r="V131" s="1" t="n">
        <v>1</v>
      </c>
      <c r="W131" s="1" t="n">
        <v>2</v>
      </c>
      <c r="X131" s="1" t="n">
        <v>0</v>
      </c>
      <c r="Y131" s="1" t="n">
        <v>0</v>
      </c>
      <c r="Z131" s="1" t="n">
        <v>2</v>
      </c>
      <c r="AA131" s="1" t="n">
        <v>0</v>
      </c>
      <c r="AB131" s="1" t="n">
        <v>1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1</v>
      </c>
      <c r="AM131" s="1" t="n">
        <v>0</v>
      </c>
    </row>
    <row r="132">
      <c r="A132" s="1" t="inlineStr">
        <is>
          <t>relapsing-remitting multiple sclerosis</t>
        </is>
      </c>
      <c r="B132" s="1" t="inlineStr">
        <is>
          <t>EFO_0003929</t>
        </is>
      </c>
      <c r="C132" s="1" t="inlineStr">
        <is>
          <t>name</t>
        </is>
      </c>
      <c r="D132" s="1" t="n">
        <v>0.05</v>
      </c>
      <c r="E132" s="15" t="n">
        <v>9</v>
      </c>
      <c r="F132" s="15" t="n">
        <v>248</v>
      </c>
      <c r="G132" s="15" t="n">
        <v>6</v>
      </c>
      <c r="H132" s="16">
        <f>G132/F132</f>
        <v/>
      </c>
      <c r="I132" s="16">
        <f>G132/E132</f>
        <v/>
      </c>
      <c r="J132" s="17" t="n">
        <v>19</v>
      </c>
      <c r="K132" s="17" t="n">
        <v>679</v>
      </c>
      <c r="L132" s="17" t="n">
        <v>6</v>
      </c>
      <c r="M132" s="16">
        <f>L132/K132</f>
        <v/>
      </c>
      <c r="N132" s="16">
        <f>L132/J132</f>
        <v/>
      </c>
      <c r="O132" s="18" t="n">
        <v>20</v>
      </c>
      <c r="P132" s="18" t="n">
        <v>0</v>
      </c>
      <c r="Q132" s="16">
        <f>P132/O132</f>
        <v/>
      </c>
      <c r="R132" s="1" t="n">
        <v>816</v>
      </c>
      <c r="S132" s="1" t="n">
        <v>12</v>
      </c>
      <c r="T132" s="1" t="n">
        <v>0</v>
      </c>
      <c r="U132" s="1" t="n">
        <v>7</v>
      </c>
      <c r="V132" s="1" t="n">
        <v>10</v>
      </c>
      <c r="W132" s="1" t="n">
        <v>4</v>
      </c>
      <c r="X132" s="1" t="n">
        <v>4</v>
      </c>
      <c r="Y132" s="1" t="n">
        <v>2</v>
      </c>
      <c r="Z132" s="1" t="n">
        <v>10</v>
      </c>
      <c r="AA132" s="1" t="n">
        <v>1</v>
      </c>
      <c r="AB132" s="1" t="n">
        <v>0</v>
      </c>
      <c r="AC132" s="1" t="n">
        <v>3</v>
      </c>
      <c r="AD132" s="1" t="n">
        <v>0</v>
      </c>
      <c r="AE132" s="1" t="n">
        <v>5</v>
      </c>
      <c r="AF132" s="1" t="n">
        <v>1</v>
      </c>
      <c r="AG132" s="1" t="n">
        <v>0</v>
      </c>
      <c r="AH132" s="1" t="n">
        <v>3</v>
      </c>
      <c r="AI132" s="1" t="n">
        <v>0</v>
      </c>
      <c r="AJ132" s="1" t="n">
        <v>15</v>
      </c>
      <c r="AK132" s="1" t="n">
        <v>1</v>
      </c>
      <c r="AL132" s="1" t="n">
        <v>4</v>
      </c>
      <c r="AM132" s="1" t="n">
        <v>7</v>
      </c>
    </row>
    <row r="133">
      <c r="A133" s="1" t="inlineStr">
        <is>
          <t>Rett syndrome</t>
        </is>
      </c>
      <c r="B133" s="1" t="inlineStr">
        <is>
          <t>MONDO_0010726</t>
        </is>
      </c>
      <c r="C133" s="1" t="inlineStr">
        <is>
          <t>name</t>
        </is>
      </c>
      <c r="D133" s="1" t="n">
        <v>0.05</v>
      </c>
      <c r="E133" s="15" t="n">
        <v>0</v>
      </c>
      <c r="F133" s="15" t="n">
        <v>226</v>
      </c>
      <c r="G133" s="15" t="n">
        <v>0</v>
      </c>
      <c r="H133" s="16">
        <f>G133/F133</f>
        <v/>
      </c>
      <c r="I133" s="16">
        <f>G133/E133</f>
        <v/>
      </c>
      <c r="J133" s="17" t="n">
        <v>4</v>
      </c>
      <c r="K133" s="17" t="n">
        <v>381</v>
      </c>
      <c r="L133" s="17" t="n">
        <v>0</v>
      </c>
      <c r="M133" s="16">
        <f>L133/K133</f>
        <v/>
      </c>
      <c r="N133" s="16">
        <f>L133/J133</f>
        <v/>
      </c>
      <c r="O133" s="18" t="n">
        <v>8</v>
      </c>
      <c r="P133" s="18" t="n">
        <v>0</v>
      </c>
      <c r="Q133" s="16">
        <f>P133/O133</f>
        <v/>
      </c>
      <c r="R133" s="1" t="n">
        <v>132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</row>
    <row r="134">
      <c r="A134" s="1" t="inlineStr">
        <is>
          <t>salivary gland adenoid cystic carcinoma</t>
        </is>
      </c>
      <c r="B134" s="1" t="inlineStr">
        <is>
          <t>MONDO_0003175</t>
        </is>
      </c>
      <c r="C134" s="1" t="inlineStr">
        <is>
          <t>name</t>
        </is>
      </c>
      <c r="D134" s="1" t="n">
        <v>0.05</v>
      </c>
      <c r="E134" s="15" t="n">
        <v>2</v>
      </c>
      <c r="F134" s="15" t="n">
        <v>76</v>
      </c>
      <c r="G134" s="15" t="n">
        <v>0</v>
      </c>
      <c r="H134" s="16">
        <f>G134/F134</f>
        <v/>
      </c>
      <c r="I134" s="16">
        <f>G134/E134</f>
        <v/>
      </c>
      <c r="J134" s="17" t="n">
        <v>1</v>
      </c>
      <c r="K134" s="17" t="n">
        <v>10</v>
      </c>
      <c r="L134" s="17" t="n">
        <v>0</v>
      </c>
      <c r="M134" s="16">
        <f>L134/K134</f>
        <v/>
      </c>
      <c r="N134" s="16">
        <f>L134/J134</f>
        <v/>
      </c>
      <c r="O134" s="18" t="n">
        <v>0</v>
      </c>
      <c r="P134" s="18" t="n">
        <v>0</v>
      </c>
      <c r="Q134" s="16">
        <f>P134/O134</f>
        <v/>
      </c>
      <c r="R134" s="1" t="n">
        <v>45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</row>
    <row r="135">
      <c r="A135" s="1" t="inlineStr">
        <is>
          <t>sarcoidosis</t>
        </is>
      </c>
      <c r="B135" s="1" t="inlineStr">
        <is>
          <t>MONDO_0019338</t>
        </is>
      </c>
      <c r="C135" s="1" t="inlineStr">
        <is>
          <t>name</t>
        </is>
      </c>
      <c r="D135" s="1" t="n">
        <v>0.05</v>
      </c>
      <c r="E135" s="15" t="n">
        <v>3</v>
      </c>
      <c r="F135" s="15" t="n">
        <v>207</v>
      </c>
      <c r="G135" s="15" t="n">
        <v>3</v>
      </c>
      <c r="H135" s="16">
        <f>G135/F135</f>
        <v/>
      </c>
      <c r="I135" s="16">
        <f>G135/E135</f>
        <v/>
      </c>
      <c r="J135" s="17" t="n">
        <v>6</v>
      </c>
      <c r="K135" s="17" t="n">
        <v>383</v>
      </c>
      <c r="L135" s="17" t="n">
        <v>1</v>
      </c>
      <c r="M135" s="16">
        <f>L135/K135</f>
        <v/>
      </c>
      <c r="N135" s="16">
        <f>L135/J135</f>
        <v/>
      </c>
      <c r="O135" s="18" t="n">
        <v>6</v>
      </c>
      <c r="P135" s="18" t="n">
        <v>0</v>
      </c>
      <c r="Q135" s="16">
        <f>P135/O135</f>
        <v/>
      </c>
      <c r="R135" s="1" t="n">
        <v>376</v>
      </c>
      <c r="S135" s="1" t="n">
        <v>4</v>
      </c>
      <c r="T135" s="1" t="n">
        <v>0</v>
      </c>
      <c r="U135" s="1" t="n">
        <v>1</v>
      </c>
      <c r="V135" s="1" t="n">
        <v>1</v>
      </c>
      <c r="W135" s="1" t="n">
        <v>1</v>
      </c>
      <c r="X135" s="1" t="n">
        <v>2</v>
      </c>
      <c r="Y135" s="1" t="n">
        <v>0</v>
      </c>
      <c r="Z135" s="1" t="n">
        <v>1</v>
      </c>
      <c r="AA135" s="1" t="n">
        <v>0</v>
      </c>
      <c r="AB135" s="1" t="n">
        <v>1</v>
      </c>
      <c r="AC135" s="1" t="n">
        <v>0</v>
      </c>
      <c r="AD135" s="1" t="n">
        <v>0</v>
      </c>
      <c r="AE135" s="1" t="n">
        <v>0</v>
      </c>
      <c r="AF135" s="1" t="n">
        <v>2</v>
      </c>
      <c r="AG135" s="1" t="n">
        <v>1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</row>
    <row r="136">
      <c r="A136" s="1" t="inlineStr">
        <is>
          <t>Schizophrenia</t>
        </is>
      </c>
      <c r="B136" s="1" t="inlineStr">
        <is>
          <t>MONDO_0005090</t>
        </is>
      </c>
      <c r="C136" s="1" t="inlineStr">
        <is>
          <t>name</t>
        </is>
      </c>
      <c r="D136" s="1" t="n">
        <v>0.05</v>
      </c>
      <c r="E136" s="15" t="n">
        <v>15</v>
      </c>
      <c r="F136" s="15" t="n">
        <v>6</v>
      </c>
      <c r="G136" s="15" t="n">
        <v>0</v>
      </c>
      <c r="H136" s="16">
        <f>G136/F136</f>
        <v/>
      </c>
      <c r="I136" s="16">
        <f>G136/E136</f>
        <v/>
      </c>
      <c r="J136" s="17" t="n">
        <v>65</v>
      </c>
      <c r="K136" s="17" t="n">
        <v>0</v>
      </c>
      <c r="L136" s="17" t="n">
        <v>0</v>
      </c>
      <c r="M136" s="16">
        <f>L136/K136</f>
        <v/>
      </c>
      <c r="N136" s="16">
        <f>L136/J136</f>
        <v/>
      </c>
      <c r="O136" s="18" t="n">
        <v>0</v>
      </c>
      <c r="P136" s="18" t="n">
        <v>0</v>
      </c>
      <c r="Q136" s="16">
        <f>P136/O136</f>
        <v/>
      </c>
      <c r="R136" s="1" t="n">
        <v>2219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</row>
    <row r="137">
      <c r="A137" s="1" t="inlineStr">
        <is>
          <t>scleroderma</t>
        </is>
      </c>
      <c r="B137" s="1" t="inlineStr">
        <is>
          <t>EFO_1001993</t>
        </is>
      </c>
      <c r="C137" s="1" t="inlineStr">
        <is>
          <t>name</t>
        </is>
      </c>
      <c r="D137" s="1" t="n">
        <v>0.05</v>
      </c>
      <c r="E137" s="15" t="n">
        <v>1</v>
      </c>
      <c r="F137" s="15" t="n">
        <v>230</v>
      </c>
      <c r="G137" s="15" t="n">
        <v>1</v>
      </c>
      <c r="H137" s="16">
        <f>G137/F137</f>
        <v/>
      </c>
      <c r="I137" s="16">
        <f>G137/E137</f>
        <v/>
      </c>
      <c r="J137" s="17" t="n">
        <v>4</v>
      </c>
      <c r="K137" s="17" t="n">
        <v>300</v>
      </c>
      <c r="L137" s="17" t="n">
        <v>2</v>
      </c>
      <c r="M137" s="16">
        <f>L137/K137</f>
        <v/>
      </c>
      <c r="N137" s="16">
        <f>L137/J137</f>
        <v/>
      </c>
      <c r="O137" s="18" t="n">
        <v>13</v>
      </c>
      <c r="P137" s="18" t="n">
        <v>0</v>
      </c>
      <c r="Q137" s="16">
        <f>P137/O137</f>
        <v/>
      </c>
      <c r="R137" s="1" t="n">
        <v>224</v>
      </c>
      <c r="S137" s="1" t="n">
        <v>3</v>
      </c>
      <c r="T137" s="1" t="n">
        <v>0</v>
      </c>
      <c r="U137" s="1" t="n">
        <v>1</v>
      </c>
      <c r="V137" s="1" t="n">
        <v>2</v>
      </c>
      <c r="W137" s="1" t="n">
        <v>0</v>
      </c>
      <c r="X137" s="1" t="n">
        <v>0</v>
      </c>
      <c r="Y137" s="1" t="n">
        <v>0</v>
      </c>
      <c r="Z137" s="1" t="n">
        <v>1</v>
      </c>
      <c r="AA137" s="1" t="n">
        <v>0</v>
      </c>
      <c r="AB137" s="1" t="n">
        <v>0</v>
      </c>
      <c r="AC137" s="1" t="n">
        <v>1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1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</row>
    <row r="138">
      <c r="A138" s="1" t="inlineStr">
        <is>
          <t>Septic Shock</t>
        </is>
      </c>
      <c r="B138" s="1" t="inlineStr">
        <is>
          <t>EFO_0006834</t>
        </is>
      </c>
      <c r="C138" s="1" t="inlineStr">
        <is>
          <t>name</t>
        </is>
      </c>
      <c r="D138" s="1" t="n">
        <v>0.05</v>
      </c>
      <c r="E138" s="15" t="n">
        <v>2</v>
      </c>
      <c r="F138" s="15" t="n">
        <v>0</v>
      </c>
      <c r="G138" s="15" t="n">
        <v>0</v>
      </c>
      <c r="H138" s="16">
        <f>G138/F138</f>
        <v/>
      </c>
      <c r="I138" s="16">
        <f>G138/E138</f>
        <v/>
      </c>
      <c r="J138" s="17" t="n">
        <v>12</v>
      </c>
      <c r="K138" s="17" t="n">
        <v>0</v>
      </c>
      <c r="L138" s="17" t="n">
        <v>0</v>
      </c>
      <c r="M138" s="16">
        <f>L138/K138</f>
        <v/>
      </c>
      <c r="N138" s="16">
        <f>L138/J138</f>
        <v/>
      </c>
      <c r="O138" s="18" t="n">
        <v>0</v>
      </c>
      <c r="P138" s="18" t="n">
        <v>0</v>
      </c>
      <c r="Q138" s="16">
        <f>P138/O138</f>
        <v/>
      </c>
      <c r="R138" s="1" t="n">
        <v>690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</row>
    <row r="139">
      <c r="A139" s="1" t="inlineStr">
        <is>
          <t>serous cystadenocarcinoma</t>
        </is>
      </c>
      <c r="B139" s="1" t="inlineStr">
        <is>
          <t>MONDO_0024621</t>
        </is>
      </c>
      <c r="C139" s="1" t="inlineStr">
        <is>
          <t>name</t>
        </is>
      </c>
      <c r="D139" s="1" t="n">
        <v>0.05</v>
      </c>
      <c r="E139" s="15" t="n">
        <v>0</v>
      </c>
      <c r="F139" s="15" t="n">
        <v>56</v>
      </c>
      <c r="G139" s="15" t="n">
        <v>0</v>
      </c>
      <c r="H139" s="16">
        <f>G139/F139</f>
        <v/>
      </c>
      <c r="I139" s="16">
        <f>G139/E139</f>
        <v/>
      </c>
      <c r="J139" s="17" t="n">
        <v>0</v>
      </c>
      <c r="K139" s="17" t="n">
        <v>803</v>
      </c>
      <c r="L139" s="17" t="n">
        <v>0</v>
      </c>
      <c r="M139" s="16">
        <f>L139/K139</f>
        <v/>
      </c>
      <c r="N139" s="16">
        <f>L139/J139</f>
        <v/>
      </c>
      <c r="O139" s="18" t="n">
        <v>2</v>
      </c>
      <c r="P139" s="18" t="n">
        <v>0</v>
      </c>
      <c r="Q139" s="16">
        <f>P139/O139</f>
        <v/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</row>
    <row r="140">
      <c r="A140" s="1" t="inlineStr">
        <is>
          <t>sickle cell anemia</t>
        </is>
      </c>
      <c r="B140" s="1" t="inlineStr">
        <is>
          <t>MONDO_0011382</t>
        </is>
      </c>
      <c r="C140" s="1" t="inlineStr">
        <is>
          <t>name</t>
        </is>
      </c>
      <c r="D140" s="1" t="n">
        <v>0.05</v>
      </c>
      <c r="E140" s="15" t="n">
        <v>12</v>
      </c>
      <c r="F140" s="15" t="n">
        <v>117</v>
      </c>
      <c r="G140" s="15" t="n">
        <v>3</v>
      </c>
      <c r="H140" s="16">
        <f>G140/F140</f>
        <v/>
      </c>
      <c r="I140" s="16">
        <f>G140/E140</f>
        <v/>
      </c>
      <c r="J140" s="17" t="n">
        <v>24</v>
      </c>
      <c r="K140" s="17" t="n">
        <v>911</v>
      </c>
      <c r="L140" s="17" t="n">
        <v>15</v>
      </c>
      <c r="M140" s="16">
        <f>L140/K140</f>
        <v/>
      </c>
      <c r="N140" s="16">
        <f>L140/J140</f>
        <v/>
      </c>
      <c r="O140" s="18" t="n">
        <v>9</v>
      </c>
      <c r="P140" s="18" t="n">
        <v>0</v>
      </c>
      <c r="Q140" s="16">
        <f>P140/O140</f>
        <v/>
      </c>
      <c r="R140" s="1" t="n">
        <v>1124</v>
      </c>
      <c r="S140" s="1" t="n">
        <v>18</v>
      </c>
      <c r="T140" s="1" t="n">
        <v>4</v>
      </c>
      <c r="U140" s="1" t="n">
        <v>15</v>
      </c>
      <c r="V140" s="1" t="n">
        <v>17</v>
      </c>
      <c r="W140" s="1" t="n">
        <v>7</v>
      </c>
      <c r="X140" s="1" t="n">
        <v>2</v>
      </c>
      <c r="Y140" s="1" t="n">
        <v>4</v>
      </c>
      <c r="Z140" s="1" t="n">
        <v>19</v>
      </c>
      <c r="AA140" s="1" t="n">
        <v>1</v>
      </c>
      <c r="AB140" s="1" t="n">
        <v>1</v>
      </c>
      <c r="AC140" s="1" t="n">
        <v>8</v>
      </c>
      <c r="AD140" s="1" t="n">
        <v>3</v>
      </c>
      <c r="AE140" s="1" t="n">
        <v>7</v>
      </c>
      <c r="AF140" s="1" t="n">
        <v>1</v>
      </c>
      <c r="AG140" s="1" t="n">
        <v>0</v>
      </c>
      <c r="AH140" s="1" t="n">
        <v>1</v>
      </c>
      <c r="AI140" s="1" t="n">
        <v>0</v>
      </c>
      <c r="AJ140" s="1" t="n">
        <v>0</v>
      </c>
      <c r="AK140" s="1" t="n">
        <v>0</v>
      </c>
      <c r="AL140" s="1" t="n">
        <v>2</v>
      </c>
      <c r="AM140" s="1" t="n">
        <v>1</v>
      </c>
    </row>
    <row r="141">
      <c r="A141" s="1" t="inlineStr">
        <is>
          <t>skin squamous cell carcinoma</t>
        </is>
      </c>
      <c r="B141" s="1" t="inlineStr">
        <is>
          <t>MONDO_0002529</t>
        </is>
      </c>
      <c r="C141" s="1" t="inlineStr">
        <is>
          <t>name</t>
        </is>
      </c>
      <c r="D141" s="1" t="n">
        <v>0.05</v>
      </c>
      <c r="E141" s="15" t="n">
        <v>2</v>
      </c>
      <c r="F141" s="15" t="n">
        <v>328</v>
      </c>
      <c r="G141" s="15" t="n">
        <v>2</v>
      </c>
      <c r="H141" s="16">
        <f>G141/F141</f>
        <v/>
      </c>
      <c r="I141" s="16">
        <f>G141/E141</f>
        <v/>
      </c>
      <c r="J141" s="17" t="n">
        <v>0</v>
      </c>
      <c r="K141" s="17" t="n">
        <v>358</v>
      </c>
      <c r="L141" s="17" t="n">
        <v>0</v>
      </c>
      <c r="M141" s="16">
        <f>L141/K141</f>
        <v/>
      </c>
      <c r="N141" s="16">
        <f>L141/J141</f>
        <v/>
      </c>
      <c r="O141" s="18" t="n">
        <v>16</v>
      </c>
      <c r="P141" s="18" t="n">
        <v>0</v>
      </c>
      <c r="Q141" s="16">
        <f>P141/O141</f>
        <v/>
      </c>
      <c r="R141" s="1" t="n">
        <v>76</v>
      </c>
      <c r="S141" s="1" t="n">
        <v>2</v>
      </c>
      <c r="T141" s="1" t="n">
        <v>0</v>
      </c>
      <c r="U141" s="1" t="n">
        <v>1</v>
      </c>
      <c r="V141" s="1" t="n">
        <v>2</v>
      </c>
      <c r="W141" s="1" t="n">
        <v>0</v>
      </c>
      <c r="X141" s="1" t="n">
        <v>0</v>
      </c>
      <c r="Y141" s="1" t="n">
        <v>1</v>
      </c>
      <c r="Z141" s="1" t="n">
        <v>2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5</v>
      </c>
      <c r="AK141" s="1" t="n">
        <v>4</v>
      </c>
      <c r="AL141" s="1" t="n">
        <v>6</v>
      </c>
      <c r="AM141" s="1" t="n">
        <v>0</v>
      </c>
    </row>
    <row r="142">
      <c r="A142" s="1" t="inlineStr">
        <is>
          <t>swine influenza</t>
        </is>
      </c>
      <c r="B142" s="1" t="inlineStr">
        <is>
          <t>EFO_0005226</t>
        </is>
      </c>
      <c r="C142" s="1" t="inlineStr">
        <is>
          <t>name</t>
        </is>
      </c>
      <c r="D142" s="1" t="n">
        <v>0.05</v>
      </c>
      <c r="E142" s="15" t="n">
        <v>0</v>
      </c>
      <c r="F142" s="15" t="n">
        <v>310</v>
      </c>
      <c r="G142" s="15" t="n">
        <v>0</v>
      </c>
      <c r="H142" s="16">
        <f>G142/F142</f>
        <v/>
      </c>
      <c r="I142" s="16">
        <f>G142/E142</f>
        <v/>
      </c>
      <c r="J142" s="17" t="n">
        <v>0</v>
      </c>
      <c r="K142" s="17" t="n">
        <v>1</v>
      </c>
      <c r="L142" s="17" t="n">
        <v>0</v>
      </c>
      <c r="M142" s="16">
        <f>L142/K142</f>
        <v/>
      </c>
      <c r="N142" s="16">
        <f>L142/J142</f>
        <v/>
      </c>
      <c r="O142" s="18" t="n">
        <v>0</v>
      </c>
      <c r="P142" s="18" t="n">
        <v>0</v>
      </c>
      <c r="Q142" s="16">
        <f>P142/O142</f>
        <v/>
      </c>
      <c r="R142" s="1" t="n">
        <v>6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</row>
    <row r="143">
      <c r="A143" s="1" t="inlineStr">
        <is>
          <t>tendinitis</t>
        </is>
      </c>
      <c r="B143" s="1" t="inlineStr">
        <is>
          <t>MONDO_0004857</t>
        </is>
      </c>
      <c r="C143" s="1" t="inlineStr">
        <is>
          <t>name</t>
        </is>
      </c>
      <c r="D143" s="1" t="n">
        <v>0.05</v>
      </c>
      <c r="E143" s="15" t="n">
        <v>1</v>
      </c>
      <c r="F143" s="15" t="n">
        <v>73</v>
      </c>
      <c r="G143" s="15" t="n">
        <v>0</v>
      </c>
      <c r="H143" s="16">
        <f>G143/F143</f>
        <v/>
      </c>
      <c r="I143" s="16">
        <f>G143/E143</f>
        <v/>
      </c>
      <c r="J143" s="17" t="n">
        <v>2</v>
      </c>
      <c r="K143" s="17" t="n">
        <v>88</v>
      </c>
      <c r="L143" s="17" t="n">
        <v>0</v>
      </c>
      <c r="M143" s="16">
        <f>L143/K143</f>
        <v/>
      </c>
      <c r="N143" s="16">
        <f>L143/J143</f>
        <v/>
      </c>
      <c r="O143" s="18" t="n">
        <v>0</v>
      </c>
      <c r="P143" s="18" t="n">
        <v>0</v>
      </c>
      <c r="Q143" s="16">
        <f>P143/O143</f>
        <v/>
      </c>
      <c r="R143" s="1" t="n">
        <v>203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</row>
    <row r="144">
      <c r="A144" s="1" t="inlineStr">
        <is>
          <t>Turner syndrome</t>
        </is>
      </c>
      <c r="B144" s="1" t="inlineStr">
        <is>
          <t>MONDO_0019499</t>
        </is>
      </c>
      <c r="C144" s="1" t="inlineStr">
        <is>
          <t>name</t>
        </is>
      </c>
      <c r="D144" s="1" t="n">
        <v>0.05</v>
      </c>
      <c r="E144" s="15" t="n">
        <v>1</v>
      </c>
      <c r="F144" s="15" t="n">
        <v>147</v>
      </c>
      <c r="G144" s="15" t="n">
        <v>1</v>
      </c>
      <c r="H144" s="16">
        <f>G144/F144</f>
        <v/>
      </c>
      <c r="I144" s="16">
        <f>G144/E144</f>
        <v/>
      </c>
      <c r="J144" s="17" t="n">
        <v>1</v>
      </c>
      <c r="K144" s="17" t="n">
        <v>239</v>
      </c>
      <c r="L144" s="17" t="n">
        <v>1</v>
      </c>
      <c r="M144" s="16">
        <f>L144/K144</f>
        <v/>
      </c>
      <c r="N144" s="16">
        <f>L144/J144</f>
        <v/>
      </c>
      <c r="O144" s="18" t="n">
        <v>4</v>
      </c>
      <c r="P144" s="18" t="n">
        <v>0</v>
      </c>
      <c r="Q144" s="16">
        <f>P144/O144</f>
        <v/>
      </c>
      <c r="R144" s="1" t="n">
        <v>226</v>
      </c>
      <c r="S144" s="1" t="n">
        <v>2</v>
      </c>
      <c r="T144" s="1" t="n">
        <v>0</v>
      </c>
      <c r="U144" s="1" t="n">
        <v>1</v>
      </c>
      <c r="V144" s="1" t="n">
        <v>0</v>
      </c>
      <c r="W144" s="1" t="n">
        <v>2</v>
      </c>
      <c r="X144" s="1" t="n">
        <v>0</v>
      </c>
      <c r="Y144" s="1" t="n">
        <v>0</v>
      </c>
      <c r="Z144" s="1" t="n">
        <v>2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1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4</v>
      </c>
      <c r="AK144" s="1" t="n">
        <v>0</v>
      </c>
      <c r="AL144" s="1" t="n">
        <v>0</v>
      </c>
      <c r="AM144" s="1" t="n">
        <v>1</v>
      </c>
    </row>
    <row r="145">
      <c r="A145" s="1" t="inlineStr">
        <is>
          <t>type 1 diabetes mellitus</t>
        </is>
      </c>
      <c r="B145" s="1" t="inlineStr">
        <is>
          <t>MONDO_0005147</t>
        </is>
      </c>
      <c r="C145" s="1" t="inlineStr">
        <is>
          <t>name</t>
        </is>
      </c>
      <c r="D145" s="1" t="n">
        <v>0.05</v>
      </c>
      <c r="E145" s="15" t="n">
        <v>12</v>
      </c>
      <c r="F145" s="15" t="n">
        <v>178</v>
      </c>
      <c r="G145" s="15" t="n">
        <v>2</v>
      </c>
      <c r="H145" s="16">
        <f>G145/F145</f>
        <v/>
      </c>
      <c r="I145" s="16">
        <f>G145/E145</f>
        <v/>
      </c>
      <c r="J145" s="17" t="n">
        <v>31</v>
      </c>
      <c r="K145" s="17" t="n">
        <v>201</v>
      </c>
      <c r="L145" s="17" t="n">
        <v>8</v>
      </c>
      <c r="M145" s="16">
        <f>L145/K145</f>
        <v/>
      </c>
      <c r="N145" s="16">
        <f>L145/J145</f>
        <v/>
      </c>
      <c r="O145" s="18" t="n">
        <v>3</v>
      </c>
      <c r="P145" s="18" t="n">
        <v>0</v>
      </c>
      <c r="Q145" s="16">
        <f>P145/O145</f>
        <v/>
      </c>
      <c r="R145" s="1" t="n">
        <v>1788</v>
      </c>
      <c r="S145" s="1" t="n">
        <v>10</v>
      </c>
      <c r="T145" s="1" t="n">
        <v>1</v>
      </c>
      <c r="U145" s="1" t="n">
        <v>4</v>
      </c>
      <c r="V145" s="1" t="n">
        <v>13</v>
      </c>
      <c r="W145" s="1" t="n">
        <v>7</v>
      </c>
      <c r="X145" s="1" t="n">
        <v>0</v>
      </c>
      <c r="Y145" s="1" t="n">
        <v>0</v>
      </c>
      <c r="Z145" s="1" t="n">
        <v>16</v>
      </c>
      <c r="AA145" s="1" t="n">
        <v>1</v>
      </c>
      <c r="AB145" s="1" t="n">
        <v>1</v>
      </c>
      <c r="AC145" s="1" t="n">
        <v>2</v>
      </c>
      <c r="AD145" s="1" t="n">
        <v>0</v>
      </c>
      <c r="AE145" s="1" t="n">
        <v>3</v>
      </c>
      <c r="AF145" s="1" t="n">
        <v>0</v>
      </c>
      <c r="AG145" s="1" t="n">
        <v>0</v>
      </c>
      <c r="AH145" s="1" t="n">
        <v>2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</row>
    <row r="146">
      <c r="A146" s="1" t="inlineStr">
        <is>
          <t>ulcerative colitis</t>
        </is>
      </c>
      <c r="B146" s="1" t="inlineStr">
        <is>
          <t>EFO_0000729</t>
        </is>
      </c>
      <c r="C146" s="1" t="inlineStr">
        <is>
          <t>name</t>
        </is>
      </c>
      <c r="D146" s="1" t="n">
        <v>0.05</v>
      </c>
      <c r="E146" s="15" t="n">
        <v>10</v>
      </c>
      <c r="F146" s="15" t="n">
        <v>207</v>
      </c>
      <c r="G146" s="15" t="n">
        <v>5</v>
      </c>
      <c r="H146" s="16">
        <f>G146/F146</f>
        <v/>
      </c>
      <c r="I146" s="16">
        <f>G146/E146</f>
        <v/>
      </c>
      <c r="J146" s="17" t="n">
        <v>24</v>
      </c>
      <c r="K146" s="17" t="n">
        <v>68</v>
      </c>
      <c r="L146" s="17" t="n">
        <v>3</v>
      </c>
      <c r="M146" s="16">
        <f>L146/K146</f>
        <v/>
      </c>
      <c r="N146" s="16">
        <f>L146/J146</f>
        <v/>
      </c>
      <c r="O146" s="18" t="n">
        <v>1</v>
      </c>
      <c r="P146" s="18" t="n">
        <v>0</v>
      </c>
      <c r="Q146" s="16">
        <f>P146/O146</f>
        <v/>
      </c>
      <c r="R146" s="1" t="n">
        <v>1192</v>
      </c>
      <c r="S146" s="1" t="n">
        <v>8</v>
      </c>
      <c r="T146" s="1" t="n">
        <v>0</v>
      </c>
      <c r="U146" s="1" t="n">
        <v>6</v>
      </c>
      <c r="V146" s="1" t="n">
        <v>11</v>
      </c>
      <c r="W146" s="1" t="n">
        <v>9</v>
      </c>
      <c r="X146" s="1" t="n">
        <v>9</v>
      </c>
      <c r="Y146" s="1" t="n">
        <v>2</v>
      </c>
      <c r="Z146" s="1" t="n">
        <v>9</v>
      </c>
      <c r="AA146" s="1" t="n">
        <v>0</v>
      </c>
      <c r="AB146" s="1" t="n">
        <v>5</v>
      </c>
      <c r="AC146" s="1" t="n">
        <v>4</v>
      </c>
      <c r="AD146" s="1" t="n">
        <v>0</v>
      </c>
      <c r="AE146" s="1" t="n">
        <v>5</v>
      </c>
      <c r="AF146" s="1" t="n">
        <v>4</v>
      </c>
      <c r="AG146" s="1" t="n">
        <v>6</v>
      </c>
      <c r="AH146" s="1" t="n">
        <v>0</v>
      </c>
      <c r="AI146" s="1" t="n">
        <v>1</v>
      </c>
      <c r="AJ146" s="1" t="n">
        <v>4</v>
      </c>
      <c r="AK146" s="1" t="n">
        <v>4</v>
      </c>
      <c r="AL146" s="1" t="n">
        <v>3</v>
      </c>
      <c r="AM146" s="1" t="n">
        <v>2</v>
      </c>
    </row>
    <row r="147">
      <c r="A147" s="1" t="inlineStr">
        <is>
          <t>urticaria</t>
        </is>
      </c>
      <c r="B147" s="1" t="inlineStr">
        <is>
          <t>EFO_0005531</t>
        </is>
      </c>
      <c r="C147" s="1" t="inlineStr">
        <is>
          <t>name</t>
        </is>
      </c>
      <c r="D147" s="1" t="n">
        <v>0.05</v>
      </c>
      <c r="E147" s="15" t="n">
        <v>4</v>
      </c>
      <c r="F147" s="15" t="n">
        <v>76</v>
      </c>
      <c r="G147" s="15" t="n">
        <v>0</v>
      </c>
      <c r="H147" s="16">
        <f>G147/F147</f>
        <v/>
      </c>
      <c r="I147" s="16">
        <f>G147/E147</f>
        <v/>
      </c>
      <c r="J147" s="17" t="n">
        <v>9</v>
      </c>
      <c r="K147" s="17" t="n">
        <v>841</v>
      </c>
      <c r="L147" s="17" t="n">
        <v>6</v>
      </c>
      <c r="M147" s="16">
        <f>L147/K147</f>
        <v/>
      </c>
      <c r="N147" s="16">
        <f>L147/J147</f>
        <v/>
      </c>
      <c r="O147" s="18" t="n">
        <v>3</v>
      </c>
      <c r="P147" s="18" t="n">
        <v>0</v>
      </c>
      <c r="Q147" s="16">
        <f>P147/O147</f>
        <v/>
      </c>
      <c r="R147" s="1" t="n">
        <v>527</v>
      </c>
      <c r="S147" s="1" t="n">
        <v>6</v>
      </c>
      <c r="T147" s="1" t="n">
        <v>0</v>
      </c>
      <c r="U147" s="1" t="n">
        <v>4</v>
      </c>
      <c r="V147" s="1" t="n">
        <v>2</v>
      </c>
      <c r="W147" s="1" t="n">
        <v>5</v>
      </c>
      <c r="X147" s="1" t="n">
        <v>1</v>
      </c>
      <c r="Y147" s="1" t="n">
        <v>0</v>
      </c>
      <c r="Z147" s="1" t="n">
        <v>7</v>
      </c>
      <c r="AA147" s="1" t="n">
        <v>0</v>
      </c>
      <c r="AB147" s="1" t="n">
        <v>0</v>
      </c>
      <c r="AC147" s="1" t="n">
        <v>2</v>
      </c>
      <c r="AD147" s="1" t="n">
        <v>0</v>
      </c>
      <c r="AE147" s="1" t="n">
        <v>1</v>
      </c>
      <c r="AF147" s="1" t="n">
        <v>1</v>
      </c>
      <c r="AG147" s="1" t="n">
        <v>1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1</v>
      </c>
      <c r="AM147" s="1" t="n">
        <v>0</v>
      </c>
    </row>
    <row r="148">
      <c r="A148" s="1" t="inlineStr">
        <is>
          <t>uterine fibroid</t>
        </is>
      </c>
      <c r="B148" s="1" t="inlineStr">
        <is>
          <t>EFO_0000731</t>
        </is>
      </c>
      <c r="C148" s="1" t="inlineStr">
        <is>
          <t>name</t>
        </is>
      </c>
      <c r="D148" s="1" t="n">
        <v>0.05</v>
      </c>
      <c r="E148" s="15" t="n">
        <v>3</v>
      </c>
      <c r="F148" s="15" t="n">
        <v>116</v>
      </c>
      <c r="G148" s="15" t="n">
        <v>0</v>
      </c>
      <c r="H148" s="16">
        <f>G148/F148</f>
        <v/>
      </c>
      <c r="I148" s="16">
        <f>G148/E148</f>
        <v/>
      </c>
      <c r="J148" s="17" t="n">
        <v>7</v>
      </c>
      <c r="K148" s="17" t="n">
        <v>347</v>
      </c>
      <c r="L148" s="17" t="n">
        <v>3</v>
      </c>
      <c r="M148" s="16">
        <f>L148/K148</f>
        <v/>
      </c>
      <c r="N148" s="16">
        <f>L148/J148</f>
        <v/>
      </c>
      <c r="O148" s="18" t="n">
        <v>4</v>
      </c>
      <c r="P148" s="18" t="n">
        <v>0</v>
      </c>
      <c r="Q148" s="16">
        <f>P148/O148</f>
        <v/>
      </c>
      <c r="R148" s="1" t="n">
        <v>275</v>
      </c>
      <c r="S148" s="1" t="n">
        <v>3</v>
      </c>
      <c r="T148" s="1" t="n">
        <v>0</v>
      </c>
      <c r="U148" s="1" t="n">
        <v>2</v>
      </c>
      <c r="V148" s="1" t="n">
        <v>2</v>
      </c>
      <c r="W148" s="1" t="n">
        <v>1</v>
      </c>
      <c r="X148" s="1" t="n">
        <v>0</v>
      </c>
      <c r="Y148" s="1" t="n">
        <v>0</v>
      </c>
      <c r="Z148" s="1" t="n">
        <v>4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1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</row>
    <row r="149">
      <c r="A149" s="1" t="inlineStr">
        <is>
          <t>Venezuelan equine encephalitis</t>
        </is>
      </c>
      <c r="B149" s="1" t="inlineStr">
        <is>
          <t>EFO_0007534</t>
        </is>
      </c>
      <c r="C149" s="1" t="inlineStr">
        <is>
          <t>name</t>
        </is>
      </c>
      <c r="D149" s="1" t="n">
        <v>0.05</v>
      </c>
      <c r="E149" s="15" t="n">
        <v>0</v>
      </c>
      <c r="F149" s="15" t="n">
        <v>111</v>
      </c>
      <c r="G149" s="15" t="n">
        <v>0</v>
      </c>
      <c r="H149" s="16">
        <f>G149/F149</f>
        <v/>
      </c>
      <c r="I149" s="16">
        <f>G149/E149</f>
        <v/>
      </c>
      <c r="J149" s="17" t="n">
        <v>0</v>
      </c>
      <c r="K149" s="17" t="n">
        <v>0</v>
      </c>
      <c r="L149" s="17" t="n">
        <v>0</v>
      </c>
      <c r="M149" s="16">
        <f>L149/K149</f>
        <v/>
      </c>
      <c r="N149" s="16">
        <f>L149/J149</f>
        <v/>
      </c>
      <c r="O149" s="18" t="n">
        <v>0</v>
      </c>
      <c r="P149" s="18" t="n">
        <v>0</v>
      </c>
      <c r="Q149" s="16">
        <f>P149/O149</f>
        <v/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6</v>
      </c>
      <c r="AK149" s="1" t="n">
        <v>0</v>
      </c>
      <c r="AL149" s="1" t="n">
        <v>1</v>
      </c>
      <c r="AM149" s="1" t="n">
        <v>1</v>
      </c>
    </row>
    <row r="150">
      <c r="A150" s="1" t="inlineStr">
        <is>
          <t>Viral cardiomyopathy</t>
        </is>
      </c>
      <c r="B150" s="1" t="inlineStr">
        <is>
          <t>EFO_0002629</t>
        </is>
      </c>
      <c r="C150" s="1" t="inlineStr">
        <is>
          <t>name</t>
        </is>
      </c>
      <c r="D150" s="1" t="n">
        <v>0.05</v>
      </c>
      <c r="E150" s="15" t="n">
        <v>0</v>
      </c>
      <c r="F150" s="15" t="n">
        <v>33</v>
      </c>
      <c r="G150" s="15" t="n">
        <v>0</v>
      </c>
      <c r="H150" s="16">
        <f>G150/F150</f>
        <v/>
      </c>
      <c r="I150" s="16">
        <f>G150/E150</f>
        <v/>
      </c>
      <c r="J150" s="17" t="n">
        <v>0</v>
      </c>
      <c r="K150" s="17" t="n">
        <v>935</v>
      </c>
      <c r="L150" s="17" t="n">
        <v>0</v>
      </c>
      <c r="M150" s="16">
        <f>L150/K150</f>
        <v/>
      </c>
      <c r="N150" s="16">
        <f>L150/J150</f>
        <v/>
      </c>
      <c r="O150" s="18" t="n">
        <v>7</v>
      </c>
      <c r="P150" s="18" t="n">
        <v>0</v>
      </c>
      <c r="Q150" s="16">
        <f>P150/O150</f>
        <v/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4</v>
      </c>
      <c r="AK150" s="1" t="n">
        <v>1</v>
      </c>
      <c r="AL150" s="1" t="n">
        <v>3</v>
      </c>
      <c r="AM150" s="1" t="n">
        <v>2</v>
      </c>
    </row>
    <row r="151">
      <c r="A151" s="1" t="inlineStr">
        <is>
          <t>Waldenstrom Macroglobulinemia</t>
        </is>
      </c>
      <c r="B151" s="1" t="inlineStr">
        <is>
          <t>EFO_0009441</t>
        </is>
      </c>
      <c r="C151" s="1" t="inlineStr">
        <is>
          <t>name</t>
        </is>
      </c>
      <c r="D151" s="1" t="n">
        <v>0.05</v>
      </c>
      <c r="E151" s="15" t="n">
        <v>13</v>
      </c>
      <c r="F151" s="15" t="n">
        <v>275</v>
      </c>
      <c r="G151" s="15" t="n">
        <v>5</v>
      </c>
      <c r="H151" s="16">
        <f>G151/F151</f>
        <v/>
      </c>
      <c r="I151" s="16">
        <f>G151/E151</f>
        <v/>
      </c>
      <c r="J151" s="17" t="n">
        <v>8</v>
      </c>
      <c r="K151" s="17" t="n">
        <v>498</v>
      </c>
      <c r="L151" s="17" t="n">
        <v>3</v>
      </c>
      <c r="M151" s="16">
        <f>L151/K151</f>
        <v/>
      </c>
      <c r="N151" s="16">
        <f>L151/J151</f>
        <v/>
      </c>
      <c r="O151" s="18" t="n">
        <v>23</v>
      </c>
      <c r="P151" s="18" t="n">
        <v>0</v>
      </c>
      <c r="Q151" s="16">
        <f>P151/O151</f>
        <v/>
      </c>
      <c r="R151" s="1" t="n">
        <v>560</v>
      </c>
      <c r="S151" s="1" t="n">
        <v>8</v>
      </c>
      <c r="T151" s="1" t="n">
        <v>0</v>
      </c>
      <c r="U151" s="1" t="n">
        <v>4</v>
      </c>
      <c r="V151" s="1" t="n">
        <v>8</v>
      </c>
      <c r="W151" s="1" t="n">
        <v>1</v>
      </c>
      <c r="X151" s="1" t="n">
        <v>0</v>
      </c>
      <c r="Y151" s="1" t="n">
        <v>0</v>
      </c>
      <c r="Z151" s="1" t="n">
        <v>9</v>
      </c>
      <c r="AA151" s="1" t="n">
        <v>0</v>
      </c>
      <c r="AB151" s="1" t="n">
        <v>1</v>
      </c>
      <c r="AC151" s="1" t="n">
        <v>1</v>
      </c>
      <c r="AD151" s="1" t="n">
        <v>0</v>
      </c>
      <c r="AE151" s="1" t="n">
        <v>2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</row>
    <row r="152">
      <c r="A152" s="1" t="inlineStr">
        <is>
          <t>West Nile fever</t>
        </is>
      </c>
      <c r="B152" s="1" t="inlineStr">
        <is>
          <t>MONDO_0002282</t>
        </is>
      </c>
      <c r="C152" s="1" t="inlineStr">
        <is>
          <t>name</t>
        </is>
      </c>
      <c r="D152" s="1" t="n">
        <v>0.05</v>
      </c>
      <c r="E152" s="15" t="n">
        <v>0</v>
      </c>
      <c r="F152" s="15" t="n">
        <v>189</v>
      </c>
      <c r="G152" s="15" t="n">
        <v>0</v>
      </c>
      <c r="H152" s="16">
        <f>G152/F152</f>
        <v/>
      </c>
      <c r="I152" s="16">
        <f>G152/E152</f>
        <v/>
      </c>
      <c r="J152" s="17" t="n">
        <v>0</v>
      </c>
      <c r="K152" s="17" t="n">
        <v>4</v>
      </c>
      <c r="L152" s="17" t="n">
        <v>0</v>
      </c>
      <c r="M152" s="16">
        <f>L152/K152</f>
        <v/>
      </c>
      <c r="N152" s="16">
        <f>L152/J152</f>
        <v/>
      </c>
      <c r="O152" s="18" t="n">
        <v>0</v>
      </c>
      <c r="P152" s="18" t="n">
        <v>0</v>
      </c>
      <c r="Q152" s="16">
        <f>P152/O152</f>
        <v/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4</v>
      </c>
      <c r="AK152" s="1" t="n">
        <v>1</v>
      </c>
      <c r="AL152" s="1" t="n">
        <v>0</v>
      </c>
      <c r="AM152" s="1" t="n">
        <v>0</v>
      </c>
    </row>
    <row r="153">
      <c r="A153" s="14" t="inlineStr">
        <is>
          <t>Average</t>
        </is>
      </c>
      <c r="B153" s="14" t="n"/>
      <c r="C153" s="14" t="n"/>
      <c r="D153" s="14" t="n"/>
      <c r="E153" s="14">
        <f>AVERAGE(E2:E152)</f>
        <v/>
      </c>
      <c r="F153" s="14">
        <f>AVERAGE(F2:F152)</f>
        <v/>
      </c>
      <c r="G153" s="14">
        <f>AVERAGE(G2:G152)</f>
        <v/>
      </c>
      <c r="H153" s="14">
        <f>AVERAGE(H2:H152)</f>
        <v/>
      </c>
      <c r="I153" s="14">
        <f>AVERAGE(I2:I152)</f>
        <v/>
      </c>
      <c r="J153" s="14">
        <f>AVERAGE(J2:J152)</f>
        <v/>
      </c>
      <c r="K153" s="14">
        <f>AVERAGE(K2:K152)</f>
        <v/>
      </c>
      <c r="L153" s="14">
        <f>AVERAGE(L2:L152)</f>
        <v/>
      </c>
      <c r="M153" s="14">
        <f>AVERAGE(M2:M152)</f>
        <v/>
      </c>
      <c r="N153" s="14">
        <f>AVERAGE(N2:N152)</f>
        <v/>
      </c>
      <c r="O153" s="14">
        <f>AVERAGE(O2:O152)</f>
        <v/>
      </c>
      <c r="P153" s="14">
        <f>AVERAGE(P2:P152)</f>
        <v/>
      </c>
      <c r="Q153" s="14">
        <f>AVERAGE(Q2:Q152)</f>
        <v/>
      </c>
      <c r="R153" s="14">
        <f>AVERAGE(R2:R152)</f>
        <v/>
      </c>
      <c r="S153" s="14">
        <f>AVERAGE(S2:S152)</f>
        <v/>
      </c>
      <c r="T153" s="14">
        <f>AVERAGE(T2:T152)</f>
        <v/>
      </c>
      <c r="U153" s="14">
        <f>AVERAGE(U2:U152)</f>
        <v/>
      </c>
      <c r="V153" s="14">
        <f>AVERAGE(V2:V152)</f>
        <v/>
      </c>
      <c r="W153" s="14">
        <f>AVERAGE(W2:W152)</f>
        <v/>
      </c>
      <c r="X153" s="14">
        <f>AVERAGE(X2:X152)</f>
        <v/>
      </c>
      <c r="Y153" s="14">
        <f>AVERAGE(Y2:Y152)</f>
        <v/>
      </c>
      <c r="Z153" s="14">
        <f>AVERAGE(Z2:Z152)</f>
        <v/>
      </c>
      <c r="AA153" s="14">
        <f>AVERAGE(AA2:AA152)</f>
        <v/>
      </c>
      <c r="AB153" s="14">
        <f>AVERAGE(AB2:AB152)</f>
        <v/>
      </c>
      <c r="AC153" s="14">
        <f>AVERAGE(AC2:AC152)</f>
        <v/>
      </c>
      <c r="AD153" s="14">
        <f>AVERAGE(AD2:AD152)</f>
        <v/>
      </c>
      <c r="AE153" s="14">
        <f>AVERAGE(AE2:AE152)</f>
        <v/>
      </c>
      <c r="AF153" s="14">
        <f>AVERAGE(AF2:AF152)</f>
        <v/>
      </c>
      <c r="AG153" s="14">
        <f>AVERAGE(AG2:AG152)</f>
        <v/>
      </c>
      <c r="AH153" s="14">
        <f>AVERAGE(AH2:AH152)</f>
        <v/>
      </c>
      <c r="AI153" s="14">
        <f>AVERAGE(AI2:AI152)</f>
        <v/>
      </c>
      <c r="AJ153" s="14">
        <f>AVERAGE(AJ2:AJ152)</f>
        <v/>
      </c>
      <c r="AK153" s="14">
        <f>AVERAGE(AK2:AK152)</f>
        <v/>
      </c>
      <c r="AL153" s="14">
        <f>AVERAGE(AL2:AL152)</f>
        <v/>
      </c>
      <c r="AM153" s="14">
        <f>AVERAGE(AM2:AM152)</f>
        <v/>
      </c>
    </row>
    <row r="154">
      <c r="E154" s="15" t="n"/>
      <c r="F154" s="15" t="n"/>
      <c r="G154" s="15" t="n"/>
      <c r="H154" s="16" t="n"/>
      <c r="I154" s="16" t="n"/>
      <c r="J154" s="17" t="n"/>
      <c r="K154" s="17" t="n"/>
      <c r="L154" s="17" t="n"/>
      <c r="M154" s="16" t="n"/>
      <c r="N154" s="16" t="n"/>
      <c r="O154" s="18" t="n"/>
      <c r="P154" s="18" t="n"/>
      <c r="Q154" s="16" t="n"/>
    </row>
    <row r="155">
      <c r="E155" s="15" t="n"/>
      <c r="F155" s="15" t="n"/>
      <c r="G155" s="15" t="n"/>
      <c r="H155" s="16" t="n"/>
      <c r="I155" s="16" t="n"/>
      <c r="J155" s="17" t="n"/>
      <c r="K155" s="17" t="n"/>
      <c r="L155" s="17" t="n"/>
      <c r="M155" s="16" t="n"/>
      <c r="N155" s="16" t="n"/>
      <c r="O155" s="18" t="n"/>
      <c r="P155" s="18" t="n"/>
      <c r="Q155" s="16" t="n"/>
    </row>
    <row r="156">
      <c r="E156" s="15" t="n"/>
      <c r="F156" s="15" t="n"/>
      <c r="G156" s="15" t="n"/>
      <c r="H156" s="16" t="n"/>
      <c r="I156" s="16" t="n"/>
      <c r="J156" s="17" t="n"/>
      <c r="K156" s="17" t="n"/>
      <c r="L156" s="17" t="n"/>
      <c r="M156" s="16" t="n"/>
      <c r="N156" s="16" t="n"/>
      <c r="O156" s="18" t="n"/>
      <c r="P156" s="18" t="n"/>
      <c r="Q156" s="16" t="n"/>
    </row>
    <row r="157">
      <c r="E157" s="15" t="n"/>
      <c r="F157" s="15" t="n"/>
      <c r="G157" s="15" t="n"/>
      <c r="H157" s="16" t="n"/>
      <c r="I157" s="16" t="n"/>
      <c r="J157" s="17" t="n"/>
      <c r="K157" s="17" t="n"/>
      <c r="L157" s="17" t="n"/>
      <c r="M157" s="16" t="n"/>
      <c r="N157" s="16" t="n"/>
      <c r="O157" s="18" t="n"/>
      <c r="P157" s="18" t="n"/>
      <c r="Q157" s="16" t="n"/>
    </row>
    <row r="158">
      <c r="E158" s="15" t="n"/>
      <c r="F158" s="15" t="n"/>
      <c r="G158" s="15" t="n"/>
      <c r="H158" s="16" t="n"/>
      <c r="I158" s="16" t="n"/>
      <c r="J158" s="17" t="n"/>
      <c r="K158" s="17" t="n"/>
      <c r="L158" s="17" t="n"/>
      <c r="M158" s="16" t="n"/>
      <c r="N158" s="16" t="n"/>
      <c r="O158" s="18" t="n"/>
      <c r="P158" s="18" t="n"/>
      <c r="Q158" s="16" t="n"/>
    </row>
    <row r="159">
      <c r="E159" s="15" t="n"/>
      <c r="F159" s="15" t="n"/>
      <c r="G159" s="15" t="n"/>
      <c r="H159" s="16" t="n"/>
      <c r="I159" s="16" t="n"/>
      <c r="J159" s="17" t="n"/>
      <c r="K159" s="17" t="n"/>
      <c r="L159" s="17" t="n"/>
      <c r="M159" s="16" t="n"/>
      <c r="N159" s="16" t="n"/>
      <c r="O159" s="18" t="n"/>
      <c r="P159" s="18" t="n"/>
      <c r="Q159" s="16" t="n"/>
    </row>
    <row r="160">
      <c r="E160" s="15" t="n"/>
      <c r="F160" s="15" t="n"/>
      <c r="G160" s="15" t="n"/>
      <c r="H160" s="16" t="n"/>
      <c r="I160" s="16" t="n"/>
      <c r="J160" s="17" t="n"/>
      <c r="K160" s="17" t="n"/>
      <c r="L160" s="17" t="n"/>
      <c r="M160" s="16" t="n"/>
      <c r="N160" s="16" t="n"/>
      <c r="O160" s="18" t="n"/>
      <c r="P160" s="18" t="n"/>
      <c r="Q160" s="16" t="n"/>
    </row>
    <row r="161">
      <c r="E161" s="15" t="n"/>
      <c r="F161" s="15" t="n"/>
      <c r="G161" s="15" t="n"/>
      <c r="H161" s="16" t="n"/>
      <c r="I161" s="16" t="n"/>
      <c r="J161" s="17" t="n"/>
      <c r="K161" s="17" t="n"/>
      <c r="L161" s="17" t="n"/>
      <c r="M161" s="16" t="n"/>
      <c r="N161" s="16" t="n"/>
      <c r="O161" s="18" t="n"/>
      <c r="P161" s="18" t="n"/>
      <c r="Q161" s="16" t="n"/>
    </row>
    <row r="162">
      <c r="E162" s="15" t="n"/>
      <c r="F162" s="15" t="n"/>
      <c r="G162" s="15" t="n"/>
      <c r="H162" s="16" t="n"/>
      <c r="I162" s="16" t="n"/>
      <c r="J162" s="17" t="n"/>
      <c r="K162" s="17" t="n"/>
      <c r="L162" s="17" t="n"/>
      <c r="M162" s="16" t="n"/>
      <c r="N162" s="16" t="n"/>
      <c r="O162" s="18" t="n"/>
      <c r="P162" s="18" t="n"/>
      <c r="Q162" s="16" t="n"/>
    </row>
    <row r="163">
      <c r="E163" s="15" t="n"/>
      <c r="F163" s="15" t="n"/>
      <c r="G163" s="15" t="n"/>
      <c r="H163" s="16" t="n"/>
      <c r="I163" s="16" t="n"/>
      <c r="J163" s="17" t="n"/>
      <c r="K163" s="17" t="n"/>
      <c r="L163" s="17" t="n"/>
      <c r="M163" s="16" t="n"/>
      <c r="N163" s="16" t="n"/>
      <c r="O163" s="18" t="n"/>
      <c r="P163" s="18" t="n"/>
      <c r="Q163" s="16" t="n"/>
    </row>
    <row r="164">
      <c r="E164" s="15" t="n"/>
      <c r="F164" s="15" t="n"/>
      <c r="G164" s="15" t="n"/>
      <c r="H164" s="16" t="n"/>
      <c r="I164" s="16" t="n"/>
      <c r="J164" s="17" t="n"/>
      <c r="K164" s="17" t="n"/>
      <c r="L164" s="17" t="n"/>
      <c r="M164" s="16" t="n"/>
      <c r="N164" s="16" t="n"/>
      <c r="O164" s="18" t="n"/>
      <c r="P164" s="18" t="n"/>
      <c r="Q164" s="16" t="n"/>
    </row>
    <row r="165">
      <c r="E165" s="15" t="n"/>
      <c r="F165" s="15" t="n"/>
      <c r="G165" s="15" t="n"/>
      <c r="H165" s="16" t="n"/>
      <c r="I165" s="16" t="n"/>
      <c r="J165" s="17" t="n"/>
      <c r="K165" s="17" t="n"/>
      <c r="L165" s="17" t="n"/>
      <c r="M165" s="16" t="n"/>
      <c r="N165" s="16" t="n"/>
      <c r="O165" s="18" t="n"/>
      <c r="P165" s="18" t="n"/>
      <c r="Q165" s="16" t="n"/>
    </row>
    <row r="166">
      <c r="E166" s="15" t="n"/>
      <c r="F166" s="15" t="n"/>
      <c r="G166" s="15" t="n"/>
      <c r="H166" s="16" t="n"/>
      <c r="I166" s="16" t="n"/>
      <c r="J166" s="17" t="n"/>
      <c r="K166" s="17" t="n"/>
      <c r="L166" s="17" t="n"/>
      <c r="M166" s="16" t="n"/>
      <c r="N166" s="16" t="n"/>
      <c r="O166" s="18" t="n"/>
      <c r="P166" s="18" t="n"/>
      <c r="Q166" s="16" t="n"/>
    </row>
    <row r="167">
      <c r="E167" s="15" t="n"/>
      <c r="F167" s="15" t="n"/>
      <c r="G167" s="15" t="n"/>
      <c r="H167" s="16" t="n"/>
      <c r="I167" s="16" t="n"/>
      <c r="J167" s="17" t="n"/>
      <c r="K167" s="17" t="n"/>
      <c r="L167" s="17" t="n"/>
      <c r="M167" s="16" t="n"/>
      <c r="N167" s="16" t="n"/>
      <c r="O167" s="18" t="n"/>
      <c r="P167" s="18" t="n"/>
      <c r="Q167" s="16" t="n"/>
    </row>
    <row r="168">
      <c r="E168" s="15" t="n"/>
      <c r="F168" s="15" t="n"/>
      <c r="G168" s="15" t="n"/>
      <c r="H168" s="16" t="n"/>
      <c r="I168" s="16" t="n"/>
      <c r="J168" s="17" t="n"/>
      <c r="K168" s="17" t="n"/>
      <c r="L168" s="17" t="n"/>
      <c r="M168" s="16" t="n"/>
      <c r="N168" s="16" t="n"/>
      <c r="O168" s="18" t="n"/>
      <c r="P168" s="18" t="n"/>
      <c r="Q168" s="16" t="n"/>
    </row>
    <row r="169">
      <c r="E169" s="15" t="n"/>
      <c r="F169" s="15" t="n"/>
      <c r="G169" s="15" t="n"/>
      <c r="H169" s="16" t="n"/>
      <c r="I169" s="16" t="n"/>
      <c r="J169" s="17" t="n"/>
      <c r="K169" s="17" t="n"/>
      <c r="L169" s="17" t="n"/>
      <c r="M169" s="16" t="n"/>
      <c r="N169" s="16" t="n"/>
      <c r="O169" s="18" t="n"/>
      <c r="P169" s="18" t="n"/>
      <c r="Q169" s="16" t="n"/>
    </row>
    <row r="170">
      <c r="E170" s="15" t="n"/>
      <c r="F170" s="15" t="n"/>
      <c r="G170" s="15" t="n"/>
      <c r="H170" s="16" t="n"/>
      <c r="I170" s="16" t="n"/>
      <c r="J170" s="17" t="n"/>
      <c r="K170" s="17" t="n"/>
      <c r="L170" s="17" t="n"/>
      <c r="M170" s="16" t="n"/>
      <c r="N170" s="16" t="n"/>
      <c r="O170" s="18" t="n"/>
      <c r="P170" s="18" t="n"/>
      <c r="Q170" s="16" t="n"/>
    </row>
    <row r="171">
      <c r="E171" s="15" t="n"/>
      <c r="F171" s="15" t="n"/>
      <c r="G171" s="15" t="n"/>
      <c r="H171" s="16" t="n"/>
      <c r="I171" s="16" t="n"/>
      <c r="J171" s="17" t="n"/>
      <c r="K171" s="17" t="n"/>
      <c r="L171" s="17" t="n"/>
      <c r="M171" s="16" t="n"/>
      <c r="N171" s="16" t="n"/>
      <c r="O171" s="18" t="n"/>
      <c r="P171" s="18" t="n"/>
      <c r="Q171" s="16" t="n"/>
    </row>
    <row r="172">
      <c r="E172" s="15" t="n"/>
      <c r="F172" s="15" t="n"/>
      <c r="G172" s="15" t="n"/>
      <c r="H172" s="16" t="n"/>
      <c r="I172" s="16" t="n"/>
      <c r="J172" s="17" t="n"/>
      <c r="K172" s="17" t="n"/>
      <c r="L172" s="17" t="n"/>
      <c r="M172" s="16" t="n"/>
      <c r="N172" s="16" t="n"/>
      <c r="O172" s="18" t="n"/>
      <c r="P172" s="18" t="n"/>
      <c r="Q172" s="16" t="n"/>
    </row>
    <row r="173">
      <c r="E173" s="15" t="n"/>
      <c r="F173" s="15" t="n"/>
      <c r="G173" s="15" t="n"/>
      <c r="H173" s="16" t="n"/>
      <c r="I173" s="16" t="n"/>
      <c r="J173" s="17" t="n"/>
      <c r="K173" s="17" t="n"/>
      <c r="L173" s="17" t="n"/>
      <c r="M173" s="16" t="n"/>
      <c r="N173" s="16" t="n"/>
      <c r="O173" s="18" t="n"/>
      <c r="P173" s="18" t="n"/>
      <c r="Q173" s="16" t="n"/>
    </row>
    <row r="174">
      <c r="E174" s="15" t="n"/>
      <c r="F174" s="15" t="n"/>
      <c r="G174" s="15" t="n"/>
      <c r="H174" s="16" t="n"/>
      <c r="I174" s="16" t="n"/>
      <c r="J174" s="17" t="n"/>
      <c r="K174" s="17" t="n"/>
      <c r="L174" s="17" t="n"/>
      <c r="M174" s="16" t="n"/>
      <c r="N174" s="16" t="n"/>
      <c r="O174" s="18" t="n"/>
      <c r="P174" s="18" t="n"/>
      <c r="Q174" s="16" t="n"/>
    </row>
    <row r="175">
      <c r="E175" s="15" t="n"/>
      <c r="F175" s="15" t="n"/>
      <c r="G175" s="15" t="n"/>
      <c r="H175" s="16" t="n"/>
      <c r="I175" s="16" t="n"/>
      <c r="J175" s="17" t="n"/>
      <c r="K175" s="17" t="n"/>
      <c r="L175" s="17" t="n"/>
      <c r="M175" s="16" t="n"/>
      <c r="N175" s="16" t="n"/>
      <c r="O175" s="18" t="n"/>
      <c r="P175" s="18" t="n"/>
      <c r="Q175" s="16" t="n"/>
    </row>
    <row r="176">
      <c r="E176" s="15" t="n"/>
      <c r="F176" s="15" t="n"/>
      <c r="G176" s="15" t="n"/>
      <c r="H176" s="16" t="n"/>
      <c r="I176" s="16" t="n"/>
      <c r="J176" s="17" t="n"/>
      <c r="K176" s="17" t="n"/>
      <c r="L176" s="17" t="n"/>
      <c r="M176" s="16" t="n"/>
      <c r="N176" s="16" t="n"/>
      <c r="O176" s="18" t="n"/>
      <c r="P176" s="18" t="n"/>
      <c r="Q176" s="16" t="n"/>
    </row>
    <row r="177">
      <c r="E177" s="15" t="n"/>
      <c r="F177" s="15" t="n"/>
      <c r="G177" s="15" t="n"/>
      <c r="H177" s="16" t="n"/>
      <c r="I177" s="16" t="n"/>
      <c r="J177" s="17" t="n"/>
      <c r="K177" s="17" t="n"/>
      <c r="L177" s="17" t="n"/>
      <c r="M177" s="16" t="n"/>
      <c r="N177" s="16" t="n"/>
      <c r="O177" s="18" t="n"/>
      <c r="P177" s="18" t="n"/>
      <c r="Q177" s="16" t="n"/>
    </row>
    <row r="178">
      <c r="E178" s="15" t="n"/>
      <c r="F178" s="15" t="n"/>
      <c r="G178" s="15" t="n"/>
      <c r="H178" s="16" t="n"/>
      <c r="I178" s="16" t="n"/>
      <c r="J178" s="17" t="n"/>
      <c r="K178" s="17" t="n"/>
      <c r="L178" s="17" t="n"/>
      <c r="M178" s="16" t="n"/>
      <c r="N178" s="16" t="n"/>
      <c r="O178" s="18" t="n"/>
      <c r="P178" s="18" t="n"/>
      <c r="Q178" s="16" t="n"/>
    </row>
    <row r="179">
      <c r="E179" s="15" t="n"/>
      <c r="F179" s="15" t="n"/>
      <c r="G179" s="15" t="n"/>
      <c r="H179" s="16" t="n"/>
      <c r="I179" s="16" t="n"/>
      <c r="J179" s="17" t="n"/>
      <c r="K179" s="17" t="n"/>
      <c r="L179" s="17" t="n"/>
      <c r="M179" s="16" t="n"/>
      <c r="N179" s="16" t="n"/>
      <c r="O179" s="18" t="n"/>
      <c r="P179" s="18" t="n"/>
      <c r="Q179" s="16" t="n"/>
    </row>
    <row r="180">
      <c r="E180" s="15" t="n"/>
      <c r="F180" s="15" t="n"/>
      <c r="G180" s="15" t="n"/>
      <c r="H180" s="16" t="n"/>
      <c r="I180" s="16" t="n"/>
      <c r="J180" s="17" t="n"/>
      <c r="K180" s="17" t="n"/>
      <c r="L180" s="17" t="n"/>
      <c r="M180" s="16" t="n"/>
      <c r="N180" s="16" t="n"/>
      <c r="O180" s="18" t="n"/>
      <c r="P180" s="18" t="n"/>
      <c r="Q180" s="16" t="n"/>
    </row>
    <row r="181">
      <c r="E181" s="15" t="n"/>
      <c r="F181" s="15" t="n"/>
      <c r="G181" s="15" t="n"/>
      <c r="H181" s="16" t="n"/>
      <c r="I181" s="16" t="n"/>
      <c r="J181" s="17" t="n"/>
      <c r="K181" s="17" t="n"/>
      <c r="L181" s="17" t="n"/>
      <c r="M181" s="16" t="n"/>
      <c r="N181" s="16" t="n"/>
      <c r="O181" s="18" t="n"/>
      <c r="P181" s="18" t="n"/>
      <c r="Q181" s="16" t="n"/>
    </row>
    <row r="182">
      <c r="E182" s="15" t="n"/>
      <c r="F182" s="15" t="n"/>
      <c r="G182" s="15" t="n"/>
      <c r="H182" s="16" t="n"/>
      <c r="I182" s="16" t="n"/>
      <c r="J182" s="17" t="n"/>
      <c r="K182" s="17" t="n"/>
      <c r="L182" s="17" t="n"/>
      <c r="M182" s="16" t="n"/>
      <c r="N182" s="16" t="n"/>
      <c r="O182" s="18" t="n"/>
      <c r="P182" s="18" t="n"/>
      <c r="Q182" s="16" t="n"/>
    </row>
    <row r="183">
      <c r="E183" s="15" t="n"/>
      <c r="F183" s="15" t="n"/>
      <c r="G183" s="15" t="n"/>
      <c r="H183" s="16" t="n"/>
      <c r="I183" s="16" t="n"/>
      <c r="J183" s="17" t="n"/>
      <c r="K183" s="17" t="n"/>
      <c r="L183" s="17" t="n"/>
      <c r="M183" s="16" t="n"/>
      <c r="N183" s="16" t="n"/>
      <c r="O183" s="18" t="n"/>
      <c r="P183" s="18" t="n"/>
      <c r="Q183" s="16" t="n"/>
    </row>
    <row r="184">
      <c r="E184" s="15" t="n"/>
      <c r="F184" s="15" t="n"/>
      <c r="G184" s="15" t="n"/>
      <c r="H184" s="16" t="n"/>
      <c r="I184" s="16" t="n"/>
      <c r="J184" s="17" t="n"/>
      <c r="K184" s="17" t="n"/>
      <c r="L184" s="17" t="n"/>
      <c r="M184" s="16" t="n"/>
      <c r="N184" s="16" t="n"/>
      <c r="O184" s="18" t="n"/>
      <c r="P184" s="18" t="n"/>
      <c r="Q184" s="16" t="n"/>
    </row>
    <row r="185">
      <c r="E185" s="15" t="n"/>
      <c r="F185" s="15" t="n"/>
      <c r="G185" s="15" t="n"/>
      <c r="H185" s="16" t="n"/>
      <c r="I185" s="16" t="n"/>
      <c r="J185" s="17" t="n"/>
      <c r="K185" s="17" t="n"/>
      <c r="L185" s="17" t="n"/>
      <c r="M185" s="16" t="n"/>
      <c r="N185" s="16" t="n"/>
      <c r="O185" s="18" t="n"/>
      <c r="P185" s="18" t="n"/>
      <c r="Q185" s="16" t="n"/>
    </row>
    <row r="186">
      <c r="E186" s="15" t="n"/>
      <c r="F186" s="15" t="n"/>
      <c r="G186" s="15" t="n"/>
      <c r="H186" s="16" t="n"/>
      <c r="I186" s="16" t="n"/>
      <c r="J186" s="17" t="n"/>
      <c r="K186" s="17" t="n"/>
      <c r="L186" s="17" t="n"/>
      <c r="M186" s="16" t="n"/>
      <c r="N186" s="16" t="n"/>
      <c r="O186" s="18" t="n"/>
      <c r="P186" s="18" t="n"/>
      <c r="Q186" s="16" t="n"/>
    </row>
    <row r="187">
      <c r="E187" s="15" t="n"/>
      <c r="F187" s="15" t="n"/>
      <c r="G187" s="15" t="n"/>
      <c r="H187" s="16" t="n"/>
      <c r="I187" s="16" t="n"/>
      <c r="J187" s="17" t="n"/>
      <c r="K187" s="17" t="n"/>
      <c r="L187" s="17" t="n"/>
      <c r="M187" s="16" t="n"/>
      <c r="N187" s="16" t="n"/>
      <c r="O187" s="18" t="n"/>
      <c r="P187" s="18" t="n"/>
      <c r="Q187" s="16" t="n"/>
    </row>
    <row r="188">
      <c r="E188" s="15" t="n"/>
      <c r="F188" s="15" t="n"/>
      <c r="G188" s="15" t="n"/>
      <c r="H188" s="16" t="n"/>
      <c r="I188" s="16" t="n"/>
      <c r="J188" s="17" t="n"/>
      <c r="K188" s="17" t="n"/>
      <c r="L188" s="17" t="n"/>
      <c r="M188" s="16" t="n"/>
      <c r="N188" s="16" t="n"/>
      <c r="O188" s="18" t="n"/>
      <c r="P188" s="18" t="n"/>
      <c r="Q188" s="16" t="n"/>
    </row>
    <row r="189">
      <c r="E189" s="15" t="n"/>
      <c r="F189" s="15" t="n"/>
      <c r="G189" s="15" t="n"/>
      <c r="H189" s="16" t="n"/>
      <c r="I189" s="16" t="n"/>
      <c r="J189" s="17" t="n"/>
      <c r="K189" s="17" t="n"/>
      <c r="L189" s="17" t="n"/>
      <c r="M189" s="16" t="n"/>
      <c r="N189" s="16" t="n"/>
      <c r="O189" s="18" t="n"/>
      <c r="P189" s="18" t="n"/>
      <c r="Q189" s="16" t="n"/>
    </row>
    <row r="190">
      <c r="E190" s="15" t="n"/>
      <c r="F190" s="15" t="n"/>
      <c r="G190" s="15" t="n"/>
      <c r="H190" s="16" t="n"/>
      <c r="I190" s="16" t="n"/>
      <c r="J190" s="17" t="n"/>
      <c r="K190" s="17" t="n"/>
      <c r="L190" s="17" t="n"/>
      <c r="M190" s="16" t="n"/>
      <c r="N190" s="16" t="n"/>
      <c r="O190" s="18" t="n"/>
      <c r="P190" s="18" t="n"/>
      <c r="Q190" s="16" t="n"/>
    </row>
    <row r="191">
      <c r="E191" s="15" t="n"/>
      <c r="F191" s="15" t="n"/>
      <c r="G191" s="15" t="n"/>
      <c r="H191" s="16" t="n"/>
      <c r="I191" s="16" t="n"/>
      <c r="J191" s="17" t="n"/>
      <c r="K191" s="17" t="n"/>
      <c r="L191" s="17" t="n"/>
      <c r="M191" s="16" t="n"/>
      <c r="N191" s="16" t="n"/>
      <c r="O191" s="18" t="n"/>
      <c r="P191" s="18" t="n"/>
      <c r="Q191" s="16" t="n"/>
    </row>
    <row r="192">
      <c r="E192" s="15" t="n"/>
      <c r="F192" s="15" t="n"/>
      <c r="G192" s="15" t="n"/>
      <c r="H192" s="16" t="n"/>
      <c r="I192" s="16" t="n"/>
      <c r="J192" s="17" t="n"/>
      <c r="K192" s="17" t="n"/>
      <c r="L192" s="17" t="n"/>
      <c r="M192" s="16" t="n"/>
      <c r="N192" s="16" t="n"/>
      <c r="O192" s="18" t="n"/>
      <c r="P192" s="18" t="n"/>
      <c r="Q192" s="16" t="n"/>
    </row>
    <row r="193">
      <c r="E193" s="15" t="n"/>
      <c r="F193" s="15" t="n"/>
      <c r="G193" s="15" t="n"/>
      <c r="H193" s="16" t="n"/>
      <c r="I193" s="16" t="n"/>
      <c r="J193" s="17" t="n"/>
      <c r="K193" s="17" t="n"/>
      <c r="L193" s="17" t="n"/>
      <c r="M193" s="16" t="n"/>
      <c r="N193" s="16" t="n"/>
      <c r="O193" s="18" t="n"/>
      <c r="P193" s="18" t="n"/>
      <c r="Q193" s="16" t="n"/>
    </row>
    <row r="194">
      <c r="E194" s="15" t="n"/>
      <c r="F194" s="15" t="n"/>
      <c r="G194" s="15" t="n"/>
      <c r="H194" s="16" t="n"/>
      <c r="I194" s="16" t="n"/>
      <c r="J194" s="17" t="n"/>
      <c r="K194" s="17" t="n"/>
      <c r="L194" s="17" t="n"/>
      <c r="M194" s="16" t="n"/>
      <c r="N194" s="16" t="n"/>
      <c r="O194" s="18" t="n"/>
      <c r="P194" s="18" t="n"/>
      <c r="Q194" s="16" t="n"/>
    </row>
    <row r="195">
      <c r="E195" s="15" t="n"/>
      <c r="F195" s="15" t="n"/>
      <c r="G195" s="15" t="n"/>
      <c r="H195" s="16" t="n"/>
      <c r="I195" s="16" t="n"/>
      <c r="J195" s="17" t="n"/>
      <c r="K195" s="17" t="n"/>
      <c r="L195" s="17" t="n"/>
      <c r="M195" s="16" t="n"/>
      <c r="N195" s="16" t="n"/>
      <c r="O195" s="18" t="n"/>
      <c r="P195" s="18" t="n"/>
      <c r="Q195" s="16" t="n"/>
    </row>
    <row r="196">
      <c r="E196" s="15" t="n"/>
      <c r="F196" s="15" t="n"/>
      <c r="G196" s="15" t="n"/>
      <c r="H196" s="16" t="n"/>
      <c r="I196" s="16" t="n"/>
      <c r="J196" s="17" t="n"/>
      <c r="K196" s="17" t="n"/>
      <c r="L196" s="17" t="n"/>
      <c r="M196" s="16" t="n"/>
      <c r="N196" s="16" t="n"/>
      <c r="O196" s="18" t="n"/>
      <c r="P196" s="18" t="n"/>
      <c r="Q196" s="16" t="n"/>
    </row>
    <row r="197">
      <c r="E197" s="15" t="n"/>
      <c r="F197" s="15" t="n"/>
      <c r="G197" s="15" t="n"/>
      <c r="H197" s="16" t="n"/>
      <c r="I197" s="16" t="n"/>
      <c r="J197" s="17" t="n"/>
      <c r="K197" s="17" t="n"/>
      <c r="L197" s="17" t="n"/>
      <c r="M197" s="16" t="n"/>
      <c r="N197" s="16" t="n"/>
      <c r="O197" s="18" t="n"/>
      <c r="P197" s="18" t="n"/>
      <c r="Q197" s="16" t="n"/>
    </row>
    <row r="198">
      <c r="E198" s="15" t="n"/>
      <c r="F198" s="15" t="n"/>
      <c r="G198" s="15" t="n"/>
      <c r="H198" s="16" t="n"/>
      <c r="I198" s="16" t="n"/>
      <c r="J198" s="17" t="n"/>
      <c r="K198" s="17" t="n"/>
      <c r="L198" s="17" t="n"/>
      <c r="M198" s="16" t="n"/>
      <c r="N198" s="16" t="n"/>
      <c r="O198" s="18" t="n"/>
      <c r="P198" s="18" t="n"/>
      <c r="Q198" s="16" t="n"/>
    </row>
    <row r="199">
      <c r="E199" s="15" t="n"/>
      <c r="F199" s="15" t="n"/>
      <c r="G199" s="15" t="n"/>
      <c r="H199" s="16" t="n"/>
      <c r="I199" s="16" t="n"/>
      <c r="J199" s="17" t="n"/>
      <c r="K199" s="17" t="n"/>
      <c r="L199" s="17" t="n"/>
      <c r="M199" s="16" t="n"/>
      <c r="N199" s="16" t="n"/>
      <c r="O199" s="18" t="n"/>
      <c r="P199" s="18" t="n"/>
      <c r="Q199" s="16" t="n"/>
    </row>
    <row r="200">
      <c r="E200" s="15" t="n"/>
      <c r="F200" s="15" t="n"/>
      <c r="G200" s="15" t="n"/>
      <c r="H200" s="16" t="n"/>
      <c r="I200" s="16" t="n"/>
      <c r="J200" s="17" t="n"/>
      <c r="K200" s="17" t="n"/>
      <c r="L200" s="17" t="n"/>
      <c r="M200" s="16" t="n"/>
      <c r="N200" s="16" t="n"/>
      <c r="O200" s="18" t="n"/>
      <c r="P200" s="18" t="n"/>
      <c r="Q200" s="16" t="n"/>
    </row>
    <row r="201">
      <c r="E201" s="15" t="n"/>
      <c r="F201" s="15" t="n"/>
      <c r="G201" s="15" t="n"/>
      <c r="H201" s="16" t="n"/>
      <c r="I201" s="16" t="n"/>
      <c r="J201" s="17" t="n"/>
      <c r="K201" s="17" t="n"/>
      <c r="L201" s="17" t="n"/>
      <c r="M201" s="16" t="n"/>
      <c r="N201" s="16" t="n"/>
      <c r="O201" s="18" t="n"/>
      <c r="P201" s="18" t="n"/>
      <c r="Q201" s="16" t="n"/>
    </row>
    <row r="202">
      <c r="E202" s="15" t="n"/>
      <c r="F202" s="15" t="n"/>
      <c r="G202" s="15" t="n"/>
      <c r="H202" s="16" t="n"/>
      <c r="I202" s="16" t="n"/>
      <c r="J202" s="17" t="n"/>
      <c r="K202" s="17" t="n"/>
      <c r="L202" s="17" t="n"/>
      <c r="M202" s="16" t="n"/>
      <c r="N202" s="16" t="n"/>
      <c r="O202" s="18" t="n"/>
      <c r="P202" s="18" t="n"/>
      <c r="Q202" s="16" t="n"/>
    </row>
    <row r="203">
      <c r="E203" s="15" t="n"/>
      <c r="F203" s="15" t="n"/>
      <c r="G203" s="15" t="n"/>
      <c r="H203" s="16" t="n"/>
      <c r="I203" s="16" t="n"/>
      <c r="J203" s="17" t="n"/>
      <c r="K203" s="17" t="n"/>
      <c r="L203" s="17" t="n"/>
      <c r="M203" s="16" t="n"/>
      <c r="N203" s="16" t="n"/>
      <c r="O203" s="18" t="n"/>
      <c r="P203" s="18" t="n"/>
      <c r="Q203" s="16" t="n"/>
    </row>
    <row r="204">
      <c r="E204" s="15" t="n"/>
      <c r="F204" s="15" t="n"/>
      <c r="G204" s="15" t="n"/>
      <c r="H204" s="16" t="n"/>
      <c r="I204" s="16" t="n"/>
      <c r="J204" s="17" t="n"/>
      <c r="K204" s="17" t="n"/>
      <c r="L204" s="17" t="n"/>
      <c r="M204" s="16" t="n"/>
      <c r="N204" s="16" t="n"/>
      <c r="O204" s="18" t="n"/>
      <c r="P204" s="18" t="n"/>
      <c r="Q204" s="16" t="n"/>
    </row>
    <row r="205">
      <c r="E205" s="15" t="n"/>
      <c r="F205" s="15" t="n"/>
      <c r="G205" s="15" t="n"/>
      <c r="H205" s="16" t="n"/>
      <c r="I205" s="16" t="n"/>
      <c r="J205" s="17" t="n"/>
      <c r="K205" s="17" t="n"/>
      <c r="L205" s="17" t="n"/>
      <c r="M205" s="16" t="n"/>
      <c r="N205" s="16" t="n"/>
      <c r="O205" s="18" t="n"/>
      <c r="P205" s="18" t="n"/>
      <c r="Q205" s="16" t="n"/>
    </row>
    <row r="206">
      <c r="E206" s="15" t="n"/>
      <c r="F206" s="15" t="n"/>
      <c r="G206" s="15" t="n"/>
      <c r="H206" s="16" t="n"/>
      <c r="I206" s="16" t="n"/>
      <c r="J206" s="17" t="n"/>
      <c r="K206" s="17" t="n"/>
      <c r="L206" s="17" t="n"/>
      <c r="M206" s="16" t="n"/>
      <c r="N206" s="16" t="n"/>
      <c r="O206" s="18" t="n"/>
      <c r="P206" s="18" t="n"/>
      <c r="Q206" s="16" t="n"/>
    </row>
    <row r="207">
      <c r="E207" s="15" t="n"/>
      <c r="F207" s="15" t="n"/>
      <c r="G207" s="15" t="n"/>
      <c r="H207" s="16" t="n"/>
      <c r="I207" s="16" t="n"/>
      <c r="J207" s="17" t="n"/>
      <c r="K207" s="17" t="n"/>
      <c r="L207" s="17" t="n"/>
      <c r="M207" s="16" t="n"/>
      <c r="N207" s="16" t="n"/>
      <c r="O207" s="18" t="n"/>
      <c r="P207" s="18" t="n"/>
      <c r="Q207" s="16" t="n"/>
    </row>
    <row r="208">
      <c r="E208" s="15" t="n"/>
      <c r="F208" s="15" t="n"/>
      <c r="G208" s="15" t="n"/>
      <c r="H208" s="16" t="n"/>
      <c r="I208" s="16" t="n"/>
      <c r="J208" s="17" t="n"/>
      <c r="K208" s="17" t="n"/>
      <c r="L208" s="17" t="n"/>
      <c r="M208" s="16" t="n"/>
      <c r="N208" s="16" t="n"/>
      <c r="O208" s="18" t="n"/>
      <c r="P208" s="18" t="n"/>
      <c r="Q208" s="16" t="n"/>
    </row>
    <row r="209">
      <c r="E209" s="15" t="n"/>
      <c r="F209" s="15" t="n"/>
      <c r="G209" s="15" t="n"/>
      <c r="H209" s="16" t="n"/>
      <c r="I209" s="16" t="n"/>
      <c r="J209" s="17" t="n"/>
      <c r="K209" s="17" t="n"/>
      <c r="L209" s="17" t="n"/>
      <c r="M209" s="16" t="n"/>
      <c r="N209" s="16" t="n"/>
      <c r="O209" s="18" t="n"/>
      <c r="P209" s="18" t="n"/>
      <c r="Q209" s="16" t="n"/>
    </row>
    <row r="210">
      <c r="E210" s="15" t="n"/>
      <c r="F210" s="15" t="n"/>
      <c r="G210" s="15" t="n"/>
      <c r="H210" s="16" t="n"/>
      <c r="I210" s="16" t="n"/>
      <c r="J210" s="17" t="n"/>
      <c r="K210" s="17" t="n"/>
      <c r="L210" s="17" t="n"/>
      <c r="M210" s="16" t="n"/>
      <c r="N210" s="16" t="n"/>
      <c r="O210" s="18" t="n"/>
      <c r="P210" s="18" t="n"/>
      <c r="Q210" s="16" t="n"/>
    </row>
    <row r="211">
      <c r="E211" s="15" t="n"/>
      <c r="F211" s="15" t="n"/>
      <c r="G211" s="15" t="n"/>
      <c r="H211" s="16" t="n"/>
      <c r="I211" s="16" t="n"/>
      <c r="J211" s="17" t="n"/>
      <c r="K211" s="17" t="n"/>
      <c r="L211" s="17" t="n"/>
      <c r="M211" s="16" t="n"/>
      <c r="N211" s="16" t="n"/>
      <c r="O211" s="18" t="n"/>
      <c r="P211" s="18" t="n"/>
      <c r="Q211" s="16" t="n"/>
    </row>
    <row r="212">
      <c r="E212" s="15" t="n"/>
      <c r="F212" s="15" t="n"/>
      <c r="G212" s="15" t="n"/>
      <c r="H212" s="16" t="n"/>
      <c r="I212" s="16" t="n"/>
      <c r="J212" s="17" t="n"/>
      <c r="K212" s="17" t="n"/>
      <c r="L212" s="17" t="n"/>
      <c r="M212" s="16" t="n"/>
      <c r="N212" s="16" t="n"/>
      <c r="O212" s="18" t="n"/>
      <c r="P212" s="18" t="n"/>
      <c r="Q212" s="16" t="n"/>
    </row>
    <row r="213">
      <c r="E213" s="15" t="n"/>
      <c r="F213" s="15" t="n"/>
      <c r="G213" s="15" t="n"/>
      <c r="H213" s="16" t="n"/>
      <c r="I213" s="16" t="n"/>
      <c r="J213" s="17" t="n"/>
      <c r="K213" s="17" t="n"/>
      <c r="L213" s="17" t="n"/>
      <c r="M213" s="16" t="n"/>
      <c r="N213" s="16" t="n"/>
      <c r="O213" s="18" t="n"/>
      <c r="P213" s="18" t="n"/>
      <c r="Q213" s="16" t="n"/>
    </row>
    <row r="214">
      <c r="E214" s="15" t="n"/>
      <c r="F214" s="15" t="n"/>
      <c r="G214" s="15" t="n"/>
      <c r="H214" s="16" t="n"/>
      <c r="I214" s="16" t="n"/>
      <c r="J214" s="17" t="n"/>
      <c r="K214" s="17" t="n"/>
      <c r="L214" s="17" t="n"/>
      <c r="M214" s="16" t="n"/>
      <c r="N214" s="16" t="n"/>
      <c r="O214" s="18" t="n"/>
      <c r="P214" s="18" t="n"/>
      <c r="Q214" s="16" t="n"/>
    </row>
    <row r="215">
      <c r="E215" s="15" t="n"/>
      <c r="F215" s="15" t="n"/>
      <c r="G215" s="15" t="n"/>
      <c r="H215" s="16" t="n"/>
      <c r="I215" s="16" t="n"/>
      <c r="J215" s="17" t="n"/>
      <c r="K215" s="17" t="n"/>
      <c r="L215" s="17" t="n"/>
      <c r="M215" s="16" t="n"/>
      <c r="N215" s="16" t="n"/>
      <c r="O215" s="18" t="n"/>
      <c r="P215" s="18" t="n"/>
      <c r="Q215" s="16" t="n"/>
    </row>
    <row r="216">
      <c r="E216" s="15" t="n"/>
      <c r="F216" s="15" t="n"/>
      <c r="G216" s="15" t="n"/>
      <c r="H216" s="16" t="n"/>
      <c r="I216" s="16" t="n"/>
      <c r="J216" s="17" t="n"/>
      <c r="K216" s="17" t="n"/>
      <c r="L216" s="17" t="n"/>
      <c r="M216" s="16" t="n"/>
      <c r="N216" s="16" t="n"/>
      <c r="O216" s="18" t="n"/>
      <c r="P216" s="18" t="n"/>
      <c r="Q216" s="16" t="n"/>
    </row>
    <row r="217">
      <c r="E217" s="15" t="n"/>
      <c r="F217" s="15" t="n"/>
      <c r="G217" s="15" t="n"/>
      <c r="H217" s="16" t="n"/>
      <c r="I217" s="16" t="n"/>
      <c r="J217" s="17" t="n"/>
      <c r="K217" s="17" t="n"/>
      <c r="L217" s="17" t="n"/>
      <c r="M217" s="16" t="n"/>
      <c r="N217" s="16" t="n"/>
      <c r="O217" s="18" t="n"/>
      <c r="P217" s="18" t="n"/>
      <c r="Q217" s="16" t="n"/>
    </row>
    <row r="218">
      <c r="E218" s="15" t="n"/>
      <c r="F218" s="15" t="n"/>
      <c r="G218" s="15" t="n"/>
      <c r="H218" s="16" t="n"/>
      <c r="I218" s="16" t="n"/>
      <c r="J218" s="17" t="n"/>
      <c r="K218" s="17" t="n"/>
      <c r="L218" s="17" t="n"/>
      <c r="M218" s="16" t="n"/>
      <c r="N218" s="16" t="n"/>
      <c r="O218" s="18" t="n"/>
      <c r="P218" s="18" t="n"/>
      <c r="Q218" s="16" t="n"/>
    </row>
    <row r="219">
      <c r="E219" s="15" t="n"/>
      <c r="F219" s="15" t="n"/>
      <c r="G219" s="15" t="n"/>
      <c r="H219" s="16" t="n"/>
      <c r="I219" s="16" t="n"/>
      <c r="J219" s="17" t="n"/>
      <c r="K219" s="17" t="n"/>
      <c r="L219" s="17" t="n"/>
      <c r="M219" s="16" t="n"/>
      <c r="N219" s="16" t="n"/>
      <c r="O219" s="18" t="n"/>
      <c r="P219" s="18" t="n"/>
      <c r="Q219" s="16" t="n"/>
    </row>
    <row r="220">
      <c r="E220" s="15" t="n"/>
      <c r="F220" s="15" t="n"/>
      <c r="G220" s="15" t="n"/>
      <c r="H220" s="16" t="n"/>
      <c r="I220" s="16" t="n"/>
      <c r="J220" s="17" t="n"/>
      <c r="K220" s="17" t="n"/>
      <c r="L220" s="17" t="n"/>
      <c r="M220" s="16" t="n"/>
      <c r="N220" s="16" t="n"/>
      <c r="O220" s="18" t="n"/>
      <c r="P220" s="18" t="n"/>
      <c r="Q220" s="16" t="n"/>
    </row>
    <row r="221">
      <c r="E221" s="15" t="n"/>
      <c r="F221" s="15" t="n"/>
      <c r="G221" s="15" t="n"/>
      <c r="H221" s="16" t="n"/>
      <c r="I221" s="16" t="n"/>
      <c r="J221" s="17" t="n"/>
      <c r="K221" s="17" t="n"/>
      <c r="L221" s="17" t="n"/>
      <c r="M221" s="16" t="n"/>
      <c r="N221" s="16" t="n"/>
      <c r="O221" s="18" t="n"/>
      <c r="P221" s="18" t="n"/>
      <c r="Q221" s="16" t="n"/>
    </row>
    <row r="222">
      <c r="E222" s="15" t="n"/>
      <c r="F222" s="15" t="n"/>
      <c r="G222" s="15" t="n"/>
      <c r="H222" s="16" t="n"/>
      <c r="I222" s="16" t="n"/>
      <c r="J222" s="17" t="n"/>
      <c r="K222" s="17" t="n"/>
      <c r="L222" s="17" t="n"/>
      <c r="M222" s="16" t="n"/>
      <c r="N222" s="16" t="n"/>
      <c r="O222" s="18" t="n"/>
      <c r="P222" s="18" t="n"/>
      <c r="Q222" s="16" t="n"/>
    </row>
    <row r="223">
      <c r="E223" s="15" t="n"/>
      <c r="F223" s="15" t="n"/>
      <c r="G223" s="15" t="n"/>
      <c r="H223" s="16" t="n"/>
      <c r="I223" s="16" t="n"/>
      <c r="J223" s="17" t="n"/>
      <c r="K223" s="17" t="n"/>
      <c r="L223" s="17" t="n"/>
      <c r="M223" s="16" t="n"/>
      <c r="N223" s="16" t="n"/>
      <c r="O223" s="18" t="n"/>
      <c r="P223" s="18" t="n"/>
      <c r="Q223" s="16" t="n"/>
    </row>
    <row r="224">
      <c r="E224" s="15" t="n"/>
      <c r="F224" s="15" t="n"/>
      <c r="G224" s="15" t="n"/>
      <c r="H224" s="16" t="n"/>
      <c r="I224" s="16" t="n"/>
      <c r="J224" s="17" t="n"/>
      <c r="K224" s="17" t="n"/>
      <c r="L224" s="17" t="n"/>
      <c r="M224" s="16" t="n"/>
      <c r="N224" s="16" t="n"/>
      <c r="O224" s="18" t="n"/>
      <c r="P224" s="18" t="n"/>
      <c r="Q224" s="16" t="n"/>
    </row>
    <row r="225">
      <c r="E225" s="15" t="n"/>
      <c r="F225" s="15" t="n"/>
      <c r="G225" s="15" t="n"/>
      <c r="H225" s="16" t="n"/>
      <c r="I225" s="16" t="n"/>
      <c r="J225" s="17" t="n"/>
      <c r="K225" s="17" t="n"/>
      <c r="L225" s="17" t="n"/>
      <c r="M225" s="16" t="n"/>
      <c r="N225" s="16" t="n"/>
      <c r="O225" s="18" t="n"/>
      <c r="P225" s="18" t="n"/>
      <c r="Q225" s="16" t="n"/>
    </row>
    <row r="226">
      <c r="E226" s="15" t="n"/>
      <c r="F226" s="15" t="n"/>
      <c r="G226" s="15" t="n"/>
      <c r="H226" s="16" t="n"/>
      <c r="I226" s="16" t="n"/>
      <c r="J226" s="17" t="n"/>
      <c r="K226" s="17" t="n"/>
      <c r="L226" s="17" t="n"/>
      <c r="M226" s="16" t="n"/>
      <c r="N226" s="16" t="n"/>
      <c r="O226" s="18" t="n"/>
      <c r="P226" s="18" t="n"/>
      <c r="Q226" s="16" t="n"/>
    </row>
    <row r="227">
      <c r="E227" s="15" t="n"/>
      <c r="F227" s="15" t="n"/>
      <c r="G227" s="15" t="n"/>
      <c r="H227" s="16" t="n"/>
      <c r="I227" s="16" t="n"/>
      <c r="J227" s="17" t="n"/>
      <c r="K227" s="17" t="n"/>
      <c r="L227" s="17" t="n"/>
      <c r="M227" s="16" t="n"/>
      <c r="N227" s="16" t="n"/>
      <c r="O227" s="18" t="n"/>
      <c r="P227" s="18" t="n"/>
      <c r="Q227" s="16" t="n"/>
    </row>
    <row r="228">
      <c r="E228" s="15" t="n"/>
      <c r="F228" s="15" t="n"/>
      <c r="G228" s="15" t="n"/>
      <c r="H228" s="16" t="n"/>
      <c r="I228" s="16" t="n"/>
      <c r="J228" s="17" t="n"/>
      <c r="K228" s="17" t="n"/>
      <c r="L228" s="17" t="n"/>
      <c r="M228" s="16" t="n"/>
      <c r="N228" s="16" t="n"/>
      <c r="O228" s="18" t="n"/>
      <c r="P228" s="18" t="n"/>
      <c r="Q228" s="16" t="n"/>
    </row>
    <row r="229">
      <c r="E229" s="15" t="n"/>
      <c r="F229" s="15" t="n"/>
      <c r="G229" s="15" t="n"/>
      <c r="H229" s="16" t="n"/>
      <c r="I229" s="16" t="n"/>
      <c r="J229" s="17" t="n"/>
      <c r="K229" s="17" t="n"/>
      <c r="L229" s="17" t="n"/>
      <c r="M229" s="16" t="n"/>
      <c r="N229" s="16" t="n"/>
      <c r="O229" s="18" t="n"/>
      <c r="P229" s="18" t="n"/>
      <c r="Q229" s="16" t="n"/>
    </row>
    <row r="230">
      <c r="E230" s="15" t="n"/>
      <c r="F230" s="15" t="n"/>
      <c r="G230" s="15" t="n"/>
      <c r="H230" s="16" t="n"/>
      <c r="I230" s="16" t="n"/>
      <c r="J230" s="17" t="n"/>
      <c r="K230" s="17" t="n"/>
      <c r="L230" s="17" t="n"/>
      <c r="M230" s="16" t="n"/>
      <c r="N230" s="16" t="n"/>
      <c r="O230" s="18" t="n"/>
      <c r="P230" s="18" t="n"/>
      <c r="Q230" s="16" t="n"/>
    </row>
    <row r="231">
      <c r="E231" s="15" t="n"/>
      <c r="F231" s="15" t="n"/>
      <c r="G231" s="15" t="n"/>
      <c r="H231" s="16" t="n"/>
      <c r="I231" s="16" t="n"/>
      <c r="J231" s="17" t="n"/>
      <c r="K231" s="17" t="n"/>
      <c r="L231" s="17" t="n"/>
      <c r="M231" s="16" t="n"/>
      <c r="N231" s="16" t="n"/>
      <c r="O231" s="18" t="n"/>
      <c r="P231" s="18" t="n"/>
      <c r="Q231" s="16" t="n"/>
    </row>
    <row r="232">
      <c r="E232" s="15" t="n"/>
      <c r="F232" s="15" t="n"/>
      <c r="G232" s="15" t="n"/>
      <c r="H232" s="16" t="n"/>
      <c r="I232" s="16" t="n"/>
      <c r="J232" s="17" t="n"/>
      <c r="K232" s="17" t="n"/>
      <c r="L232" s="17" t="n"/>
      <c r="M232" s="16" t="n"/>
      <c r="N232" s="16" t="n"/>
      <c r="O232" s="18" t="n"/>
      <c r="P232" s="18" t="n"/>
      <c r="Q232" s="16" t="n"/>
    </row>
    <row r="233">
      <c r="E233" s="15" t="n"/>
      <c r="F233" s="15" t="n"/>
      <c r="G233" s="15" t="n"/>
      <c r="H233" s="16" t="n"/>
      <c r="I233" s="16" t="n"/>
      <c r="J233" s="17" t="n"/>
      <c r="K233" s="17" t="n"/>
      <c r="L233" s="17" t="n"/>
      <c r="M233" s="16" t="n"/>
      <c r="N233" s="16" t="n"/>
      <c r="O233" s="18" t="n"/>
      <c r="P233" s="18" t="n"/>
      <c r="Q233" s="16" t="n"/>
    </row>
    <row r="234">
      <c r="E234" s="15" t="n"/>
      <c r="F234" s="15" t="n"/>
      <c r="G234" s="15" t="n"/>
      <c r="H234" s="16" t="n"/>
      <c r="I234" s="16" t="n"/>
      <c r="J234" s="17" t="n"/>
      <c r="K234" s="17" t="n"/>
      <c r="L234" s="17" t="n"/>
      <c r="M234" s="16" t="n"/>
      <c r="N234" s="16" t="n"/>
      <c r="O234" s="18" t="n"/>
      <c r="P234" s="18" t="n"/>
      <c r="Q234" s="16" t="n"/>
    </row>
    <row r="235">
      <c r="E235" s="15" t="n"/>
      <c r="F235" s="15" t="n"/>
      <c r="G235" s="15" t="n"/>
      <c r="H235" s="16" t="n"/>
      <c r="I235" s="16" t="n"/>
      <c r="J235" s="17" t="n"/>
      <c r="K235" s="17" t="n"/>
      <c r="L235" s="17" t="n"/>
      <c r="M235" s="16" t="n"/>
      <c r="N235" s="16" t="n"/>
      <c r="O235" s="18" t="n"/>
      <c r="P235" s="18" t="n"/>
      <c r="Q235" s="16" t="n"/>
    </row>
    <row r="236">
      <c r="E236" s="15" t="n"/>
      <c r="F236" s="15" t="n"/>
      <c r="G236" s="15" t="n"/>
      <c r="H236" s="16" t="n"/>
      <c r="I236" s="16" t="n"/>
      <c r="J236" s="17" t="n"/>
      <c r="K236" s="17" t="n"/>
      <c r="L236" s="17" t="n"/>
      <c r="M236" s="16" t="n"/>
      <c r="N236" s="16" t="n"/>
      <c r="O236" s="18" t="n"/>
      <c r="P236" s="18" t="n"/>
      <c r="Q236" s="16" t="n"/>
    </row>
    <row r="237">
      <c r="E237" s="15" t="n"/>
      <c r="F237" s="15" t="n"/>
      <c r="G237" s="15" t="n"/>
      <c r="H237" s="16" t="n"/>
      <c r="I237" s="16" t="n"/>
      <c r="J237" s="17" t="n"/>
      <c r="K237" s="17" t="n"/>
      <c r="L237" s="17" t="n"/>
      <c r="M237" s="16" t="n"/>
      <c r="N237" s="16" t="n"/>
      <c r="O237" s="18" t="n"/>
      <c r="P237" s="18" t="n"/>
      <c r="Q237" s="16" t="n"/>
    </row>
    <row r="238">
      <c r="E238" s="15" t="n"/>
      <c r="F238" s="15" t="n"/>
      <c r="G238" s="15" t="n"/>
      <c r="H238" s="16" t="n"/>
      <c r="I238" s="16" t="n"/>
      <c r="J238" s="17" t="n"/>
      <c r="K238" s="17" t="n"/>
      <c r="L238" s="17" t="n"/>
      <c r="M238" s="16" t="n"/>
      <c r="N238" s="16" t="n"/>
      <c r="O238" s="18" t="n"/>
      <c r="P238" s="18" t="n"/>
      <c r="Q238" s="16" t="n"/>
    </row>
    <row r="239">
      <c r="E239" s="15" t="n"/>
      <c r="F239" s="15" t="n"/>
      <c r="G239" s="15" t="n"/>
      <c r="H239" s="16" t="n"/>
      <c r="I239" s="16" t="n"/>
      <c r="J239" s="17" t="n"/>
      <c r="K239" s="17" t="n"/>
      <c r="L239" s="17" t="n"/>
      <c r="M239" s="16" t="n"/>
      <c r="N239" s="16" t="n"/>
      <c r="O239" s="18" t="n"/>
      <c r="P239" s="18" t="n"/>
      <c r="Q239" s="16" t="n"/>
    </row>
    <row r="240">
      <c r="E240" s="15" t="n"/>
      <c r="F240" s="15" t="n"/>
      <c r="G240" s="15" t="n"/>
      <c r="H240" s="16" t="n"/>
      <c r="I240" s="16" t="n"/>
      <c r="J240" s="17" t="n"/>
      <c r="K240" s="17" t="n"/>
      <c r="L240" s="17" t="n"/>
      <c r="M240" s="16" t="n"/>
      <c r="N240" s="16" t="n"/>
      <c r="O240" s="18" t="n"/>
      <c r="P240" s="18" t="n"/>
      <c r="Q240" s="16" t="n"/>
    </row>
    <row r="241">
      <c r="E241" s="15" t="n"/>
      <c r="F241" s="15" t="n"/>
      <c r="G241" s="15" t="n"/>
      <c r="H241" s="16" t="n"/>
      <c r="I241" s="16" t="n"/>
      <c r="J241" s="17" t="n"/>
      <c r="K241" s="17" t="n"/>
      <c r="L241" s="17" t="n"/>
      <c r="M241" s="16" t="n"/>
      <c r="N241" s="16" t="n"/>
      <c r="O241" s="18" t="n"/>
      <c r="P241" s="18" t="n"/>
      <c r="Q241" s="16" t="n"/>
    </row>
    <row r="242">
      <c r="E242" s="15" t="n"/>
      <c r="F242" s="15" t="n"/>
      <c r="G242" s="15" t="n"/>
      <c r="H242" s="16" t="n"/>
      <c r="I242" s="16" t="n"/>
      <c r="J242" s="17" t="n"/>
      <c r="K242" s="17" t="n"/>
      <c r="L242" s="17" t="n"/>
      <c r="M242" s="16" t="n"/>
      <c r="N242" s="16" t="n"/>
      <c r="O242" s="18" t="n"/>
      <c r="P242" s="18" t="n"/>
      <c r="Q242" s="16" t="n"/>
    </row>
    <row r="243">
      <c r="E243" s="15" t="n"/>
      <c r="F243" s="15" t="n"/>
      <c r="G243" s="15" t="n"/>
      <c r="H243" s="16" t="n"/>
      <c r="I243" s="16" t="n"/>
      <c r="J243" s="17" t="n"/>
      <c r="K243" s="17" t="n"/>
      <c r="L243" s="17" t="n"/>
      <c r="M243" s="16" t="n"/>
      <c r="N243" s="16" t="n"/>
      <c r="O243" s="18" t="n"/>
      <c r="P243" s="18" t="n"/>
      <c r="Q243" s="16" t="n"/>
    </row>
    <row r="244">
      <c r="E244" s="15" t="n"/>
      <c r="F244" s="15" t="n"/>
      <c r="G244" s="15" t="n"/>
      <c r="H244" s="16" t="n"/>
      <c r="I244" s="16" t="n"/>
      <c r="J244" s="17" t="n"/>
      <c r="K244" s="17" t="n"/>
      <c r="L244" s="17" t="n"/>
      <c r="M244" s="16" t="n"/>
      <c r="N244" s="16" t="n"/>
      <c r="O244" s="18" t="n"/>
      <c r="P244" s="18" t="n"/>
      <c r="Q244" s="16" t="n"/>
    </row>
    <row r="245">
      <c r="E245" s="15" t="n"/>
      <c r="F245" s="15" t="n"/>
      <c r="G245" s="15" t="n"/>
      <c r="H245" s="16" t="n"/>
      <c r="I245" s="16" t="n"/>
      <c r="J245" s="17" t="n"/>
      <c r="K245" s="17" t="n"/>
      <c r="L245" s="17" t="n"/>
      <c r="M245" s="16" t="n"/>
      <c r="N245" s="16" t="n"/>
      <c r="O245" s="18" t="n"/>
      <c r="P245" s="18" t="n"/>
      <c r="Q245" s="16" t="n"/>
    </row>
    <row r="246">
      <c r="E246" s="15" t="n"/>
      <c r="F246" s="15" t="n"/>
      <c r="G246" s="15" t="n"/>
      <c r="H246" s="16" t="n"/>
      <c r="I246" s="16" t="n"/>
      <c r="J246" s="17" t="n"/>
      <c r="K246" s="17" t="n"/>
      <c r="L246" s="17" t="n"/>
      <c r="M246" s="16" t="n"/>
      <c r="N246" s="16" t="n"/>
      <c r="O246" s="18" t="n"/>
      <c r="P246" s="18" t="n"/>
      <c r="Q246" s="16" t="n"/>
    </row>
    <row r="247">
      <c r="E247" s="15" t="n"/>
      <c r="F247" s="15" t="n"/>
      <c r="G247" s="15" t="n"/>
      <c r="H247" s="16" t="n"/>
      <c r="I247" s="16" t="n"/>
      <c r="J247" s="17" t="n"/>
      <c r="K247" s="17" t="n"/>
      <c r="L247" s="17" t="n"/>
      <c r="M247" s="16" t="n"/>
      <c r="N247" s="16" t="n"/>
      <c r="O247" s="18" t="n"/>
      <c r="P247" s="18" t="n"/>
      <c r="Q247" s="16" t="n"/>
    </row>
    <row r="248">
      <c r="E248" s="15" t="n"/>
      <c r="F248" s="15" t="n"/>
      <c r="G248" s="15" t="n"/>
      <c r="H248" s="16" t="n"/>
      <c r="I248" s="16" t="n"/>
      <c r="J248" s="17" t="n"/>
      <c r="K248" s="17" t="n"/>
      <c r="L248" s="17" t="n"/>
      <c r="M248" s="16" t="n"/>
      <c r="N248" s="16" t="n"/>
      <c r="O248" s="18" t="n"/>
      <c r="P248" s="18" t="n"/>
      <c r="Q248" s="16" t="n"/>
    </row>
    <row r="249">
      <c r="E249" s="15" t="n"/>
      <c r="F249" s="15" t="n"/>
      <c r="G249" s="15" t="n"/>
      <c r="H249" s="16" t="n"/>
      <c r="I249" s="16" t="n"/>
      <c r="J249" s="17" t="n"/>
      <c r="K249" s="17" t="n"/>
      <c r="L249" s="17" t="n"/>
      <c r="M249" s="16" t="n"/>
      <c r="N249" s="16" t="n"/>
      <c r="O249" s="18" t="n"/>
      <c r="P249" s="18" t="n"/>
      <c r="Q249" s="16" t="n"/>
    </row>
    <row r="250">
      <c r="E250" s="15" t="n"/>
      <c r="F250" s="15" t="n"/>
      <c r="G250" s="15" t="n"/>
      <c r="H250" s="16" t="n"/>
      <c r="I250" s="16" t="n"/>
      <c r="J250" s="17" t="n"/>
      <c r="K250" s="17" t="n"/>
      <c r="L250" s="17" t="n"/>
      <c r="M250" s="16" t="n"/>
      <c r="N250" s="16" t="n"/>
      <c r="O250" s="18" t="n"/>
      <c r="P250" s="18" t="n"/>
      <c r="Q250" s="16" t="n"/>
    </row>
    <row r="251">
      <c r="E251" s="15" t="n"/>
      <c r="F251" s="15" t="n"/>
      <c r="G251" s="15" t="n"/>
      <c r="H251" s="16" t="n"/>
      <c r="I251" s="16" t="n"/>
      <c r="J251" s="17" t="n"/>
      <c r="K251" s="17" t="n"/>
      <c r="L251" s="17" t="n"/>
      <c r="M251" s="16" t="n"/>
      <c r="N251" s="16" t="n"/>
      <c r="O251" s="18" t="n"/>
      <c r="P251" s="18" t="n"/>
      <c r="Q251" s="16" t="n"/>
    </row>
    <row r="252">
      <c r="E252" s="15" t="n"/>
      <c r="F252" s="15" t="n"/>
      <c r="G252" s="15" t="n"/>
      <c r="H252" s="16" t="n"/>
      <c r="I252" s="16" t="n"/>
      <c r="J252" s="17" t="n"/>
      <c r="K252" s="17" t="n"/>
      <c r="L252" s="17" t="n"/>
      <c r="M252" s="16" t="n"/>
      <c r="N252" s="16" t="n"/>
      <c r="O252" s="18" t="n"/>
      <c r="P252" s="18" t="n"/>
      <c r="Q252" s="16" t="n"/>
    </row>
    <row r="253">
      <c r="E253" s="15" t="n"/>
      <c r="F253" s="15" t="n"/>
      <c r="G253" s="15" t="n"/>
      <c r="H253" s="16" t="n"/>
      <c r="I253" s="16" t="n"/>
      <c r="J253" s="17" t="n"/>
      <c r="K253" s="17" t="n"/>
      <c r="L253" s="17" t="n"/>
      <c r="M253" s="16" t="n"/>
      <c r="N253" s="16" t="n"/>
      <c r="O253" s="18" t="n"/>
      <c r="P253" s="18" t="n"/>
      <c r="Q253" s="16" t="n"/>
    </row>
    <row r="254">
      <c r="E254" s="15" t="n"/>
      <c r="F254" s="15" t="n"/>
      <c r="G254" s="15" t="n"/>
      <c r="H254" s="16" t="n"/>
      <c r="I254" s="16" t="n"/>
      <c r="J254" s="17" t="n"/>
      <c r="K254" s="17" t="n"/>
      <c r="L254" s="17" t="n"/>
      <c r="M254" s="16" t="n"/>
      <c r="N254" s="16" t="n"/>
      <c r="O254" s="18" t="n"/>
      <c r="P254" s="18" t="n"/>
      <c r="Q254" s="16" t="n"/>
    </row>
    <row r="255">
      <c r="E255" s="15" t="n"/>
      <c r="F255" s="15" t="n"/>
      <c r="G255" s="15" t="n"/>
      <c r="H255" s="16" t="n"/>
      <c r="I255" s="16" t="n"/>
      <c r="J255" s="17" t="n"/>
      <c r="K255" s="17" t="n"/>
      <c r="L255" s="17" t="n"/>
      <c r="M255" s="16" t="n"/>
      <c r="N255" s="16" t="n"/>
      <c r="O255" s="18" t="n"/>
      <c r="P255" s="18" t="n"/>
      <c r="Q255" s="16" t="n"/>
    </row>
    <row r="256">
      <c r="E256" s="15" t="n"/>
      <c r="F256" s="15" t="n"/>
      <c r="G256" s="15" t="n"/>
      <c r="H256" s="16" t="n"/>
      <c r="I256" s="16" t="n"/>
      <c r="J256" s="17" t="n"/>
      <c r="K256" s="17" t="n"/>
      <c r="L256" s="17" t="n"/>
      <c r="M256" s="16" t="n"/>
      <c r="N256" s="16" t="n"/>
      <c r="O256" s="18" t="n"/>
      <c r="P256" s="18" t="n"/>
      <c r="Q256" s="16" t="n"/>
    </row>
    <row r="257">
      <c r="E257" s="15" t="n"/>
      <c r="F257" s="15" t="n"/>
      <c r="G257" s="15" t="n"/>
      <c r="H257" s="16" t="n"/>
      <c r="I257" s="16" t="n"/>
      <c r="J257" s="17" t="n"/>
      <c r="K257" s="17" t="n"/>
      <c r="L257" s="17" t="n"/>
      <c r="M257" s="16" t="n"/>
      <c r="N257" s="16" t="n"/>
      <c r="O257" s="18" t="n"/>
      <c r="P257" s="18" t="n"/>
      <c r="Q257" s="16" t="n"/>
    </row>
    <row r="258">
      <c r="E258" s="15" t="n"/>
      <c r="F258" s="15" t="n"/>
      <c r="G258" s="15" t="n"/>
      <c r="H258" s="16" t="n"/>
      <c r="I258" s="16" t="n"/>
      <c r="J258" s="17" t="n"/>
      <c r="K258" s="17" t="n"/>
      <c r="L258" s="17" t="n"/>
      <c r="M258" s="16" t="n"/>
      <c r="N258" s="16" t="n"/>
      <c r="O258" s="18" t="n"/>
      <c r="P258" s="18" t="n"/>
      <c r="Q258" s="16" t="n"/>
    </row>
    <row r="259">
      <c r="E259" s="15" t="n"/>
      <c r="F259" s="15" t="n"/>
      <c r="G259" s="15" t="n"/>
      <c r="H259" s="16" t="n"/>
      <c r="I259" s="16" t="n"/>
      <c r="J259" s="17" t="n"/>
      <c r="K259" s="17" t="n"/>
      <c r="L259" s="17" t="n"/>
      <c r="M259" s="16" t="n"/>
      <c r="N259" s="16" t="n"/>
      <c r="O259" s="18" t="n"/>
      <c r="P259" s="18" t="n"/>
      <c r="Q259" s="16" t="n"/>
    </row>
    <row r="260">
      <c r="E260" s="15" t="n"/>
      <c r="F260" s="15" t="n"/>
      <c r="G260" s="15" t="n"/>
      <c r="H260" s="16" t="n"/>
      <c r="I260" s="16" t="n"/>
      <c r="J260" s="17" t="n"/>
      <c r="K260" s="17" t="n"/>
      <c r="L260" s="17" t="n"/>
      <c r="M260" s="16" t="n"/>
      <c r="N260" s="16" t="n"/>
      <c r="O260" s="18" t="n"/>
      <c r="P260" s="18" t="n"/>
      <c r="Q260" s="16" t="n"/>
    </row>
    <row r="261">
      <c r="E261" s="15" t="n"/>
      <c r="F261" s="15" t="n"/>
      <c r="G261" s="15" t="n"/>
      <c r="H261" s="16" t="n"/>
      <c r="I261" s="16" t="n"/>
      <c r="J261" s="17" t="n"/>
      <c r="K261" s="17" t="n"/>
      <c r="L261" s="17" t="n"/>
      <c r="M261" s="16" t="n"/>
      <c r="N261" s="16" t="n"/>
      <c r="O261" s="18" t="n"/>
      <c r="P261" s="18" t="n"/>
      <c r="Q261" s="16" t="n"/>
    </row>
    <row r="262">
      <c r="E262" s="15" t="n"/>
      <c r="F262" s="15" t="n"/>
      <c r="G262" s="15" t="n"/>
      <c r="H262" s="16" t="n"/>
      <c r="I262" s="16" t="n"/>
      <c r="J262" s="17" t="n"/>
      <c r="K262" s="17" t="n"/>
      <c r="L262" s="17" t="n"/>
      <c r="M262" s="16" t="n"/>
      <c r="N262" s="16" t="n"/>
      <c r="O262" s="18" t="n"/>
      <c r="P262" s="18" t="n"/>
      <c r="Q262" s="16" t="n"/>
    </row>
    <row r="263">
      <c r="E263" s="15" t="n"/>
      <c r="F263" s="15" t="n"/>
      <c r="G263" s="15" t="n"/>
      <c r="H263" s="16" t="n"/>
      <c r="I263" s="16" t="n"/>
      <c r="J263" s="17" t="n"/>
      <c r="K263" s="17" t="n"/>
      <c r="L263" s="17" t="n"/>
      <c r="M263" s="16" t="n"/>
      <c r="N263" s="16" t="n"/>
      <c r="O263" s="18" t="n"/>
      <c r="P263" s="18" t="n"/>
      <c r="Q263" s="16" t="n"/>
    </row>
    <row r="264">
      <c r="E264" s="15" t="n"/>
      <c r="F264" s="15" t="n"/>
      <c r="G264" s="15" t="n"/>
      <c r="H264" s="16" t="n"/>
      <c r="I264" s="16" t="n"/>
      <c r="J264" s="17" t="n"/>
      <c r="K264" s="17" t="n"/>
      <c r="L264" s="17" t="n"/>
      <c r="M264" s="16" t="n"/>
      <c r="N264" s="16" t="n"/>
      <c r="O264" s="18" t="n"/>
      <c r="P264" s="18" t="n"/>
      <c r="Q264" s="16" t="n"/>
    </row>
    <row r="265">
      <c r="E265" s="15" t="n"/>
      <c r="F265" s="15" t="n"/>
      <c r="G265" s="15" t="n"/>
      <c r="H265" s="16" t="n"/>
      <c r="I265" s="16" t="n"/>
      <c r="J265" s="17" t="n"/>
      <c r="K265" s="17" t="n"/>
      <c r="L265" s="17" t="n"/>
      <c r="M265" s="16" t="n"/>
      <c r="N265" s="16" t="n"/>
      <c r="O265" s="18" t="n"/>
      <c r="P265" s="18" t="n"/>
      <c r="Q265" s="16" t="n"/>
    </row>
    <row r="266">
      <c r="E266" s="15" t="n"/>
      <c r="F266" s="15" t="n"/>
      <c r="G266" s="15" t="n"/>
      <c r="H266" s="16" t="n"/>
      <c r="I266" s="16" t="n"/>
      <c r="J266" s="17" t="n"/>
      <c r="K266" s="17" t="n"/>
      <c r="L266" s="17" t="n"/>
      <c r="M266" s="16" t="n"/>
      <c r="N266" s="16" t="n"/>
      <c r="O266" s="18" t="n"/>
      <c r="P266" s="18" t="n"/>
      <c r="Q266" s="16" t="n"/>
    </row>
    <row r="267">
      <c r="E267" s="15" t="n"/>
      <c r="F267" s="15" t="n"/>
      <c r="G267" s="15" t="n"/>
      <c r="H267" s="16" t="n"/>
      <c r="I267" s="16" t="n"/>
      <c r="J267" s="17" t="n"/>
      <c r="K267" s="17" t="n"/>
      <c r="L267" s="17" t="n"/>
      <c r="M267" s="16" t="n"/>
      <c r="N267" s="16" t="n"/>
      <c r="O267" s="18" t="n"/>
      <c r="P267" s="18" t="n"/>
      <c r="Q267" s="16" t="n"/>
    </row>
    <row r="268">
      <c r="E268" s="15" t="n"/>
      <c r="F268" s="15" t="n"/>
      <c r="G268" s="15" t="n"/>
      <c r="H268" s="16" t="n"/>
      <c r="I268" s="16" t="n"/>
      <c r="J268" s="17" t="n"/>
      <c r="K268" s="17" t="n"/>
      <c r="L268" s="17" t="n"/>
      <c r="M268" s="16" t="n"/>
      <c r="N268" s="16" t="n"/>
      <c r="O268" s="18" t="n"/>
      <c r="P268" s="18" t="n"/>
      <c r="Q268" s="16" t="n"/>
    </row>
    <row r="269">
      <c r="E269" s="15" t="n"/>
      <c r="F269" s="15" t="n"/>
      <c r="G269" s="15" t="n"/>
      <c r="H269" s="16" t="n"/>
      <c r="I269" s="16" t="n"/>
      <c r="J269" s="17" t="n"/>
      <c r="K269" s="17" t="n"/>
      <c r="L269" s="17" t="n"/>
      <c r="M269" s="16" t="n"/>
      <c r="N269" s="16" t="n"/>
      <c r="O269" s="18" t="n"/>
      <c r="P269" s="18" t="n"/>
      <c r="Q269" s="16" t="n"/>
    </row>
    <row r="270">
      <c r="E270" s="15" t="n"/>
      <c r="F270" s="15" t="n"/>
      <c r="G270" s="15" t="n"/>
      <c r="H270" s="16" t="n"/>
      <c r="I270" s="16" t="n"/>
      <c r="J270" s="17" t="n"/>
      <c r="K270" s="17" t="n"/>
      <c r="L270" s="17" t="n"/>
      <c r="M270" s="16" t="n"/>
      <c r="N270" s="16" t="n"/>
      <c r="O270" s="18" t="n"/>
      <c r="P270" s="18" t="n"/>
      <c r="Q270" s="16" t="n"/>
    </row>
    <row r="271">
      <c r="E271" s="15" t="n"/>
      <c r="F271" s="15" t="n"/>
      <c r="G271" s="15" t="n"/>
      <c r="H271" s="16" t="n"/>
      <c r="I271" s="16" t="n"/>
      <c r="J271" s="17" t="n"/>
      <c r="K271" s="17" t="n"/>
      <c r="L271" s="17" t="n"/>
      <c r="M271" s="16" t="n"/>
      <c r="N271" s="16" t="n"/>
      <c r="O271" s="18" t="n"/>
      <c r="P271" s="18" t="n"/>
      <c r="Q271" s="16" t="n"/>
    </row>
    <row r="272">
      <c r="E272" s="15" t="n"/>
      <c r="F272" s="15" t="n"/>
      <c r="G272" s="15" t="n"/>
      <c r="H272" s="16" t="n"/>
      <c r="I272" s="16" t="n"/>
      <c r="J272" s="17" t="n"/>
      <c r="K272" s="17" t="n"/>
      <c r="L272" s="17" t="n"/>
      <c r="M272" s="16" t="n"/>
      <c r="N272" s="16" t="n"/>
      <c r="O272" s="18" t="n"/>
      <c r="P272" s="18" t="n"/>
      <c r="Q272" s="16" t="n"/>
    </row>
    <row r="273">
      <c r="E273" s="15" t="n"/>
      <c r="F273" s="15" t="n"/>
      <c r="G273" s="15" t="n"/>
      <c r="H273" s="16" t="n"/>
      <c r="I273" s="16" t="n"/>
      <c r="J273" s="17" t="n"/>
      <c r="K273" s="17" t="n"/>
      <c r="L273" s="17" t="n"/>
      <c r="M273" s="16" t="n"/>
      <c r="N273" s="16" t="n"/>
      <c r="O273" s="18" t="n"/>
      <c r="P273" s="18" t="n"/>
      <c r="Q273" s="16" t="n"/>
    </row>
    <row r="274">
      <c r="E274" s="15" t="n"/>
      <c r="F274" s="15" t="n"/>
      <c r="G274" s="15" t="n"/>
      <c r="H274" s="16" t="n"/>
      <c r="I274" s="16" t="n"/>
      <c r="J274" s="17" t="n"/>
      <c r="K274" s="17" t="n"/>
      <c r="L274" s="17" t="n"/>
      <c r="M274" s="16" t="n"/>
      <c r="N274" s="16" t="n"/>
      <c r="O274" s="18" t="n"/>
      <c r="P274" s="18" t="n"/>
      <c r="Q274" s="16" t="n"/>
    </row>
    <row r="275">
      <c r="E275" s="15" t="n"/>
      <c r="F275" s="15" t="n"/>
      <c r="G275" s="15" t="n"/>
      <c r="H275" s="16" t="n"/>
      <c r="I275" s="16" t="n"/>
      <c r="J275" s="17" t="n"/>
      <c r="K275" s="17" t="n"/>
      <c r="L275" s="17" t="n"/>
      <c r="M275" s="16" t="n"/>
      <c r="N275" s="16" t="n"/>
      <c r="O275" s="18" t="n"/>
      <c r="P275" s="18" t="n"/>
      <c r="Q275" s="16" t="n"/>
    </row>
    <row r="276">
      <c r="E276" s="15" t="n"/>
      <c r="F276" s="15" t="n"/>
      <c r="G276" s="15" t="n"/>
      <c r="H276" s="16" t="n"/>
      <c r="I276" s="16" t="n"/>
      <c r="J276" s="17" t="n"/>
      <c r="K276" s="17" t="n"/>
      <c r="L276" s="17" t="n"/>
      <c r="M276" s="16" t="n"/>
      <c r="N276" s="16" t="n"/>
      <c r="O276" s="18" t="n"/>
      <c r="P276" s="18" t="n"/>
      <c r="Q276" s="16" t="n"/>
    </row>
    <row r="277">
      <c r="E277" s="15" t="n"/>
      <c r="F277" s="15" t="n"/>
      <c r="G277" s="15" t="n"/>
      <c r="H277" s="16" t="n"/>
      <c r="I277" s="16" t="n"/>
      <c r="J277" s="17" t="n"/>
      <c r="K277" s="17" t="n"/>
      <c r="L277" s="17" t="n"/>
      <c r="M277" s="16" t="n"/>
      <c r="N277" s="16" t="n"/>
      <c r="O277" s="18" t="n"/>
      <c r="P277" s="18" t="n"/>
      <c r="Q277" s="16" t="n"/>
    </row>
    <row r="278">
      <c r="E278" s="15" t="n"/>
      <c r="F278" s="15" t="n"/>
      <c r="G278" s="15" t="n"/>
      <c r="H278" s="16" t="n"/>
      <c r="I278" s="16" t="n"/>
      <c r="J278" s="17" t="n"/>
      <c r="K278" s="17" t="n"/>
      <c r="L278" s="17" t="n"/>
      <c r="M278" s="16" t="n"/>
      <c r="N278" s="16" t="n"/>
      <c r="O278" s="18" t="n"/>
      <c r="P278" s="18" t="n"/>
      <c r="Q278" s="16" t="n"/>
    </row>
    <row r="279">
      <c r="E279" s="15" t="n"/>
      <c r="F279" s="15" t="n"/>
      <c r="G279" s="15" t="n"/>
      <c r="H279" s="16" t="n"/>
      <c r="I279" s="16" t="n"/>
      <c r="J279" s="17" t="n"/>
      <c r="K279" s="17" t="n"/>
      <c r="L279" s="17" t="n"/>
      <c r="M279" s="16" t="n"/>
      <c r="N279" s="16" t="n"/>
      <c r="O279" s="18" t="n"/>
      <c r="P279" s="18" t="n"/>
      <c r="Q279" s="16" t="n"/>
    </row>
    <row r="280">
      <c r="E280" s="15" t="n"/>
      <c r="F280" s="15" t="n"/>
      <c r="G280" s="15" t="n"/>
      <c r="H280" s="16" t="n"/>
      <c r="I280" s="16" t="n"/>
      <c r="J280" s="17" t="n"/>
      <c r="K280" s="17" t="n"/>
      <c r="L280" s="17" t="n"/>
      <c r="M280" s="16" t="n"/>
      <c r="N280" s="16" t="n"/>
      <c r="O280" s="18" t="n"/>
      <c r="P280" s="18" t="n"/>
      <c r="Q280" s="16" t="n"/>
    </row>
    <row r="281">
      <c r="E281" s="15" t="n"/>
      <c r="F281" s="15" t="n"/>
      <c r="G281" s="15" t="n"/>
      <c r="H281" s="16" t="n"/>
      <c r="I281" s="16" t="n"/>
      <c r="J281" s="17" t="n"/>
      <c r="K281" s="17" t="n"/>
      <c r="L281" s="17" t="n"/>
      <c r="M281" s="16" t="n"/>
      <c r="N281" s="16" t="n"/>
      <c r="O281" s="18" t="n"/>
      <c r="P281" s="18" t="n"/>
      <c r="Q281" s="16" t="n"/>
    </row>
    <row r="282">
      <c r="E282" s="15" t="n"/>
      <c r="F282" s="15" t="n"/>
      <c r="G282" s="15" t="n"/>
      <c r="H282" s="16" t="n"/>
      <c r="I282" s="16" t="n"/>
      <c r="J282" s="17" t="n"/>
      <c r="K282" s="17" t="n"/>
      <c r="L282" s="17" t="n"/>
      <c r="M282" s="16" t="n"/>
      <c r="N282" s="16" t="n"/>
      <c r="O282" s="18" t="n"/>
      <c r="P282" s="18" t="n"/>
      <c r="Q282" s="16" t="n"/>
    </row>
    <row r="283">
      <c r="E283" s="15" t="n"/>
      <c r="F283" s="15" t="n"/>
      <c r="G283" s="15" t="n"/>
      <c r="H283" s="16" t="n"/>
      <c r="I283" s="16" t="n"/>
      <c r="J283" s="17" t="n"/>
      <c r="K283" s="17" t="n"/>
      <c r="L283" s="17" t="n"/>
      <c r="M283" s="16" t="n"/>
      <c r="N283" s="16" t="n"/>
      <c r="O283" s="18" t="n"/>
      <c r="P283" s="18" t="n"/>
      <c r="Q283" s="16" t="n"/>
    </row>
    <row r="284">
      <c r="E284" s="15" t="n"/>
      <c r="F284" s="15" t="n"/>
      <c r="G284" s="15" t="n"/>
      <c r="H284" s="16" t="n"/>
      <c r="I284" s="16" t="n"/>
      <c r="J284" s="17" t="n"/>
      <c r="K284" s="17" t="n"/>
      <c r="L284" s="17" t="n"/>
      <c r="M284" s="16" t="n"/>
      <c r="N284" s="16" t="n"/>
      <c r="O284" s="18" t="n"/>
      <c r="P284" s="18" t="n"/>
      <c r="Q284" s="16" t="n"/>
    </row>
    <row r="285">
      <c r="E285" s="15" t="n"/>
      <c r="F285" s="15" t="n"/>
      <c r="G285" s="15" t="n"/>
      <c r="H285" s="16" t="n"/>
      <c r="I285" s="16" t="n"/>
      <c r="J285" s="17" t="n"/>
      <c r="K285" s="17" t="n"/>
      <c r="L285" s="17" t="n"/>
      <c r="M285" s="16" t="n"/>
      <c r="N285" s="16" t="n"/>
      <c r="O285" s="18" t="n"/>
      <c r="P285" s="18" t="n"/>
      <c r="Q285" s="16" t="n"/>
    </row>
    <row r="286">
      <c r="E286" s="15" t="n"/>
      <c r="F286" s="15" t="n"/>
      <c r="G286" s="15" t="n"/>
      <c r="H286" s="16" t="n"/>
      <c r="I286" s="16" t="n"/>
      <c r="J286" s="17" t="n"/>
      <c r="K286" s="17" t="n"/>
      <c r="L286" s="17" t="n"/>
      <c r="M286" s="16" t="n"/>
      <c r="N286" s="16" t="n"/>
      <c r="O286" s="18" t="n"/>
      <c r="P286" s="18" t="n"/>
      <c r="Q286" s="16" t="n"/>
    </row>
    <row r="287">
      <c r="E287" s="15" t="n"/>
      <c r="F287" s="15" t="n"/>
      <c r="G287" s="15" t="n"/>
      <c r="H287" s="16" t="n"/>
      <c r="I287" s="16" t="n"/>
      <c r="J287" s="17" t="n"/>
      <c r="K287" s="17" t="n"/>
      <c r="L287" s="17" t="n"/>
      <c r="M287" s="16" t="n"/>
      <c r="N287" s="16" t="n"/>
      <c r="O287" s="18" t="n"/>
      <c r="P287" s="18" t="n"/>
      <c r="Q287" s="16" t="n"/>
    </row>
    <row r="288">
      <c r="E288" s="15" t="n"/>
      <c r="F288" s="15" t="n"/>
      <c r="G288" s="15" t="n"/>
      <c r="H288" s="16" t="n"/>
      <c r="I288" s="16" t="n"/>
      <c r="J288" s="17" t="n"/>
      <c r="K288" s="17" t="n"/>
      <c r="L288" s="17" t="n"/>
      <c r="M288" s="16" t="n"/>
      <c r="N288" s="16" t="n"/>
      <c r="O288" s="18" t="n"/>
      <c r="P288" s="18" t="n"/>
      <c r="Q288" s="16" t="n"/>
    </row>
    <row r="289">
      <c r="E289" s="15" t="n"/>
      <c r="F289" s="15" t="n"/>
      <c r="G289" s="15" t="n"/>
      <c r="H289" s="16" t="n"/>
      <c r="I289" s="16" t="n"/>
      <c r="J289" s="17" t="n"/>
      <c r="K289" s="17" t="n"/>
      <c r="L289" s="17" t="n"/>
      <c r="M289" s="16" t="n"/>
      <c r="N289" s="16" t="n"/>
      <c r="O289" s="18" t="n"/>
      <c r="P289" s="18" t="n"/>
      <c r="Q289" s="16" t="n"/>
    </row>
    <row r="290">
      <c r="E290" s="15" t="n"/>
      <c r="F290" s="15" t="n"/>
      <c r="G290" s="15" t="n"/>
      <c r="H290" s="16" t="n"/>
      <c r="I290" s="16" t="n"/>
      <c r="J290" s="17" t="n"/>
      <c r="K290" s="17" t="n"/>
      <c r="L290" s="17" t="n"/>
      <c r="M290" s="16" t="n"/>
      <c r="N290" s="16" t="n"/>
      <c r="O290" s="18" t="n"/>
      <c r="P290" s="18" t="n"/>
      <c r="Q290" s="16" t="n"/>
    </row>
    <row r="291">
      <c r="E291" s="15" t="n"/>
      <c r="F291" s="15" t="n"/>
      <c r="G291" s="15" t="n"/>
      <c r="H291" s="16" t="n"/>
      <c r="I291" s="16" t="n"/>
      <c r="J291" s="17" t="n"/>
      <c r="K291" s="17" t="n"/>
      <c r="L291" s="17" t="n"/>
      <c r="M291" s="16" t="n"/>
      <c r="N291" s="16" t="n"/>
      <c r="O291" s="18" t="n"/>
      <c r="P291" s="18" t="n"/>
      <c r="Q291" s="16" t="n"/>
    </row>
    <row r="292">
      <c r="E292" s="15" t="n"/>
      <c r="F292" s="15" t="n"/>
      <c r="G292" s="15" t="n"/>
      <c r="H292" s="16" t="n"/>
      <c r="I292" s="16" t="n"/>
      <c r="J292" s="17" t="n"/>
      <c r="K292" s="17" t="n"/>
      <c r="L292" s="17" t="n"/>
      <c r="M292" s="16" t="n"/>
      <c r="N292" s="16" t="n"/>
      <c r="O292" s="18" t="n"/>
      <c r="P292" s="18" t="n"/>
      <c r="Q292" s="16" t="n"/>
    </row>
    <row r="293">
      <c r="E293" s="15" t="n"/>
      <c r="F293" s="15" t="n"/>
      <c r="G293" s="15" t="n"/>
      <c r="H293" s="16" t="n"/>
      <c r="I293" s="16" t="n"/>
      <c r="J293" s="17" t="n"/>
      <c r="K293" s="17" t="n"/>
      <c r="L293" s="17" t="n"/>
      <c r="M293" s="16" t="n"/>
      <c r="N293" s="16" t="n"/>
      <c r="O293" s="18" t="n"/>
      <c r="P293" s="18" t="n"/>
      <c r="Q293" s="16" t="n"/>
    </row>
    <row r="294">
      <c r="E294" s="15" t="n"/>
      <c r="F294" s="15" t="n"/>
      <c r="G294" s="15" t="n"/>
      <c r="H294" s="16" t="n"/>
      <c r="I294" s="16" t="n"/>
      <c r="J294" s="17" t="n"/>
      <c r="K294" s="17" t="n"/>
      <c r="L294" s="17" t="n"/>
      <c r="M294" s="16" t="n"/>
      <c r="N294" s="16" t="n"/>
      <c r="O294" s="18" t="n"/>
      <c r="P294" s="18" t="n"/>
      <c r="Q294" s="16" t="n"/>
    </row>
    <row r="295">
      <c r="E295" s="15" t="n"/>
      <c r="F295" s="15" t="n"/>
      <c r="G295" s="15" t="n"/>
      <c r="H295" s="16" t="n"/>
      <c r="I295" s="16" t="n"/>
      <c r="J295" s="17" t="n"/>
      <c r="K295" s="17" t="n"/>
      <c r="L295" s="17" t="n"/>
      <c r="M295" s="16" t="n"/>
      <c r="N295" s="16" t="n"/>
      <c r="O295" s="18" t="n"/>
      <c r="P295" s="18" t="n"/>
      <c r="Q295" s="16" t="n"/>
    </row>
    <row r="296">
      <c r="E296" s="15" t="n"/>
      <c r="F296" s="15" t="n"/>
      <c r="G296" s="15" t="n"/>
      <c r="H296" s="16" t="n"/>
      <c r="I296" s="16" t="n"/>
      <c r="J296" s="17" t="n"/>
      <c r="K296" s="17" t="n"/>
      <c r="L296" s="17" t="n"/>
      <c r="M296" s="16" t="n"/>
      <c r="N296" s="16" t="n"/>
      <c r="O296" s="18" t="n"/>
      <c r="P296" s="18" t="n"/>
      <c r="Q296" s="16" t="n"/>
    </row>
    <row r="297">
      <c r="E297" s="15" t="n"/>
      <c r="F297" s="15" t="n"/>
      <c r="G297" s="15" t="n"/>
      <c r="H297" s="16" t="n"/>
      <c r="I297" s="16" t="n"/>
      <c r="J297" s="17" t="n"/>
      <c r="K297" s="17" t="n"/>
      <c r="L297" s="17" t="n"/>
      <c r="M297" s="16" t="n"/>
      <c r="N297" s="16" t="n"/>
      <c r="O297" s="18" t="n"/>
      <c r="P297" s="18" t="n"/>
      <c r="Q297" s="16" t="n"/>
    </row>
    <row r="298">
      <c r="E298" s="15" t="n"/>
      <c r="F298" s="15" t="n"/>
      <c r="G298" s="15" t="n"/>
      <c r="H298" s="16" t="n"/>
      <c r="I298" s="16" t="n"/>
      <c r="J298" s="17" t="n"/>
      <c r="K298" s="17" t="n"/>
      <c r="L298" s="17" t="n"/>
      <c r="M298" s="16" t="n"/>
      <c r="N298" s="16" t="n"/>
      <c r="O298" s="18" t="n"/>
      <c r="P298" s="18" t="n"/>
      <c r="Q298" s="16" t="n"/>
    </row>
    <row r="299">
      <c r="E299" s="15" t="n"/>
      <c r="F299" s="15" t="n"/>
      <c r="G299" s="15" t="n"/>
      <c r="H299" s="16" t="n"/>
      <c r="I299" s="16" t="n"/>
      <c r="J299" s="17" t="n"/>
      <c r="K299" s="17" t="n"/>
      <c r="L299" s="17" t="n"/>
      <c r="M299" s="16" t="n"/>
      <c r="N299" s="16" t="n"/>
      <c r="O299" s="18" t="n"/>
      <c r="P299" s="18" t="n"/>
      <c r="Q299" s="16" t="n"/>
    </row>
    <row r="300">
      <c r="E300" s="15" t="n"/>
      <c r="F300" s="15" t="n"/>
      <c r="G300" s="15" t="n"/>
      <c r="H300" s="16" t="n"/>
      <c r="I300" s="16" t="n"/>
      <c r="J300" s="17" t="n"/>
      <c r="K300" s="17" t="n"/>
      <c r="L300" s="17" t="n"/>
      <c r="M300" s="16" t="n"/>
      <c r="N300" s="16" t="n"/>
      <c r="O300" s="18" t="n"/>
      <c r="P300" s="18" t="n"/>
      <c r="Q300" s="16" t="n"/>
    </row>
    <row r="301">
      <c r="E301" s="15" t="n"/>
      <c r="F301" s="15" t="n"/>
      <c r="G301" s="15" t="n"/>
      <c r="H301" s="16" t="n"/>
      <c r="I301" s="16" t="n"/>
      <c r="J301" s="17" t="n"/>
      <c r="K301" s="17" t="n"/>
      <c r="L301" s="17" t="n"/>
      <c r="M301" s="16" t="n"/>
      <c r="N301" s="16" t="n"/>
      <c r="O301" s="18" t="n"/>
      <c r="P301" s="18" t="n"/>
      <c r="Q301" s="16" t="n"/>
    </row>
    <row r="302">
      <c r="E302" s="15" t="n"/>
      <c r="F302" s="15" t="n"/>
      <c r="G302" s="15" t="n"/>
      <c r="H302" s="16" t="n"/>
      <c r="I302" s="16" t="n"/>
      <c r="J302" s="17" t="n"/>
      <c r="K302" s="17" t="n"/>
      <c r="L302" s="17" t="n"/>
      <c r="M302" s="16" t="n"/>
      <c r="N302" s="16" t="n"/>
      <c r="O302" s="18" t="n"/>
      <c r="P302" s="18" t="n"/>
      <c r="Q302" s="16" t="n"/>
    </row>
    <row r="303">
      <c r="E303" s="15" t="n"/>
      <c r="F303" s="15" t="n"/>
      <c r="G303" s="15" t="n"/>
      <c r="H303" s="16" t="n"/>
      <c r="I303" s="16" t="n"/>
      <c r="J303" s="17" t="n"/>
      <c r="K303" s="17" t="n"/>
      <c r="L303" s="17" t="n"/>
      <c r="M303" s="16" t="n"/>
      <c r="N303" s="16" t="n"/>
      <c r="O303" s="18" t="n"/>
      <c r="P303" s="18" t="n"/>
      <c r="Q303" s="16" t="n"/>
    </row>
    <row r="304">
      <c r="E304" s="15" t="n"/>
      <c r="F304" s="15" t="n"/>
      <c r="G304" s="15" t="n"/>
      <c r="H304" s="16" t="n"/>
      <c r="I304" s="16" t="n"/>
      <c r="J304" s="17" t="n"/>
      <c r="K304" s="17" t="n"/>
      <c r="L304" s="17" t="n"/>
      <c r="M304" s="16" t="n"/>
      <c r="N304" s="16" t="n"/>
      <c r="O304" s="18" t="n"/>
      <c r="P304" s="18" t="n"/>
      <c r="Q304" s="16" t="n"/>
    </row>
    <row r="305">
      <c r="E305" s="15" t="n"/>
      <c r="F305" s="15" t="n"/>
      <c r="G305" s="15" t="n"/>
      <c r="H305" s="16" t="n"/>
      <c r="I305" s="16" t="n"/>
      <c r="J305" s="17" t="n"/>
      <c r="K305" s="17" t="n"/>
      <c r="L305" s="17" t="n"/>
      <c r="M305" s="16" t="n"/>
      <c r="N305" s="16" t="n"/>
      <c r="O305" s="18" t="n"/>
      <c r="P305" s="18" t="n"/>
      <c r="Q305" s="16" t="n"/>
    </row>
    <row r="306">
      <c r="E306" s="15" t="n"/>
      <c r="F306" s="15" t="n"/>
      <c r="G306" s="15" t="n"/>
      <c r="H306" s="16" t="n"/>
      <c r="I306" s="16" t="n"/>
      <c r="J306" s="17" t="n"/>
      <c r="K306" s="17" t="n"/>
      <c r="L306" s="17" t="n"/>
      <c r="M306" s="16" t="n"/>
      <c r="N306" s="16" t="n"/>
      <c r="O306" s="18" t="n"/>
      <c r="P306" s="18" t="n"/>
      <c r="Q306" s="16" t="n"/>
    </row>
    <row r="307">
      <c r="E307" s="15" t="n"/>
      <c r="F307" s="15" t="n"/>
      <c r="G307" s="15" t="n"/>
      <c r="H307" s="16" t="n"/>
      <c r="I307" s="16" t="n"/>
      <c r="J307" s="17" t="n"/>
      <c r="K307" s="17" t="n"/>
      <c r="L307" s="17" t="n"/>
      <c r="M307" s="16" t="n"/>
      <c r="N307" s="16" t="n"/>
      <c r="O307" s="18" t="n"/>
      <c r="P307" s="18" t="n"/>
      <c r="Q307" s="16" t="n"/>
    </row>
    <row r="308">
      <c r="E308" s="15" t="n"/>
      <c r="F308" s="15" t="n"/>
      <c r="G308" s="15" t="n"/>
      <c r="H308" s="16" t="n"/>
      <c r="I308" s="16" t="n"/>
      <c r="J308" s="17" t="n"/>
      <c r="K308" s="17" t="n"/>
      <c r="L308" s="17" t="n"/>
      <c r="M308" s="16" t="n"/>
      <c r="N308" s="16" t="n"/>
      <c r="O308" s="18" t="n"/>
      <c r="P308" s="18" t="n"/>
      <c r="Q308" s="16" t="n"/>
    </row>
    <row r="309">
      <c r="E309" s="15" t="n"/>
      <c r="F309" s="15" t="n"/>
      <c r="G309" s="15" t="n"/>
      <c r="H309" s="16" t="n"/>
      <c r="I309" s="16" t="n"/>
      <c r="J309" s="17" t="n"/>
      <c r="K309" s="17" t="n"/>
      <c r="L309" s="17" t="n"/>
      <c r="M309" s="16" t="n"/>
      <c r="N309" s="16" t="n"/>
      <c r="O309" s="18" t="n"/>
      <c r="P309" s="18" t="n"/>
      <c r="Q309" s="16" t="n"/>
    </row>
    <row r="310">
      <c r="E310" s="15" t="n"/>
      <c r="F310" s="15" t="n"/>
      <c r="G310" s="15" t="n"/>
      <c r="H310" s="16" t="n"/>
      <c r="I310" s="16" t="n"/>
      <c r="J310" s="17" t="n"/>
      <c r="K310" s="17" t="n"/>
      <c r="L310" s="17" t="n"/>
      <c r="M310" s="16" t="n"/>
      <c r="N310" s="16" t="n"/>
      <c r="O310" s="18" t="n"/>
      <c r="P310" s="18" t="n"/>
      <c r="Q310" s="16" t="n"/>
    </row>
    <row r="311">
      <c r="E311" s="15" t="n"/>
      <c r="F311" s="15" t="n"/>
      <c r="G311" s="15" t="n"/>
      <c r="H311" s="16" t="n"/>
      <c r="I311" s="16" t="n"/>
      <c r="J311" s="17" t="n"/>
      <c r="K311" s="17" t="n"/>
      <c r="L311" s="17" t="n"/>
      <c r="M311" s="16" t="n"/>
      <c r="N311" s="16" t="n"/>
      <c r="O311" s="18" t="n"/>
      <c r="P311" s="18" t="n"/>
      <c r="Q311" s="16" t="n"/>
    </row>
    <row r="312">
      <c r="E312" s="15" t="n"/>
      <c r="F312" s="15" t="n"/>
      <c r="G312" s="15" t="n"/>
      <c r="H312" s="16" t="n"/>
      <c r="I312" s="16" t="n"/>
      <c r="J312" s="17" t="n"/>
      <c r="K312" s="17" t="n"/>
      <c r="L312" s="17" t="n"/>
      <c r="M312" s="16" t="n"/>
      <c r="N312" s="16" t="n"/>
      <c r="O312" s="18" t="n"/>
      <c r="P312" s="18" t="n"/>
      <c r="Q312" s="16" t="n"/>
    </row>
    <row r="313">
      <c r="E313" s="15" t="n"/>
      <c r="F313" s="15" t="n"/>
      <c r="G313" s="15" t="n"/>
      <c r="H313" s="16" t="n"/>
      <c r="I313" s="16" t="n"/>
      <c r="J313" s="17" t="n"/>
      <c r="K313" s="17" t="n"/>
      <c r="L313" s="17" t="n"/>
      <c r="M313" s="16" t="n"/>
      <c r="N313" s="16" t="n"/>
      <c r="O313" s="18" t="n"/>
      <c r="P313" s="18" t="n"/>
      <c r="Q313" s="16" t="n"/>
    </row>
    <row r="314">
      <c r="E314" s="15" t="n"/>
      <c r="F314" s="15" t="n"/>
      <c r="G314" s="15" t="n"/>
      <c r="H314" s="16" t="n"/>
      <c r="I314" s="16" t="n"/>
      <c r="J314" s="17" t="n"/>
      <c r="K314" s="17" t="n"/>
      <c r="L314" s="17" t="n"/>
      <c r="M314" s="16" t="n"/>
      <c r="N314" s="16" t="n"/>
      <c r="O314" s="18" t="n"/>
      <c r="P314" s="18" t="n"/>
      <c r="Q314" s="16" t="n"/>
    </row>
    <row r="315">
      <c r="E315" s="15" t="n"/>
      <c r="F315" s="15" t="n"/>
      <c r="G315" s="15" t="n"/>
      <c r="H315" s="16" t="n"/>
      <c r="I315" s="16" t="n"/>
      <c r="J315" s="17" t="n"/>
      <c r="K315" s="17" t="n"/>
      <c r="L315" s="17" t="n"/>
      <c r="M315" s="16" t="n"/>
      <c r="N315" s="16" t="n"/>
      <c r="O315" s="18" t="n"/>
      <c r="P315" s="18" t="n"/>
      <c r="Q315" s="16" t="n"/>
    </row>
    <row r="316">
      <c r="E316" s="15" t="n"/>
      <c r="F316" s="15" t="n"/>
      <c r="G316" s="15" t="n"/>
      <c r="H316" s="16" t="n"/>
      <c r="I316" s="16" t="n"/>
      <c r="J316" s="17" t="n"/>
      <c r="K316" s="17" t="n"/>
      <c r="L316" s="17" t="n"/>
      <c r="M316" s="16" t="n"/>
      <c r="N316" s="16" t="n"/>
      <c r="O316" s="18" t="n"/>
      <c r="P316" s="18" t="n"/>
      <c r="Q316" s="16" t="n"/>
    </row>
    <row r="317">
      <c r="E317" s="15" t="n"/>
      <c r="F317" s="15" t="n"/>
      <c r="G317" s="15" t="n"/>
      <c r="H317" s="16" t="n"/>
      <c r="I317" s="16" t="n"/>
      <c r="J317" s="17" t="n"/>
      <c r="K317" s="17" t="n"/>
      <c r="L317" s="17" t="n"/>
      <c r="M317" s="16" t="n"/>
      <c r="N317" s="16" t="n"/>
      <c r="O317" s="18" t="n"/>
      <c r="P317" s="18" t="n"/>
      <c r="Q317" s="16" t="n"/>
    </row>
    <row r="318">
      <c r="E318" s="15" t="n"/>
      <c r="F318" s="15" t="n"/>
      <c r="G318" s="15" t="n"/>
      <c r="H318" s="16" t="n"/>
      <c r="I318" s="16" t="n"/>
      <c r="J318" s="17" t="n"/>
      <c r="K318" s="17" t="n"/>
      <c r="L318" s="17" t="n"/>
      <c r="M318" s="16" t="n"/>
      <c r="N318" s="16" t="n"/>
      <c r="O318" s="18" t="n"/>
      <c r="P318" s="18" t="n"/>
      <c r="Q318" s="16" t="n"/>
    </row>
    <row r="319">
      <c r="E319" s="15" t="n"/>
      <c r="F319" s="15" t="n"/>
      <c r="G319" s="15" t="n"/>
      <c r="H319" s="16" t="n"/>
      <c r="I319" s="16" t="n"/>
      <c r="J319" s="17" t="n"/>
      <c r="K319" s="17" t="n"/>
      <c r="L319" s="17" t="n"/>
      <c r="M319" s="16" t="n"/>
      <c r="N319" s="16" t="n"/>
      <c r="O319" s="18" t="n"/>
      <c r="P319" s="18" t="n"/>
      <c r="Q319" s="16" t="n"/>
    </row>
    <row r="320">
      <c r="E320" s="15" t="n"/>
      <c r="F320" s="15" t="n"/>
      <c r="G320" s="15" t="n"/>
      <c r="H320" s="16" t="n"/>
      <c r="I320" s="16" t="n"/>
      <c r="J320" s="17" t="n"/>
      <c r="K320" s="17" t="n"/>
      <c r="L320" s="17" t="n"/>
      <c r="M320" s="16" t="n"/>
      <c r="N320" s="16" t="n"/>
      <c r="O320" s="18" t="n"/>
      <c r="P320" s="18" t="n"/>
      <c r="Q320" s="16" t="n"/>
    </row>
    <row r="321">
      <c r="E321" s="15" t="n"/>
      <c r="F321" s="15" t="n"/>
      <c r="G321" s="15" t="n"/>
      <c r="H321" s="16" t="n"/>
      <c r="I321" s="16" t="n"/>
      <c r="J321" s="17" t="n"/>
      <c r="K321" s="17" t="n"/>
      <c r="L321" s="17" t="n"/>
      <c r="M321" s="16" t="n"/>
      <c r="N321" s="16" t="n"/>
      <c r="O321" s="18" t="n"/>
      <c r="P321" s="18" t="n"/>
      <c r="Q321" s="16" t="n"/>
    </row>
    <row r="322">
      <c r="E322" s="15" t="n"/>
      <c r="F322" s="15" t="n"/>
      <c r="G322" s="15" t="n"/>
      <c r="H322" s="16" t="n"/>
      <c r="I322" s="16" t="n"/>
      <c r="J322" s="17" t="n"/>
      <c r="K322" s="17" t="n"/>
      <c r="L322" s="17" t="n"/>
      <c r="M322" s="16" t="n"/>
      <c r="N322" s="16" t="n"/>
      <c r="O322" s="18" t="n"/>
      <c r="P322" s="18" t="n"/>
      <c r="Q322" s="16" t="n"/>
    </row>
    <row r="323">
      <c r="E323" s="15" t="n"/>
      <c r="F323" s="15" t="n"/>
      <c r="G323" s="15" t="n"/>
      <c r="H323" s="16" t="n"/>
      <c r="I323" s="16" t="n"/>
      <c r="J323" s="17" t="n"/>
      <c r="K323" s="17" t="n"/>
      <c r="L323" s="17" t="n"/>
      <c r="M323" s="16" t="n"/>
      <c r="N323" s="16" t="n"/>
      <c r="O323" s="18" t="n"/>
      <c r="P323" s="18" t="n"/>
      <c r="Q323" s="16" t="n"/>
    </row>
    <row r="324">
      <c r="E324" s="15" t="n"/>
      <c r="F324" s="15" t="n"/>
      <c r="G324" s="15" t="n"/>
      <c r="H324" s="16" t="n"/>
      <c r="I324" s="16" t="n"/>
      <c r="J324" s="17" t="n"/>
      <c r="K324" s="17" t="n"/>
      <c r="L324" s="17" t="n"/>
      <c r="M324" s="16" t="n"/>
      <c r="N324" s="16" t="n"/>
      <c r="O324" s="18" t="n"/>
      <c r="P324" s="18" t="n"/>
      <c r="Q324" s="16" t="n"/>
    </row>
    <row r="325">
      <c r="E325" s="15" t="n"/>
      <c r="F325" s="15" t="n"/>
      <c r="G325" s="15" t="n"/>
      <c r="H325" s="16" t="n"/>
      <c r="I325" s="16" t="n"/>
      <c r="J325" s="17" t="n"/>
      <c r="K325" s="17" t="n"/>
      <c r="L325" s="17" t="n"/>
      <c r="M325" s="16" t="n"/>
      <c r="N325" s="16" t="n"/>
      <c r="O325" s="18" t="n"/>
      <c r="P325" s="18" t="n"/>
      <c r="Q325" s="16" t="n"/>
    </row>
    <row r="326">
      <c r="E326" s="15" t="n"/>
      <c r="F326" s="15" t="n"/>
      <c r="G326" s="15" t="n"/>
      <c r="H326" s="16" t="n"/>
      <c r="I326" s="16" t="n"/>
      <c r="J326" s="17" t="n"/>
      <c r="K326" s="17" t="n"/>
      <c r="L326" s="17" t="n"/>
      <c r="M326" s="16" t="n"/>
      <c r="N326" s="16" t="n"/>
      <c r="O326" s="18" t="n"/>
      <c r="P326" s="18" t="n"/>
      <c r="Q326" s="16" t="n"/>
    </row>
    <row r="327">
      <c r="E327" s="15" t="n"/>
      <c r="F327" s="15" t="n"/>
      <c r="G327" s="15" t="n"/>
      <c r="H327" s="16" t="n"/>
      <c r="I327" s="16" t="n"/>
      <c r="J327" s="17" t="n"/>
      <c r="K327" s="17" t="n"/>
      <c r="L327" s="17" t="n"/>
      <c r="M327" s="16" t="n"/>
      <c r="N327" s="16" t="n"/>
      <c r="O327" s="18" t="n"/>
      <c r="P327" s="18" t="n"/>
      <c r="Q327" s="16" t="n"/>
    </row>
    <row r="328">
      <c r="E328" s="15" t="n"/>
      <c r="F328" s="15" t="n"/>
      <c r="G328" s="15" t="n"/>
      <c r="H328" s="16" t="n"/>
      <c r="I328" s="16" t="n"/>
      <c r="J328" s="17" t="n"/>
      <c r="K328" s="17" t="n"/>
      <c r="L328" s="17" t="n"/>
      <c r="M328" s="16" t="n"/>
      <c r="N328" s="16" t="n"/>
      <c r="O328" s="18" t="n"/>
      <c r="P328" s="18" t="n"/>
      <c r="Q328" s="16" t="n"/>
    </row>
    <row r="329">
      <c r="E329" s="15" t="n"/>
      <c r="F329" s="15" t="n"/>
      <c r="G329" s="15" t="n"/>
      <c r="H329" s="16" t="n"/>
      <c r="I329" s="16" t="n"/>
      <c r="J329" s="17" t="n"/>
      <c r="K329" s="17" t="n"/>
      <c r="L329" s="17" t="n"/>
      <c r="M329" s="16" t="n"/>
      <c r="N329" s="16" t="n"/>
      <c r="O329" s="18" t="n"/>
      <c r="P329" s="18" t="n"/>
      <c r="Q329" s="16" t="n"/>
    </row>
    <row r="330">
      <c r="E330" s="15" t="n"/>
      <c r="F330" s="15" t="n"/>
      <c r="G330" s="15" t="n"/>
      <c r="H330" s="16" t="n"/>
      <c r="I330" s="16" t="n"/>
      <c r="J330" s="17" t="n"/>
      <c r="K330" s="17" t="n"/>
      <c r="L330" s="17" t="n"/>
      <c r="M330" s="16" t="n"/>
      <c r="N330" s="16" t="n"/>
      <c r="O330" s="18" t="n"/>
      <c r="P330" s="18" t="n"/>
      <c r="Q330" s="16" t="n"/>
    </row>
    <row r="331">
      <c r="E331" s="15" t="n"/>
      <c r="F331" s="15" t="n"/>
      <c r="G331" s="15" t="n"/>
      <c r="H331" s="16" t="n"/>
      <c r="I331" s="16" t="n"/>
      <c r="J331" s="17" t="n"/>
      <c r="K331" s="17" t="n"/>
      <c r="L331" s="17" t="n"/>
      <c r="M331" s="16" t="n"/>
      <c r="N331" s="16" t="n"/>
      <c r="O331" s="18" t="n"/>
      <c r="P331" s="18" t="n"/>
      <c r="Q331" s="16" t="n"/>
    </row>
    <row r="332">
      <c r="E332" s="15" t="n"/>
      <c r="F332" s="15" t="n"/>
      <c r="G332" s="15" t="n"/>
      <c r="H332" s="16" t="n"/>
      <c r="I332" s="16" t="n"/>
      <c r="J332" s="17" t="n"/>
      <c r="K332" s="17" t="n"/>
      <c r="L332" s="17" t="n"/>
      <c r="M332" s="16" t="n"/>
      <c r="N332" s="16" t="n"/>
      <c r="O332" s="18" t="n"/>
      <c r="P332" s="18" t="n"/>
      <c r="Q332" s="16" t="n"/>
    </row>
    <row r="333">
      <c r="E333" s="15" t="n"/>
      <c r="F333" s="15" t="n"/>
      <c r="G333" s="15" t="n"/>
      <c r="H333" s="16" t="n"/>
      <c r="I333" s="16" t="n"/>
      <c r="J333" s="17" t="n"/>
      <c r="K333" s="17" t="n"/>
      <c r="L333" s="17" t="n"/>
      <c r="M333" s="16" t="n"/>
      <c r="N333" s="16" t="n"/>
      <c r="O333" s="18" t="n"/>
      <c r="P333" s="18" t="n"/>
      <c r="Q333" s="16" t="n"/>
    </row>
    <row r="334">
      <c r="E334" s="15" t="n"/>
      <c r="F334" s="15" t="n"/>
      <c r="G334" s="15" t="n"/>
      <c r="H334" s="16" t="n"/>
      <c r="I334" s="16" t="n"/>
      <c r="J334" s="17" t="n"/>
      <c r="K334" s="17" t="n"/>
      <c r="L334" s="17" t="n"/>
      <c r="M334" s="16" t="n"/>
      <c r="N334" s="16" t="n"/>
      <c r="O334" s="18" t="n"/>
      <c r="P334" s="18" t="n"/>
      <c r="Q334" s="16" t="n"/>
    </row>
    <row r="335">
      <c r="E335" s="15" t="n"/>
      <c r="F335" s="15" t="n"/>
      <c r="G335" s="15" t="n"/>
      <c r="H335" s="16" t="n"/>
      <c r="I335" s="16" t="n"/>
      <c r="J335" s="17" t="n"/>
      <c r="K335" s="17" t="n"/>
      <c r="L335" s="17" t="n"/>
      <c r="M335" s="16" t="n"/>
      <c r="N335" s="16" t="n"/>
      <c r="O335" s="18" t="n"/>
      <c r="P335" s="18" t="n"/>
      <c r="Q335" s="16" t="n"/>
    </row>
    <row r="336">
      <c r="E336" s="15" t="n"/>
      <c r="F336" s="15" t="n"/>
      <c r="G336" s="15" t="n"/>
      <c r="H336" s="16" t="n"/>
      <c r="I336" s="16" t="n"/>
      <c r="J336" s="17" t="n"/>
      <c r="K336" s="17" t="n"/>
      <c r="L336" s="17" t="n"/>
      <c r="M336" s="16" t="n"/>
      <c r="N336" s="16" t="n"/>
      <c r="O336" s="18" t="n"/>
      <c r="P336" s="18" t="n"/>
      <c r="Q336" s="16" t="n"/>
    </row>
    <row r="337">
      <c r="E337" s="15" t="n"/>
      <c r="F337" s="15" t="n"/>
      <c r="G337" s="15" t="n"/>
      <c r="H337" s="16" t="n"/>
      <c r="I337" s="16" t="n"/>
      <c r="J337" s="17" t="n"/>
      <c r="K337" s="17" t="n"/>
      <c r="L337" s="17" t="n"/>
      <c r="M337" s="16" t="n"/>
      <c r="N337" s="16" t="n"/>
      <c r="O337" s="18" t="n"/>
      <c r="P337" s="18" t="n"/>
      <c r="Q337" s="16" t="n"/>
    </row>
    <row r="338">
      <c r="E338" s="15" t="n"/>
      <c r="F338" s="15" t="n"/>
      <c r="G338" s="15" t="n"/>
      <c r="H338" s="16" t="n"/>
      <c r="I338" s="16" t="n"/>
      <c r="J338" s="17" t="n"/>
      <c r="K338" s="17" t="n"/>
      <c r="L338" s="17" t="n"/>
      <c r="M338" s="16" t="n"/>
      <c r="N338" s="16" t="n"/>
      <c r="O338" s="18" t="n"/>
      <c r="P338" s="18" t="n"/>
      <c r="Q338" s="16" t="n"/>
    </row>
    <row r="339">
      <c r="E339" s="15" t="n"/>
      <c r="F339" s="15" t="n"/>
      <c r="G339" s="15" t="n"/>
      <c r="H339" s="16" t="n"/>
      <c r="I339" s="16" t="n"/>
      <c r="J339" s="17" t="n"/>
      <c r="K339" s="17" t="n"/>
      <c r="L339" s="17" t="n"/>
      <c r="M339" s="16" t="n"/>
      <c r="N339" s="16" t="n"/>
      <c r="O339" s="18" t="n"/>
      <c r="P339" s="18" t="n"/>
      <c r="Q339" s="16" t="n"/>
    </row>
    <row r="340">
      <c r="E340" s="15" t="n"/>
      <c r="F340" s="15" t="n"/>
      <c r="G340" s="15" t="n"/>
      <c r="H340" s="16" t="n"/>
      <c r="I340" s="16" t="n"/>
      <c r="J340" s="17" t="n"/>
      <c r="K340" s="17" t="n"/>
      <c r="L340" s="17" t="n"/>
      <c r="M340" s="16" t="n"/>
      <c r="N340" s="16" t="n"/>
      <c r="O340" s="18" t="n"/>
      <c r="P340" s="18" t="n"/>
      <c r="Q340" s="16" t="n"/>
    </row>
    <row r="341">
      <c r="E341" s="15" t="n"/>
      <c r="F341" s="15" t="n"/>
      <c r="G341" s="15" t="n"/>
      <c r="H341" s="16" t="n"/>
      <c r="I341" s="16" t="n"/>
      <c r="J341" s="17" t="n"/>
      <c r="K341" s="17" t="n"/>
      <c r="L341" s="17" t="n"/>
      <c r="M341" s="16" t="n"/>
      <c r="N341" s="16" t="n"/>
      <c r="O341" s="18" t="n"/>
      <c r="P341" s="18" t="n"/>
      <c r="Q341" s="16" t="n"/>
    </row>
    <row r="342">
      <c r="E342" s="15" t="n"/>
      <c r="F342" s="15" t="n"/>
      <c r="G342" s="15" t="n"/>
      <c r="H342" s="16" t="n"/>
      <c r="I342" s="16" t="n"/>
      <c r="J342" s="17" t="n"/>
      <c r="K342" s="17" t="n"/>
      <c r="L342" s="17" t="n"/>
      <c r="M342" s="16" t="n"/>
      <c r="N342" s="16" t="n"/>
      <c r="O342" s="18" t="n"/>
      <c r="P342" s="18" t="n"/>
      <c r="Q342" s="16" t="n"/>
    </row>
    <row r="343">
      <c r="E343" s="15" t="n"/>
      <c r="F343" s="15" t="n"/>
      <c r="G343" s="15" t="n"/>
      <c r="H343" s="16" t="n"/>
      <c r="I343" s="16" t="n"/>
      <c r="J343" s="17" t="n"/>
      <c r="K343" s="17" t="n"/>
      <c r="L343" s="17" t="n"/>
      <c r="M343" s="16" t="n"/>
      <c r="N343" s="16" t="n"/>
      <c r="O343" s="18" t="n"/>
      <c r="P343" s="18" t="n"/>
      <c r="Q343" s="16" t="n"/>
    </row>
    <row r="344">
      <c r="E344" s="15" t="n"/>
      <c r="F344" s="15" t="n"/>
      <c r="G344" s="15" t="n"/>
      <c r="H344" s="16" t="n"/>
      <c r="I344" s="16" t="n"/>
      <c r="J344" s="17" t="n"/>
      <c r="K344" s="17" t="n"/>
      <c r="L344" s="17" t="n"/>
      <c r="M344" s="16" t="n"/>
      <c r="N344" s="16" t="n"/>
      <c r="O344" s="18" t="n"/>
      <c r="P344" s="18" t="n"/>
      <c r="Q344" s="16" t="n"/>
    </row>
    <row r="345">
      <c r="E345" s="15" t="n"/>
      <c r="F345" s="15" t="n"/>
      <c r="G345" s="15" t="n"/>
      <c r="H345" s="16" t="n"/>
      <c r="I345" s="16" t="n"/>
      <c r="J345" s="17" t="n"/>
      <c r="K345" s="17" t="n"/>
      <c r="L345" s="17" t="n"/>
      <c r="M345" s="16" t="n"/>
      <c r="N345" s="16" t="n"/>
      <c r="O345" s="18" t="n"/>
      <c r="P345" s="18" t="n"/>
      <c r="Q345" s="16" t="n"/>
    </row>
    <row r="346">
      <c r="E346" s="15" t="n"/>
      <c r="F346" s="15" t="n"/>
      <c r="G346" s="15" t="n"/>
      <c r="H346" s="16" t="n"/>
      <c r="I346" s="16" t="n"/>
      <c r="J346" s="17" t="n"/>
      <c r="K346" s="17" t="n"/>
      <c r="L346" s="17" t="n"/>
      <c r="M346" s="16" t="n"/>
      <c r="N346" s="16" t="n"/>
      <c r="O346" s="18" t="n"/>
      <c r="P346" s="18" t="n"/>
      <c r="Q346" s="16" t="n"/>
    </row>
    <row r="347">
      <c r="E347" s="15" t="n"/>
      <c r="F347" s="15" t="n"/>
      <c r="G347" s="15" t="n"/>
      <c r="H347" s="16" t="n"/>
      <c r="I347" s="16" t="n"/>
      <c r="J347" s="17" t="n"/>
      <c r="K347" s="17" t="n"/>
      <c r="L347" s="17" t="n"/>
      <c r="M347" s="16" t="n"/>
      <c r="N347" s="16" t="n"/>
      <c r="O347" s="18" t="n"/>
      <c r="P347" s="18" t="n"/>
      <c r="Q347" s="16" t="n"/>
    </row>
    <row r="348">
      <c r="E348" s="15" t="n"/>
      <c r="F348" s="15" t="n"/>
      <c r="G348" s="15" t="n"/>
      <c r="H348" s="16" t="n"/>
      <c r="I348" s="16" t="n"/>
      <c r="J348" s="17" t="n"/>
      <c r="K348" s="17" t="n"/>
      <c r="L348" s="17" t="n"/>
      <c r="M348" s="16" t="n"/>
      <c r="N348" s="16" t="n"/>
      <c r="O348" s="18" t="n"/>
      <c r="P348" s="18" t="n"/>
      <c r="Q348" s="16" t="n"/>
    </row>
    <row r="349">
      <c r="E349" s="15" t="n"/>
      <c r="F349" s="15" t="n"/>
      <c r="G349" s="15" t="n"/>
      <c r="H349" s="16" t="n"/>
      <c r="I349" s="16" t="n"/>
      <c r="J349" s="17" t="n"/>
      <c r="K349" s="17" t="n"/>
      <c r="L349" s="17" t="n"/>
      <c r="M349" s="16" t="n"/>
      <c r="N349" s="16" t="n"/>
      <c r="O349" s="18" t="n"/>
      <c r="P349" s="18" t="n"/>
      <c r="Q349" s="16" t="n"/>
    </row>
    <row r="350">
      <c r="E350" s="15" t="n"/>
      <c r="F350" s="15" t="n"/>
      <c r="G350" s="15" t="n"/>
      <c r="H350" s="16" t="n"/>
      <c r="I350" s="16" t="n"/>
      <c r="J350" s="17" t="n"/>
      <c r="K350" s="17" t="n"/>
      <c r="L350" s="17" t="n"/>
      <c r="M350" s="16" t="n"/>
      <c r="N350" s="16" t="n"/>
      <c r="O350" s="18" t="n"/>
      <c r="P350" s="18" t="n"/>
      <c r="Q350" s="16" t="n"/>
    </row>
    <row r="351">
      <c r="E351" s="15" t="n"/>
      <c r="F351" s="15" t="n"/>
      <c r="G351" s="15" t="n"/>
      <c r="H351" s="16" t="n"/>
      <c r="I351" s="16" t="n"/>
      <c r="J351" s="17" t="n"/>
      <c r="K351" s="17" t="n"/>
      <c r="L351" s="17" t="n"/>
      <c r="M351" s="16" t="n"/>
      <c r="N351" s="16" t="n"/>
      <c r="O351" s="18" t="n"/>
      <c r="P351" s="18" t="n"/>
      <c r="Q351" s="16" t="n"/>
    </row>
    <row r="352">
      <c r="E352" s="15" t="n"/>
      <c r="F352" s="15" t="n"/>
      <c r="G352" s="15" t="n"/>
      <c r="H352" s="16" t="n"/>
      <c r="I352" s="16" t="n"/>
      <c r="J352" s="17" t="n"/>
      <c r="K352" s="17" t="n"/>
      <c r="L352" s="17" t="n"/>
      <c r="M352" s="16" t="n"/>
      <c r="N352" s="16" t="n"/>
      <c r="O352" s="18" t="n"/>
      <c r="P352" s="18" t="n"/>
      <c r="Q352" s="16" t="n"/>
    </row>
    <row r="353">
      <c r="E353" s="15" t="n"/>
      <c r="F353" s="15" t="n"/>
      <c r="G353" s="15" t="n"/>
      <c r="H353" s="16" t="n"/>
      <c r="I353" s="16" t="n"/>
      <c r="J353" s="17" t="n"/>
      <c r="K353" s="17" t="n"/>
      <c r="L353" s="17" t="n"/>
      <c r="M353" s="16" t="n"/>
      <c r="N353" s="16" t="n"/>
      <c r="O353" s="18" t="n"/>
      <c r="P353" s="18" t="n"/>
      <c r="Q353" s="16" t="n"/>
    </row>
    <row r="354">
      <c r="E354" s="15" t="n"/>
      <c r="F354" s="15" t="n"/>
      <c r="G354" s="15" t="n"/>
      <c r="H354" s="16" t="n"/>
      <c r="I354" s="16" t="n"/>
      <c r="J354" s="17" t="n"/>
      <c r="K354" s="17" t="n"/>
      <c r="L354" s="17" t="n"/>
      <c r="M354" s="16" t="n"/>
      <c r="N354" s="16" t="n"/>
      <c r="O354" s="18" t="n"/>
      <c r="P354" s="18" t="n"/>
      <c r="Q354" s="16" t="n"/>
    </row>
    <row r="355">
      <c r="E355" s="15" t="n"/>
      <c r="F355" s="15" t="n"/>
      <c r="G355" s="15" t="n"/>
      <c r="H355" s="16" t="n"/>
      <c r="I355" s="16" t="n"/>
      <c r="J355" s="17" t="n"/>
      <c r="K355" s="17" t="n"/>
      <c r="L355" s="17" t="n"/>
      <c r="M355" s="16" t="n"/>
      <c r="N355" s="16" t="n"/>
      <c r="O355" s="18" t="n"/>
      <c r="P355" s="18" t="n"/>
      <c r="Q355" s="16" t="n"/>
    </row>
    <row r="356">
      <c r="E356" s="15" t="n"/>
      <c r="F356" s="15" t="n"/>
      <c r="G356" s="15" t="n"/>
      <c r="H356" s="16" t="n"/>
      <c r="I356" s="16" t="n"/>
      <c r="J356" s="17" t="n"/>
      <c r="K356" s="17" t="n"/>
      <c r="L356" s="17" t="n"/>
      <c r="M356" s="16" t="n"/>
      <c r="N356" s="16" t="n"/>
      <c r="O356" s="18" t="n"/>
      <c r="P356" s="18" t="n"/>
      <c r="Q356" s="16" t="n"/>
    </row>
    <row r="357">
      <c r="E357" s="15" t="n"/>
      <c r="F357" s="15" t="n"/>
      <c r="G357" s="15" t="n"/>
      <c r="H357" s="16" t="n"/>
      <c r="I357" s="16" t="n"/>
      <c r="J357" s="17" t="n"/>
      <c r="K357" s="17" t="n"/>
      <c r="L357" s="17" t="n"/>
      <c r="M357" s="16" t="n"/>
      <c r="N357" s="16" t="n"/>
      <c r="O357" s="18" t="n"/>
      <c r="P357" s="18" t="n"/>
      <c r="Q357" s="16" t="n"/>
    </row>
    <row r="358">
      <c r="E358" s="15" t="n"/>
      <c r="F358" s="15" t="n"/>
      <c r="G358" s="15" t="n"/>
      <c r="H358" s="16" t="n"/>
      <c r="I358" s="16" t="n"/>
      <c r="J358" s="17" t="n"/>
      <c r="K358" s="17" t="n"/>
      <c r="L358" s="17" t="n"/>
      <c r="M358" s="16" t="n"/>
      <c r="N358" s="16" t="n"/>
      <c r="O358" s="18" t="n"/>
      <c r="P358" s="18" t="n"/>
      <c r="Q358" s="16" t="n"/>
    </row>
    <row r="359">
      <c r="E359" s="15" t="n"/>
      <c r="F359" s="15" t="n"/>
      <c r="G359" s="15" t="n"/>
      <c r="H359" s="16" t="n"/>
      <c r="I359" s="16" t="n"/>
      <c r="J359" s="17" t="n"/>
      <c r="K359" s="17" t="n"/>
      <c r="L359" s="17" t="n"/>
      <c r="M359" s="16" t="n"/>
      <c r="N359" s="16" t="n"/>
      <c r="O359" s="18" t="n"/>
      <c r="P359" s="18" t="n"/>
      <c r="Q359" s="16" t="n"/>
    </row>
    <row r="360">
      <c r="E360" s="15" t="n"/>
      <c r="F360" s="15" t="n"/>
      <c r="G360" s="15" t="n"/>
      <c r="H360" s="16" t="n"/>
      <c r="I360" s="16" t="n"/>
      <c r="J360" s="17" t="n"/>
      <c r="K360" s="17" t="n"/>
      <c r="L360" s="17" t="n"/>
      <c r="M360" s="16" t="n"/>
      <c r="N360" s="16" t="n"/>
      <c r="O360" s="18" t="n"/>
      <c r="P360" s="18" t="n"/>
      <c r="Q360" s="16" t="n"/>
    </row>
    <row r="361">
      <c r="E361" s="15" t="n"/>
      <c r="F361" s="15" t="n"/>
      <c r="G361" s="15" t="n"/>
      <c r="H361" s="16" t="n"/>
      <c r="I361" s="16" t="n"/>
      <c r="J361" s="17" t="n"/>
      <c r="K361" s="17" t="n"/>
      <c r="L361" s="17" t="n"/>
      <c r="M361" s="16" t="n"/>
      <c r="N361" s="16" t="n"/>
      <c r="O361" s="18" t="n"/>
      <c r="P361" s="18" t="n"/>
      <c r="Q361" s="16" t="n"/>
    </row>
    <row r="362">
      <c r="E362" s="15" t="n"/>
      <c r="F362" s="15" t="n"/>
      <c r="G362" s="15" t="n"/>
      <c r="H362" s="16" t="n"/>
      <c r="I362" s="16" t="n"/>
      <c r="J362" s="17" t="n"/>
      <c r="K362" s="17" t="n"/>
      <c r="L362" s="17" t="n"/>
      <c r="M362" s="16" t="n"/>
      <c r="N362" s="16" t="n"/>
      <c r="O362" s="18" t="n"/>
      <c r="P362" s="18" t="n"/>
      <c r="Q362" s="16" t="n"/>
    </row>
    <row r="363">
      <c r="E363" s="15" t="n"/>
      <c r="F363" s="15" t="n"/>
      <c r="G363" s="15" t="n"/>
      <c r="H363" s="16" t="n"/>
      <c r="I363" s="16" t="n"/>
      <c r="J363" s="17" t="n"/>
      <c r="K363" s="17" t="n"/>
      <c r="L363" s="17" t="n"/>
      <c r="M363" s="16" t="n"/>
      <c r="N363" s="16" t="n"/>
      <c r="O363" s="18" t="n"/>
      <c r="P363" s="18" t="n"/>
      <c r="Q363" s="16" t="n"/>
    </row>
    <row r="364">
      <c r="E364" s="15" t="n"/>
      <c r="F364" s="15" t="n"/>
      <c r="G364" s="15" t="n"/>
      <c r="H364" s="16" t="n"/>
      <c r="I364" s="16" t="n"/>
      <c r="J364" s="17" t="n"/>
      <c r="K364" s="17" t="n"/>
      <c r="L364" s="17" t="n"/>
      <c r="M364" s="16" t="n"/>
      <c r="N364" s="16" t="n"/>
      <c r="O364" s="18" t="n"/>
      <c r="P364" s="18" t="n"/>
      <c r="Q364" s="16" t="n"/>
    </row>
    <row r="365">
      <c r="E365" s="15" t="n"/>
      <c r="F365" s="15" t="n"/>
      <c r="G365" s="15" t="n"/>
      <c r="H365" s="16" t="n"/>
      <c r="I365" s="16" t="n"/>
      <c r="J365" s="17" t="n"/>
      <c r="K365" s="17" t="n"/>
      <c r="L365" s="17" t="n"/>
      <c r="M365" s="16" t="n"/>
      <c r="N365" s="16" t="n"/>
      <c r="O365" s="18" t="n"/>
      <c r="P365" s="18" t="n"/>
      <c r="Q365" s="16" t="n"/>
    </row>
    <row r="366">
      <c r="E366" s="15" t="n"/>
      <c r="F366" s="15" t="n"/>
      <c r="G366" s="15" t="n"/>
      <c r="H366" s="16" t="n"/>
      <c r="I366" s="16" t="n"/>
      <c r="J366" s="17" t="n"/>
      <c r="K366" s="17" t="n"/>
      <c r="L366" s="17" t="n"/>
      <c r="M366" s="16" t="n"/>
      <c r="N366" s="16" t="n"/>
      <c r="O366" s="18" t="n"/>
      <c r="P366" s="18" t="n"/>
      <c r="Q366" s="16" t="n"/>
    </row>
    <row r="367">
      <c r="E367" s="15" t="n"/>
      <c r="F367" s="15" t="n"/>
      <c r="G367" s="15" t="n"/>
      <c r="H367" s="16" t="n"/>
      <c r="I367" s="16" t="n"/>
      <c r="J367" s="17" t="n"/>
      <c r="K367" s="17" t="n"/>
      <c r="L367" s="17" t="n"/>
      <c r="M367" s="16" t="n"/>
      <c r="N367" s="16" t="n"/>
      <c r="O367" s="18" t="n"/>
      <c r="P367" s="18" t="n"/>
      <c r="Q367" s="16" t="n"/>
    </row>
    <row r="368">
      <c r="E368" s="15" t="n"/>
      <c r="F368" s="15" t="n"/>
      <c r="G368" s="15" t="n"/>
      <c r="H368" s="16" t="n"/>
      <c r="I368" s="16" t="n"/>
      <c r="J368" s="17" t="n"/>
      <c r="K368" s="17" t="n"/>
      <c r="L368" s="17" t="n"/>
      <c r="M368" s="16" t="n"/>
      <c r="N368" s="16" t="n"/>
      <c r="O368" s="18" t="n"/>
      <c r="P368" s="18" t="n"/>
      <c r="Q368" s="16" t="n"/>
    </row>
    <row r="369">
      <c r="E369" s="15" t="n"/>
      <c r="F369" s="15" t="n"/>
      <c r="G369" s="15" t="n"/>
      <c r="H369" s="16" t="n"/>
      <c r="I369" s="16" t="n"/>
      <c r="J369" s="17" t="n"/>
      <c r="K369" s="17" t="n"/>
      <c r="L369" s="17" t="n"/>
      <c r="M369" s="16" t="n"/>
      <c r="N369" s="16" t="n"/>
      <c r="O369" s="18" t="n"/>
      <c r="P369" s="18" t="n"/>
      <c r="Q369" s="16" t="n"/>
    </row>
    <row r="370">
      <c r="E370" s="15" t="n"/>
      <c r="F370" s="15" t="n"/>
      <c r="G370" s="15" t="n"/>
      <c r="H370" s="16" t="n"/>
      <c r="I370" s="16" t="n"/>
      <c r="J370" s="17" t="n"/>
      <c r="K370" s="17" t="n"/>
      <c r="L370" s="17" t="n"/>
      <c r="M370" s="16" t="n"/>
      <c r="N370" s="16" t="n"/>
      <c r="O370" s="18" t="n"/>
      <c r="P370" s="18" t="n"/>
      <c r="Q370" s="16" t="n"/>
    </row>
    <row r="371">
      <c r="E371" s="15" t="n"/>
      <c r="F371" s="15" t="n"/>
      <c r="G371" s="15" t="n"/>
      <c r="H371" s="16" t="n"/>
      <c r="I371" s="16" t="n"/>
      <c r="J371" s="17" t="n"/>
      <c r="K371" s="17" t="n"/>
      <c r="L371" s="17" t="n"/>
      <c r="M371" s="16" t="n"/>
      <c r="N371" s="16" t="n"/>
      <c r="O371" s="18" t="n"/>
      <c r="P371" s="18" t="n"/>
      <c r="Q371" s="16" t="n"/>
    </row>
    <row r="372">
      <c r="E372" s="15" t="n"/>
      <c r="F372" s="15" t="n"/>
      <c r="G372" s="15" t="n"/>
      <c r="H372" s="16" t="n"/>
      <c r="I372" s="16" t="n"/>
      <c r="J372" s="17" t="n"/>
      <c r="K372" s="17" t="n"/>
      <c r="L372" s="17" t="n"/>
      <c r="M372" s="16" t="n"/>
      <c r="N372" s="16" t="n"/>
      <c r="O372" s="18" t="n"/>
      <c r="P372" s="18" t="n"/>
      <c r="Q372" s="16" t="n"/>
    </row>
    <row r="373">
      <c r="E373" s="15" t="n"/>
      <c r="F373" s="15" t="n"/>
      <c r="G373" s="15" t="n"/>
      <c r="H373" s="16" t="n"/>
      <c r="I373" s="16" t="n"/>
      <c r="J373" s="17" t="n"/>
      <c r="K373" s="17" t="n"/>
      <c r="L373" s="17" t="n"/>
      <c r="M373" s="16" t="n"/>
      <c r="N373" s="16" t="n"/>
      <c r="O373" s="18" t="n"/>
      <c r="P373" s="18" t="n"/>
      <c r="Q373" s="16" t="n"/>
    </row>
    <row r="374">
      <c r="E374" s="15" t="n"/>
      <c r="F374" s="15" t="n"/>
      <c r="G374" s="15" t="n"/>
      <c r="H374" s="16" t="n"/>
      <c r="I374" s="16" t="n"/>
      <c r="J374" s="17" t="n"/>
      <c r="K374" s="17" t="n"/>
      <c r="L374" s="17" t="n"/>
      <c r="M374" s="16" t="n"/>
      <c r="N374" s="16" t="n"/>
      <c r="O374" s="18" t="n"/>
      <c r="P374" s="18" t="n"/>
      <c r="Q374" s="16" t="n"/>
    </row>
    <row r="375">
      <c r="E375" s="15" t="n"/>
      <c r="F375" s="15" t="n"/>
      <c r="G375" s="15" t="n"/>
      <c r="H375" s="16" t="n"/>
      <c r="I375" s="16" t="n"/>
      <c r="J375" s="17" t="n"/>
      <c r="K375" s="17" t="n"/>
      <c r="L375" s="17" t="n"/>
      <c r="M375" s="16" t="n"/>
      <c r="N375" s="16" t="n"/>
      <c r="O375" s="18" t="n"/>
      <c r="P375" s="18" t="n"/>
      <c r="Q375" s="16" t="n"/>
    </row>
    <row r="376">
      <c r="E376" s="15" t="n"/>
      <c r="F376" s="15" t="n"/>
      <c r="G376" s="15" t="n"/>
      <c r="H376" s="16" t="n"/>
      <c r="I376" s="16" t="n"/>
      <c r="J376" s="17" t="n"/>
      <c r="K376" s="17" t="n"/>
      <c r="L376" s="17" t="n"/>
      <c r="M376" s="16" t="n"/>
      <c r="N376" s="16" t="n"/>
      <c r="O376" s="18" t="n"/>
      <c r="P376" s="18" t="n"/>
      <c r="Q376" s="16" t="n"/>
    </row>
    <row r="377">
      <c r="E377" s="15" t="n"/>
      <c r="F377" s="15" t="n"/>
      <c r="G377" s="15" t="n"/>
      <c r="H377" s="16" t="n"/>
      <c r="I377" s="16" t="n"/>
      <c r="J377" s="17" t="n"/>
      <c r="K377" s="17" t="n"/>
      <c r="L377" s="17" t="n"/>
      <c r="M377" s="16" t="n"/>
      <c r="N377" s="16" t="n"/>
      <c r="O377" s="18" t="n"/>
      <c r="P377" s="18" t="n"/>
      <c r="Q377" s="16" t="n"/>
    </row>
    <row r="378">
      <c r="E378" s="15" t="n"/>
      <c r="F378" s="15" t="n"/>
      <c r="G378" s="15" t="n"/>
      <c r="H378" s="16" t="n"/>
      <c r="I378" s="16" t="n"/>
      <c r="J378" s="17" t="n"/>
      <c r="K378" s="17" t="n"/>
      <c r="L378" s="17" t="n"/>
      <c r="M378" s="16" t="n"/>
      <c r="N378" s="16" t="n"/>
      <c r="O378" s="18" t="n"/>
      <c r="P378" s="18" t="n"/>
      <c r="Q378" s="16" t="n"/>
    </row>
    <row r="379">
      <c r="E379" s="15" t="n"/>
      <c r="F379" s="15" t="n"/>
      <c r="G379" s="15" t="n"/>
      <c r="H379" s="16" t="n"/>
      <c r="I379" s="16" t="n"/>
      <c r="J379" s="17" t="n"/>
      <c r="K379" s="17" t="n"/>
      <c r="L379" s="17" t="n"/>
      <c r="M379" s="16" t="n"/>
      <c r="N379" s="16" t="n"/>
      <c r="O379" s="18" t="n"/>
      <c r="P379" s="18" t="n"/>
      <c r="Q379" s="16" t="n"/>
    </row>
    <row r="380">
      <c r="E380" s="15" t="n"/>
      <c r="F380" s="15" t="n"/>
      <c r="G380" s="15" t="n"/>
      <c r="H380" s="16" t="n"/>
      <c r="I380" s="16" t="n"/>
      <c r="J380" s="17" t="n"/>
      <c r="K380" s="17" t="n"/>
      <c r="L380" s="17" t="n"/>
      <c r="M380" s="16" t="n"/>
      <c r="N380" s="16" t="n"/>
      <c r="O380" s="18" t="n"/>
      <c r="P380" s="18" t="n"/>
      <c r="Q380" s="16" t="n"/>
    </row>
    <row r="381">
      <c r="E381" s="15" t="n"/>
      <c r="F381" s="15" t="n"/>
      <c r="G381" s="15" t="n"/>
      <c r="H381" s="16" t="n"/>
      <c r="I381" s="16" t="n"/>
      <c r="J381" s="17" t="n"/>
      <c r="K381" s="17" t="n"/>
      <c r="L381" s="17" t="n"/>
      <c r="M381" s="16" t="n"/>
      <c r="N381" s="16" t="n"/>
      <c r="O381" s="18" t="n"/>
      <c r="P381" s="18" t="n"/>
      <c r="Q381" s="16" t="n"/>
    </row>
    <row r="382">
      <c r="E382" s="15" t="n"/>
      <c r="F382" s="15" t="n"/>
      <c r="G382" s="15" t="n"/>
      <c r="H382" s="16" t="n"/>
      <c r="I382" s="16" t="n"/>
      <c r="J382" s="17" t="n"/>
      <c r="K382" s="17" t="n"/>
      <c r="L382" s="17" t="n"/>
      <c r="M382" s="16" t="n"/>
      <c r="N382" s="16" t="n"/>
      <c r="O382" s="18" t="n"/>
      <c r="P382" s="18" t="n"/>
      <c r="Q382" s="16" t="n"/>
    </row>
    <row r="383">
      <c r="E383" s="15" t="n"/>
      <c r="F383" s="15" t="n"/>
      <c r="G383" s="15" t="n"/>
      <c r="H383" s="16" t="n"/>
      <c r="I383" s="16" t="n"/>
      <c r="J383" s="17" t="n"/>
      <c r="K383" s="17" t="n"/>
      <c r="L383" s="17" t="n"/>
      <c r="M383" s="16" t="n"/>
      <c r="N383" s="16" t="n"/>
      <c r="O383" s="18" t="n"/>
      <c r="P383" s="18" t="n"/>
      <c r="Q383" s="16" t="n"/>
    </row>
    <row r="384">
      <c r="E384" s="15" t="n"/>
      <c r="F384" s="15" t="n"/>
      <c r="G384" s="15" t="n"/>
      <c r="H384" s="16" t="n"/>
      <c r="I384" s="16" t="n"/>
      <c r="J384" s="17" t="n"/>
      <c r="K384" s="17" t="n"/>
      <c r="L384" s="17" t="n"/>
      <c r="M384" s="16" t="n"/>
      <c r="N384" s="16" t="n"/>
      <c r="O384" s="18" t="n"/>
      <c r="P384" s="18" t="n"/>
      <c r="Q384" s="16" t="n"/>
    </row>
    <row r="385">
      <c r="E385" s="15" t="n"/>
      <c r="F385" s="15" t="n"/>
      <c r="G385" s="15" t="n"/>
      <c r="H385" s="16" t="n"/>
      <c r="I385" s="16" t="n"/>
      <c r="J385" s="17" t="n"/>
      <c r="K385" s="17" t="n"/>
      <c r="L385" s="17" t="n"/>
      <c r="M385" s="16" t="n"/>
      <c r="N385" s="16" t="n"/>
      <c r="O385" s="18" t="n"/>
      <c r="P385" s="18" t="n"/>
      <c r="Q385" s="16" t="n"/>
    </row>
    <row r="386">
      <c r="E386" s="15" t="n"/>
      <c r="F386" s="15" t="n"/>
      <c r="G386" s="15" t="n"/>
      <c r="H386" s="16" t="n"/>
      <c r="I386" s="16" t="n"/>
      <c r="J386" s="17" t="n"/>
      <c r="K386" s="17" t="n"/>
      <c r="L386" s="17" t="n"/>
      <c r="M386" s="16" t="n"/>
      <c r="N386" s="16" t="n"/>
      <c r="O386" s="18" t="n"/>
      <c r="P386" s="18" t="n"/>
      <c r="Q386" s="16" t="n"/>
    </row>
    <row r="387">
      <c r="E387" s="15" t="n"/>
      <c r="F387" s="15" t="n"/>
      <c r="G387" s="15" t="n"/>
      <c r="H387" s="16" t="n"/>
      <c r="I387" s="16" t="n"/>
      <c r="J387" s="17" t="n"/>
      <c r="K387" s="17" t="n"/>
      <c r="L387" s="17" t="n"/>
      <c r="M387" s="16" t="n"/>
      <c r="N387" s="16" t="n"/>
      <c r="O387" s="18" t="n"/>
      <c r="P387" s="18" t="n"/>
      <c r="Q387" s="16" t="n"/>
    </row>
    <row r="388">
      <c r="E388" s="15" t="n"/>
      <c r="F388" s="15" t="n"/>
      <c r="G388" s="15" t="n"/>
      <c r="H388" s="16" t="n"/>
      <c r="I388" s="16" t="n"/>
      <c r="J388" s="17" t="n"/>
      <c r="K388" s="17" t="n"/>
      <c r="L388" s="17" t="n"/>
      <c r="M388" s="16" t="n"/>
      <c r="N388" s="16" t="n"/>
      <c r="O388" s="18" t="n"/>
      <c r="P388" s="18" t="n"/>
      <c r="Q388" s="16" t="n"/>
    </row>
    <row r="389">
      <c r="E389" s="15" t="n"/>
      <c r="F389" s="15" t="n"/>
      <c r="G389" s="15" t="n"/>
      <c r="H389" s="16" t="n"/>
      <c r="I389" s="16" t="n"/>
      <c r="J389" s="17" t="n"/>
      <c r="K389" s="17" t="n"/>
      <c r="L389" s="17" t="n"/>
      <c r="M389" s="16" t="n"/>
      <c r="N389" s="16" t="n"/>
      <c r="O389" s="18" t="n"/>
      <c r="P389" s="18" t="n"/>
      <c r="Q389" s="16" t="n"/>
    </row>
    <row r="390">
      <c r="E390" s="15" t="n"/>
      <c r="F390" s="15" t="n"/>
      <c r="G390" s="15" t="n"/>
      <c r="H390" s="16" t="n"/>
      <c r="I390" s="16" t="n"/>
      <c r="J390" s="17" t="n"/>
      <c r="K390" s="17" t="n"/>
      <c r="L390" s="17" t="n"/>
      <c r="M390" s="16" t="n"/>
      <c r="N390" s="16" t="n"/>
      <c r="O390" s="18" t="n"/>
      <c r="P390" s="18" t="n"/>
      <c r="Q390" s="16" t="n"/>
    </row>
    <row r="391">
      <c r="E391" s="15" t="n"/>
      <c r="F391" s="15" t="n"/>
      <c r="G391" s="15" t="n"/>
      <c r="H391" s="16" t="n"/>
      <c r="I391" s="16" t="n"/>
      <c r="J391" s="17" t="n"/>
      <c r="K391" s="17" t="n"/>
      <c r="L391" s="17" t="n"/>
      <c r="M391" s="16" t="n"/>
      <c r="N391" s="16" t="n"/>
      <c r="O391" s="18" t="n"/>
      <c r="P391" s="18" t="n"/>
      <c r="Q391" s="16" t="n"/>
    </row>
    <row r="392">
      <c r="E392" s="15" t="n"/>
      <c r="F392" s="15" t="n"/>
      <c r="G392" s="15" t="n"/>
      <c r="H392" s="16" t="n"/>
      <c r="I392" s="16" t="n"/>
      <c r="J392" s="17" t="n"/>
      <c r="K392" s="17" t="n"/>
      <c r="L392" s="17" t="n"/>
      <c r="M392" s="16" t="n"/>
      <c r="N392" s="16" t="n"/>
      <c r="O392" s="18" t="n"/>
      <c r="P392" s="18" t="n"/>
      <c r="Q392" s="16" t="n"/>
    </row>
    <row r="393">
      <c r="E393" s="15" t="n"/>
      <c r="F393" s="15" t="n"/>
      <c r="G393" s="15" t="n"/>
      <c r="H393" s="16" t="n"/>
      <c r="I393" s="16" t="n"/>
      <c r="J393" s="17" t="n"/>
      <c r="K393" s="17" t="n"/>
      <c r="L393" s="17" t="n"/>
      <c r="M393" s="16" t="n"/>
      <c r="N393" s="16" t="n"/>
      <c r="O393" s="18" t="n"/>
      <c r="P393" s="18" t="n"/>
      <c r="Q393" s="16" t="n"/>
    </row>
    <row r="394">
      <c r="E394" s="15" t="n"/>
      <c r="F394" s="15" t="n"/>
      <c r="G394" s="15" t="n"/>
      <c r="H394" s="16" t="n"/>
      <c r="I394" s="16" t="n"/>
      <c r="J394" s="17" t="n"/>
      <c r="K394" s="17" t="n"/>
      <c r="L394" s="17" t="n"/>
      <c r="M394" s="16" t="n"/>
      <c r="N394" s="16" t="n"/>
      <c r="O394" s="18" t="n"/>
      <c r="P394" s="18" t="n"/>
      <c r="Q394" s="16" t="n"/>
    </row>
    <row r="395">
      <c r="E395" s="15" t="n"/>
      <c r="F395" s="15" t="n"/>
      <c r="G395" s="15" t="n"/>
      <c r="H395" s="16" t="n"/>
      <c r="I395" s="16" t="n"/>
      <c r="J395" s="17" t="n"/>
      <c r="K395" s="17" t="n"/>
      <c r="L395" s="17" t="n"/>
      <c r="M395" s="16" t="n"/>
      <c r="N395" s="16" t="n"/>
      <c r="O395" s="18" t="n"/>
      <c r="P395" s="18" t="n"/>
      <c r="Q395" s="16" t="n"/>
    </row>
    <row r="396">
      <c r="E396" s="15" t="n"/>
      <c r="F396" s="15" t="n"/>
      <c r="G396" s="15" t="n"/>
      <c r="H396" s="16" t="n"/>
      <c r="I396" s="16" t="n"/>
      <c r="J396" s="17" t="n"/>
      <c r="K396" s="17" t="n"/>
      <c r="L396" s="17" t="n"/>
      <c r="M396" s="16" t="n"/>
      <c r="N396" s="16" t="n"/>
      <c r="O396" s="18" t="n"/>
      <c r="P396" s="18" t="n"/>
      <c r="Q396" s="16" t="n"/>
    </row>
    <row r="397">
      <c r="E397" s="15" t="n"/>
      <c r="F397" s="15" t="n"/>
      <c r="G397" s="15" t="n"/>
      <c r="H397" s="16" t="n"/>
      <c r="I397" s="16" t="n"/>
      <c r="J397" s="17" t="n"/>
      <c r="K397" s="17" t="n"/>
      <c r="L397" s="17" t="n"/>
      <c r="M397" s="16" t="n"/>
      <c r="N397" s="16" t="n"/>
      <c r="O397" s="18" t="n"/>
      <c r="P397" s="18" t="n"/>
      <c r="Q397" s="16" t="n"/>
    </row>
    <row r="398">
      <c r="E398" s="15" t="n"/>
      <c r="F398" s="15" t="n"/>
      <c r="G398" s="15" t="n"/>
      <c r="H398" s="16" t="n"/>
      <c r="I398" s="16" t="n"/>
      <c r="J398" s="17" t="n"/>
      <c r="K398" s="17" t="n"/>
      <c r="L398" s="17" t="n"/>
      <c r="M398" s="16" t="n"/>
      <c r="N398" s="16" t="n"/>
      <c r="O398" s="18" t="n"/>
      <c r="P398" s="18" t="n"/>
      <c r="Q398" s="16" t="n"/>
    </row>
    <row r="399">
      <c r="E399" s="15" t="n"/>
      <c r="F399" s="15" t="n"/>
      <c r="G399" s="15" t="n"/>
      <c r="H399" s="16" t="n"/>
      <c r="I399" s="16" t="n"/>
      <c r="J399" s="17" t="n"/>
      <c r="K399" s="17" t="n"/>
      <c r="L399" s="17" t="n"/>
      <c r="M399" s="16" t="n"/>
      <c r="N399" s="16" t="n"/>
      <c r="O399" s="18" t="n"/>
      <c r="P399" s="18" t="n"/>
      <c r="Q399" s="16" t="n"/>
    </row>
    <row r="400">
      <c r="E400" s="15" t="n"/>
      <c r="F400" s="15" t="n"/>
      <c r="G400" s="15" t="n"/>
      <c r="H400" s="16" t="n"/>
      <c r="I400" s="16" t="n"/>
      <c r="J400" s="17" t="n"/>
      <c r="K400" s="17" t="n"/>
      <c r="L400" s="17" t="n"/>
      <c r="M400" s="16" t="n"/>
      <c r="N400" s="16" t="n"/>
      <c r="O400" s="18" t="n"/>
      <c r="P400" s="18" t="n"/>
      <c r="Q400" s="16" t="n"/>
    </row>
    <row r="401">
      <c r="E401" s="15" t="n"/>
      <c r="F401" s="15" t="n"/>
      <c r="G401" s="15" t="n"/>
      <c r="H401" s="16" t="n"/>
      <c r="I401" s="16" t="n"/>
      <c r="J401" s="17" t="n"/>
      <c r="K401" s="17" t="n"/>
      <c r="L401" s="17" t="n"/>
      <c r="M401" s="16" t="n"/>
      <c r="N401" s="16" t="n"/>
      <c r="O401" s="18" t="n"/>
      <c r="P401" s="18" t="n"/>
      <c r="Q401" s="16" t="n"/>
    </row>
    <row r="402">
      <c r="E402" s="15" t="n"/>
      <c r="F402" s="15" t="n"/>
      <c r="G402" s="15" t="n"/>
      <c r="H402" s="16" t="n"/>
      <c r="I402" s="16" t="n"/>
      <c r="J402" s="17" t="n"/>
      <c r="K402" s="17" t="n"/>
      <c r="L402" s="17" t="n"/>
      <c r="M402" s="16" t="n"/>
      <c r="N402" s="16" t="n"/>
      <c r="O402" s="18" t="n"/>
      <c r="P402" s="18" t="n"/>
      <c r="Q402" s="16" t="n"/>
    </row>
    <row r="403">
      <c r="E403" s="15" t="n"/>
      <c r="F403" s="15" t="n"/>
      <c r="G403" s="15" t="n"/>
      <c r="H403" s="16" t="n"/>
      <c r="I403" s="16" t="n"/>
      <c r="J403" s="17" t="n"/>
      <c r="K403" s="17" t="n"/>
      <c r="L403" s="17" t="n"/>
      <c r="M403" s="16" t="n"/>
      <c r="N403" s="16" t="n"/>
      <c r="O403" s="18" t="n"/>
      <c r="P403" s="18" t="n"/>
      <c r="Q403" s="16" t="n"/>
    </row>
    <row r="404">
      <c r="E404" s="15" t="n"/>
      <c r="F404" s="15" t="n"/>
      <c r="G404" s="15" t="n"/>
      <c r="H404" s="16" t="n"/>
      <c r="I404" s="16" t="n"/>
      <c r="J404" s="17" t="n"/>
      <c r="K404" s="17" t="n"/>
      <c r="L404" s="17" t="n"/>
      <c r="M404" s="16" t="n"/>
      <c r="N404" s="16" t="n"/>
      <c r="O404" s="18" t="n"/>
      <c r="P404" s="18" t="n"/>
      <c r="Q404" s="16" t="n"/>
    </row>
    <row r="405">
      <c r="E405" s="15" t="n"/>
      <c r="F405" s="15" t="n"/>
      <c r="G405" s="15" t="n"/>
      <c r="H405" s="16" t="n"/>
      <c r="I405" s="16" t="n"/>
      <c r="J405" s="17" t="n"/>
      <c r="K405" s="17" t="n"/>
      <c r="L405" s="17" t="n"/>
      <c r="M405" s="16" t="n"/>
      <c r="N405" s="16" t="n"/>
      <c r="O405" s="18" t="n"/>
      <c r="P405" s="18" t="n"/>
      <c r="Q405" s="16" t="n"/>
    </row>
    <row r="406">
      <c r="E406" s="15" t="n"/>
      <c r="F406" s="15" t="n"/>
      <c r="G406" s="15" t="n"/>
      <c r="H406" s="16" t="n"/>
      <c r="I406" s="16" t="n"/>
      <c r="J406" s="17" t="n"/>
      <c r="K406" s="17" t="n"/>
      <c r="L406" s="17" t="n"/>
      <c r="M406" s="16" t="n"/>
      <c r="N406" s="16" t="n"/>
      <c r="O406" s="18" t="n"/>
      <c r="P406" s="18" t="n"/>
      <c r="Q406" s="16" t="n"/>
    </row>
    <row r="407">
      <c r="E407" s="15" t="n"/>
      <c r="F407" s="15" t="n"/>
      <c r="G407" s="15" t="n"/>
      <c r="H407" s="16" t="n"/>
      <c r="I407" s="16" t="n"/>
      <c r="J407" s="17" t="n"/>
      <c r="K407" s="17" t="n"/>
      <c r="L407" s="17" t="n"/>
      <c r="M407" s="16" t="n"/>
      <c r="N407" s="16" t="n"/>
      <c r="O407" s="18" t="n"/>
      <c r="P407" s="18" t="n"/>
      <c r="Q407" s="16" t="n"/>
    </row>
    <row r="408">
      <c r="E408" s="15" t="n"/>
      <c r="F408" s="15" t="n"/>
      <c r="G408" s="15" t="n"/>
      <c r="H408" s="16" t="n"/>
      <c r="I408" s="16" t="n"/>
      <c r="J408" s="17" t="n"/>
      <c r="K408" s="17" t="n"/>
      <c r="L408" s="17" t="n"/>
      <c r="M408" s="16" t="n"/>
      <c r="N408" s="16" t="n"/>
      <c r="O408" s="18" t="n"/>
      <c r="P408" s="18" t="n"/>
      <c r="Q408" s="16" t="n"/>
    </row>
    <row r="409">
      <c r="E409" s="15" t="n"/>
      <c r="F409" s="15" t="n"/>
      <c r="G409" s="15" t="n"/>
      <c r="H409" s="16" t="n"/>
      <c r="I409" s="16" t="n"/>
      <c r="J409" s="17" t="n"/>
      <c r="K409" s="17" t="n"/>
      <c r="L409" s="17" t="n"/>
      <c r="M409" s="16" t="n"/>
      <c r="N409" s="16" t="n"/>
      <c r="O409" s="18" t="n"/>
      <c r="P409" s="18" t="n"/>
      <c r="Q409" s="16" t="n"/>
    </row>
    <row r="410">
      <c r="E410" s="15" t="n"/>
      <c r="F410" s="15" t="n"/>
      <c r="G410" s="15" t="n"/>
      <c r="H410" s="16" t="n"/>
      <c r="I410" s="16" t="n"/>
      <c r="J410" s="17" t="n"/>
      <c r="K410" s="17" t="n"/>
      <c r="L410" s="17" t="n"/>
      <c r="M410" s="16" t="n"/>
      <c r="N410" s="16" t="n"/>
      <c r="O410" s="18" t="n"/>
      <c r="P410" s="18" t="n"/>
      <c r="Q410" s="16" t="n"/>
    </row>
    <row r="411">
      <c r="E411" s="15" t="n"/>
      <c r="F411" s="15" t="n"/>
      <c r="G411" s="15" t="n"/>
      <c r="H411" s="16" t="n"/>
      <c r="I411" s="16" t="n"/>
      <c r="J411" s="17" t="n"/>
      <c r="K411" s="17" t="n"/>
      <c r="L411" s="17" t="n"/>
      <c r="M411" s="16" t="n"/>
      <c r="N411" s="16" t="n"/>
      <c r="O411" s="18" t="n"/>
      <c r="P411" s="18" t="n"/>
      <c r="Q411" s="16" t="n"/>
    </row>
    <row r="412">
      <c r="E412" s="15" t="n"/>
      <c r="F412" s="15" t="n"/>
      <c r="G412" s="15" t="n"/>
      <c r="H412" s="16" t="n"/>
      <c r="I412" s="16" t="n"/>
      <c r="J412" s="17" t="n"/>
      <c r="K412" s="17" t="n"/>
      <c r="L412" s="17" t="n"/>
      <c r="M412" s="16" t="n"/>
      <c r="N412" s="16" t="n"/>
      <c r="O412" s="18" t="n"/>
      <c r="P412" s="18" t="n"/>
      <c r="Q412" s="16" t="n"/>
    </row>
    <row r="413">
      <c r="E413" s="15" t="n"/>
      <c r="F413" s="15" t="n"/>
      <c r="G413" s="15" t="n"/>
      <c r="H413" s="16" t="n"/>
      <c r="I413" s="16" t="n"/>
      <c r="J413" s="17" t="n"/>
      <c r="K413" s="17" t="n"/>
      <c r="L413" s="17" t="n"/>
      <c r="M413" s="16" t="n"/>
      <c r="N413" s="16" t="n"/>
      <c r="O413" s="18" t="n"/>
      <c r="P413" s="18" t="n"/>
      <c r="Q413" s="16" t="n"/>
    </row>
    <row r="414">
      <c r="E414" s="15" t="n"/>
      <c r="F414" s="15" t="n"/>
      <c r="G414" s="15" t="n"/>
      <c r="H414" s="16" t="n"/>
      <c r="I414" s="16" t="n"/>
      <c r="J414" s="17" t="n"/>
      <c r="K414" s="17" t="n"/>
      <c r="L414" s="17" t="n"/>
      <c r="M414" s="16" t="n"/>
      <c r="N414" s="16" t="n"/>
      <c r="O414" s="18" t="n"/>
      <c r="P414" s="18" t="n"/>
      <c r="Q414" s="16" t="n"/>
    </row>
    <row r="415">
      <c r="E415" s="15" t="n"/>
      <c r="F415" s="15" t="n"/>
      <c r="G415" s="15" t="n"/>
      <c r="H415" s="16" t="n"/>
      <c r="I415" s="16" t="n"/>
      <c r="J415" s="17" t="n"/>
      <c r="K415" s="17" t="n"/>
      <c r="L415" s="17" t="n"/>
      <c r="M415" s="16" t="n"/>
      <c r="N415" s="16" t="n"/>
      <c r="O415" s="18" t="n"/>
      <c r="P415" s="18" t="n"/>
      <c r="Q415" s="16" t="n"/>
    </row>
    <row r="416">
      <c r="E416" s="15" t="n"/>
      <c r="F416" s="15" t="n"/>
      <c r="G416" s="15" t="n"/>
      <c r="H416" s="16" t="n"/>
      <c r="I416" s="16" t="n"/>
      <c r="J416" s="17" t="n"/>
      <c r="K416" s="17" t="n"/>
      <c r="L416" s="17" t="n"/>
      <c r="M416" s="16" t="n"/>
      <c r="N416" s="16" t="n"/>
      <c r="O416" s="18" t="n"/>
      <c r="P416" s="18" t="n"/>
      <c r="Q416" s="16" t="n"/>
    </row>
    <row r="417">
      <c r="E417" s="15" t="n"/>
      <c r="F417" s="15" t="n"/>
      <c r="G417" s="15" t="n"/>
      <c r="H417" s="16" t="n"/>
      <c r="I417" s="16" t="n"/>
      <c r="J417" s="17" t="n"/>
      <c r="K417" s="17" t="n"/>
      <c r="L417" s="17" t="n"/>
      <c r="M417" s="16" t="n"/>
      <c r="N417" s="16" t="n"/>
      <c r="O417" s="18" t="n"/>
      <c r="P417" s="18" t="n"/>
      <c r="Q417" s="16" t="n"/>
    </row>
    <row r="418">
      <c r="E418" s="15" t="n"/>
      <c r="F418" s="15" t="n"/>
      <c r="G418" s="15" t="n"/>
      <c r="H418" s="16" t="n"/>
      <c r="I418" s="16" t="n"/>
      <c r="J418" s="17" t="n"/>
      <c r="K418" s="17" t="n"/>
      <c r="L418" s="17" t="n"/>
      <c r="M418" s="16" t="n"/>
      <c r="N418" s="16" t="n"/>
      <c r="O418" s="18" t="n"/>
      <c r="P418" s="18" t="n"/>
      <c r="Q418" s="16" t="n"/>
    </row>
    <row r="419">
      <c r="E419" s="15" t="n"/>
      <c r="F419" s="15" t="n"/>
      <c r="G419" s="15" t="n"/>
      <c r="H419" s="16" t="n"/>
      <c r="I419" s="16" t="n"/>
      <c r="J419" s="17" t="n"/>
      <c r="K419" s="17" t="n"/>
      <c r="L419" s="17" t="n"/>
      <c r="M419" s="16" t="n"/>
      <c r="N419" s="16" t="n"/>
      <c r="O419" s="18" t="n"/>
      <c r="P419" s="18" t="n"/>
      <c r="Q419" s="16" t="n"/>
    </row>
    <row r="420">
      <c r="E420" s="15" t="n"/>
      <c r="F420" s="15" t="n"/>
      <c r="G420" s="15" t="n"/>
      <c r="H420" s="16" t="n"/>
      <c r="I420" s="16" t="n"/>
      <c r="J420" s="17" t="n"/>
      <c r="K420" s="17" t="n"/>
      <c r="L420" s="17" t="n"/>
      <c r="M420" s="16" t="n"/>
      <c r="N420" s="16" t="n"/>
      <c r="O420" s="18" t="n"/>
      <c r="P420" s="18" t="n"/>
      <c r="Q420" s="16" t="n"/>
    </row>
    <row r="421">
      <c r="E421" s="15" t="n"/>
      <c r="F421" s="15" t="n"/>
      <c r="G421" s="15" t="n"/>
      <c r="H421" s="16" t="n"/>
      <c r="I421" s="16" t="n"/>
      <c r="J421" s="17" t="n"/>
      <c r="K421" s="17" t="n"/>
      <c r="L421" s="17" t="n"/>
      <c r="M421" s="16" t="n"/>
      <c r="N421" s="16" t="n"/>
      <c r="O421" s="18" t="n"/>
      <c r="P421" s="18" t="n"/>
      <c r="Q421" s="16" t="n"/>
    </row>
    <row r="422">
      <c r="E422" s="15" t="n"/>
      <c r="F422" s="15" t="n"/>
      <c r="G422" s="15" t="n"/>
      <c r="H422" s="16" t="n"/>
      <c r="I422" s="16" t="n"/>
      <c r="J422" s="17" t="n"/>
      <c r="K422" s="17" t="n"/>
      <c r="L422" s="17" t="n"/>
      <c r="M422" s="16" t="n"/>
      <c r="N422" s="16" t="n"/>
      <c r="O422" s="18" t="n"/>
      <c r="P422" s="18" t="n"/>
      <c r="Q422" s="16" t="n"/>
    </row>
    <row r="423">
      <c r="E423" s="15" t="n"/>
      <c r="F423" s="15" t="n"/>
      <c r="G423" s="15" t="n"/>
      <c r="H423" s="16" t="n"/>
      <c r="I423" s="16" t="n"/>
      <c r="J423" s="17" t="n"/>
      <c r="K423" s="17" t="n"/>
      <c r="L423" s="17" t="n"/>
      <c r="M423" s="16" t="n"/>
      <c r="N423" s="16" t="n"/>
      <c r="O423" s="18" t="n"/>
      <c r="P423" s="18" t="n"/>
      <c r="Q423" s="16" t="n"/>
    </row>
    <row r="424">
      <c r="E424" s="15" t="n"/>
      <c r="F424" s="15" t="n"/>
      <c r="G424" s="15" t="n"/>
      <c r="H424" s="16" t="n"/>
      <c r="I424" s="16" t="n"/>
      <c r="J424" s="17" t="n"/>
      <c r="K424" s="17" t="n"/>
      <c r="L424" s="17" t="n"/>
      <c r="M424" s="16" t="n"/>
      <c r="N424" s="16" t="n"/>
      <c r="O424" s="18" t="n"/>
      <c r="P424" s="18" t="n"/>
      <c r="Q424" s="16" t="n"/>
    </row>
    <row r="425">
      <c r="E425" s="15" t="n"/>
      <c r="F425" s="15" t="n"/>
      <c r="G425" s="15" t="n"/>
      <c r="H425" s="16" t="n"/>
      <c r="I425" s="16" t="n"/>
      <c r="J425" s="17" t="n"/>
      <c r="K425" s="17" t="n"/>
      <c r="L425" s="17" t="n"/>
      <c r="M425" s="16" t="n"/>
      <c r="N425" s="16" t="n"/>
      <c r="O425" s="18" t="n"/>
      <c r="P425" s="18" t="n"/>
      <c r="Q425" s="16" t="n"/>
    </row>
    <row r="426">
      <c r="E426" s="15" t="n"/>
      <c r="F426" s="15" t="n"/>
      <c r="G426" s="15" t="n"/>
      <c r="H426" s="16" t="n"/>
      <c r="I426" s="16" t="n"/>
      <c r="J426" s="17" t="n"/>
      <c r="K426" s="17" t="n"/>
      <c r="L426" s="17" t="n"/>
      <c r="M426" s="16" t="n"/>
      <c r="N426" s="16" t="n"/>
      <c r="O426" s="18" t="n"/>
      <c r="P426" s="18" t="n"/>
      <c r="Q426" s="16" t="n"/>
    </row>
    <row r="427">
      <c r="E427" s="15" t="n"/>
      <c r="F427" s="15" t="n"/>
      <c r="G427" s="15" t="n"/>
      <c r="H427" s="16" t="n"/>
      <c r="I427" s="16" t="n"/>
      <c r="J427" s="17" t="n"/>
      <c r="K427" s="17" t="n"/>
      <c r="L427" s="17" t="n"/>
      <c r="M427" s="16" t="n"/>
      <c r="N427" s="16" t="n"/>
      <c r="O427" s="18" t="n"/>
      <c r="P427" s="18" t="n"/>
      <c r="Q427" s="16" t="n"/>
    </row>
    <row r="428">
      <c r="E428" s="15" t="n"/>
      <c r="F428" s="15" t="n"/>
      <c r="G428" s="15" t="n"/>
      <c r="H428" s="16" t="n"/>
      <c r="I428" s="16" t="n"/>
      <c r="J428" s="17" t="n"/>
      <c r="K428" s="17" t="n"/>
      <c r="L428" s="17" t="n"/>
      <c r="M428" s="16" t="n"/>
      <c r="N428" s="16" t="n"/>
      <c r="O428" s="18" t="n"/>
      <c r="P428" s="18" t="n"/>
      <c r="Q428" s="16" t="n"/>
    </row>
    <row r="429">
      <c r="E429" s="15" t="n"/>
      <c r="F429" s="15" t="n"/>
      <c r="G429" s="15" t="n"/>
      <c r="H429" s="16" t="n"/>
      <c r="I429" s="16" t="n"/>
      <c r="J429" s="17" t="n"/>
      <c r="K429" s="17" t="n"/>
      <c r="L429" s="17" t="n"/>
      <c r="M429" s="16" t="n"/>
      <c r="N429" s="16" t="n"/>
      <c r="O429" s="18" t="n"/>
      <c r="P429" s="18" t="n"/>
      <c r="Q429" s="16" t="n"/>
    </row>
    <row r="430">
      <c r="E430" s="15" t="n"/>
      <c r="F430" s="15" t="n"/>
      <c r="G430" s="15" t="n"/>
      <c r="H430" s="16" t="n"/>
      <c r="I430" s="16" t="n"/>
      <c r="J430" s="17" t="n"/>
      <c r="K430" s="17" t="n"/>
      <c r="L430" s="17" t="n"/>
      <c r="M430" s="16" t="n"/>
      <c r="N430" s="16" t="n"/>
      <c r="O430" s="18" t="n"/>
      <c r="P430" s="18" t="n"/>
      <c r="Q430" s="16" t="n"/>
    </row>
    <row r="431">
      <c r="E431" s="15" t="n"/>
      <c r="F431" s="15" t="n"/>
      <c r="G431" s="15" t="n"/>
      <c r="H431" s="16" t="n"/>
      <c r="I431" s="16" t="n"/>
      <c r="J431" s="17" t="n"/>
      <c r="K431" s="17" t="n"/>
      <c r="L431" s="17" t="n"/>
      <c r="M431" s="16" t="n"/>
      <c r="N431" s="16" t="n"/>
      <c r="O431" s="18" t="n"/>
      <c r="P431" s="18" t="n"/>
      <c r="Q431" s="16" t="n"/>
    </row>
    <row r="432">
      <c r="E432" s="15" t="n"/>
      <c r="F432" s="15" t="n"/>
      <c r="G432" s="15" t="n"/>
      <c r="H432" s="16" t="n"/>
      <c r="I432" s="16" t="n"/>
      <c r="J432" s="17" t="n"/>
      <c r="K432" s="17" t="n"/>
      <c r="L432" s="17" t="n"/>
      <c r="M432" s="16" t="n"/>
      <c r="N432" s="16" t="n"/>
      <c r="O432" s="18" t="n"/>
      <c r="P432" s="18" t="n"/>
      <c r="Q432" s="16" t="n"/>
    </row>
    <row r="433">
      <c r="E433" s="15" t="n"/>
      <c r="F433" s="15" t="n"/>
      <c r="G433" s="15" t="n"/>
      <c r="H433" s="16" t="n"/>
      <c r="I433" s="16" t="n"/>
      <c r="J433" s="17" t="n"/>
      <c r="K433" s="17" t="n"/>
      <c r="L433" s="17" t="n"/>
      <c r="M433" s="16" t="n"/>
      <c r="N433" s="16" t="n"/>
      <c r="O433" s="18" t="n"/>
      <c r="P433" s="18" t="n"/>
      <c r="Q433" s="16" t="n"/>
    </row>
    <row r="434">
      <c r="E434" s="15" t="n"/>
      <c r="F434" s="15" t="n"/>
      <c r="G434" s="15" t="n"/>
      <c r="H434" s="16" t="n"/>
      <c r="I434" s="16" t="n"/>
      <c r="J434" s="17" t="n"/>
      <c r="K434" s="17" t="n"/>
      <c r="L434" s="17" t="n"/>
      <c r="M434" s="16" t="n"/>
      <c r="N434" s="16" t="n"/>
      <c r="O434" s="18" t="n"/>
      <c r="P434" s="18" t="n"/>
      <c r="Q434" s="16" t="n"/>
    </row>
    <row r="435">
      <c r="E435" s="15" t="n"/>
      <c r="F435" s="15" t="n"/>
      <c r="G435" s="15" t="n"/>
      <c r="H435" s="16" t="n"/>
      <c r="I435" s="16" t="n"/>
      <c r="J435" s="17" t="n"/>
      <c r="K435" s="17" t="n"/>
      <c r="L435" s="17" t="n"/>
      <c r="M435" s="16" t="n"/>
      <c r="N435" s="16" t="n"/>
      <c r="O435" s="18" t="n"/>
      <c r="P435" s="18" t="n"/>
      <c r="Q435" s="16" t="n"/>
    </row>
    <row r="436">
      <c r="E436" s="15" t="n"/>
      <c r="F436" s="15" t="n"/>
      <c r="G436" s="15" t="n"/>
      <c r="H436" s="16" t="n"/>
      <c r="I436" s="16" t="n"/>
      <c r="J436" s="17" t="n"/>
      <c r="K436" s="17" t="n"/>
      <c r="L436" s="17" t="n"/>
      <c r="M436" s="16" t="n"/>
      <c r="N436" s="16" t="n"/>
      <c r="O436" s="18" t="n"/>
      <c r="P436" s="18" t="n"/>
      <c r="Q436" s="16" t="n"/>
    </row>
    <row r="437">
      <c r="E437" s="15" t="n"/>
      <c r="F437" s="15" t="n"/>
      <c r="G437" s="15" t="n"/>
      <c r="H437" s="16" t="n"/>
      <c r="I437" s="16" t="n"/>
      <c r="J437" s="17" t="n"/>
      <c r="K437" s="17" t="n"/>
      <c r="L437" s="17" t="n"/>
      <c r="M437" s="16" t="n"/>
      <c r="N437" s="16" t="n"/>
      <c r="O437" s="18" t="n"/>
      <c r="P437" s="18" t="n"/>
      <c r="Q437" s="16" t="n"/>
    </row>
    <row r="438">
      <c r="E438" s="15" t="n"/>
      <c r="F438" s="15" t="n"/>
      <c r="G438" s="15" t="n"/>
      <c r="H438" s="16" t="n"/>
      <c r="I438" s="16" t="n"/>
      <c r="J438" s="17" t="n"/>
      <c r="K438" s="17" t="n"/>
      <c r="L438" s="17" t="n"/>
      <c r="M438" s="16" t="n"/>
      <c r="N438" s="16" t="n"/>
      <c r="O438" s="18" t="n"/>
      <c r="P438" s="18" t="n"/>
      <c r="Q438" s="16" t="n"/>
    </row>
    <row r="439">
      <c r="E439" s="15" t="n"/>
      <c r="F439" s="15" t="n"/>
      <c r="G439" s="15" t="n"/>
      <c r="H439" s="16" t="n"/>
      <c r="I439" s="16" t="n"/>
      <c r="J439" s="17" t="n"/>
      <c r="K439" s="17" t="n"/>
      <c r="L439" s="17" t="n"/>
      <c r="M439" s="16" t="n"/>
      <c r="N439" s="16" t="n"/>
      <c r="O439" s="18" t="n"/>
      <c r="P439" s="18" t="n"/>
      <c r="Q439" s="16" t="n"/>
    </row>
    <row r="440">
      <c r="E440" s="15" t="n"/>
      <c r="F440" s="15" t="n"/>
      <c r="G440" s="15" t="n"/>
      <c r="H440" s="16" t="n"/>
      <c r="I440" s="16" t="n"/>
      <c r="J440" s="17" t="n"/>
      <c r="K440" s="17" t="n"/>
      <c r="L440" s="17" t="n"/>
      <c r="M440" s="16" t="n"/>
      <c r="N440" s="16" t="n"/>
      <c r="O440" s="18" t="n"/>
      <c r="P440" s="18" t="n"/>
      <c r="Q440" s="16" t="n"/>
    </row>
    <row r="441">
      <c r="E441" s="15" t="n"/>
      <c r="F441" s="15" t="n"/>
      <c r="G441" s="15" t="n"/>
      <c r="H441" s="16" t="n"/>
      <c r="I441" s="16" t="n"/>
      <c r="J441" s="17" t="n"/>
      <c r="K441" s="17" t="n"/>
      <c r="L441" s="17" t="n"/>
      <c r="M441" s="16" t="n"/>
      <c r="N441" s="16" t="n"/>
      <c r="O441" s="18" t="n"/>
      <c r="P441" s="18" t="n"/>
      <c r="Q441" s="16" t="n"/>
    </row>
    <row r="442">
      <c r="E442" s="15" t="n"/>
      <c r="F442" s="15" t="n"/>
      <c r="G442" s="15" t="n"/>
      <c r="H442" s="16" t="n"/>
      <c r="I442" s="16" t="n"/>
      <c r="J442" s="17" t="n"/>
      <c r="K442" s="17" t="n"/>
      <c r="L442" s="17" t="n"/>
      <c r="M442" s="16" t="n"/>
      <c r="N442" s="16" t="n"/>
      <c r="O442" s="18" t="n"/>
      <c r="P442" s="18" t="n"/>
      <c r="Q442" s="16" t="n"/>
    </row>
    <row r="443">
      <c r="E443" s="15" t="n"/>
      <c r="F443" s="15" t="n"/>
      <c r="G443" s="15" t="n"/>
      <c r="H443" s="16" t="n"/>
      <c r="I443" s="16" t="n"/>
      <c r="J443" s="17" t="n"/>
      <c r="K443" s="17" t="n"/>
      <c r="L443" s="17" t="n"/>
      <c r="M443" s="16" t="n"/>
      <c r="N443" s="16" t="n"/>
      <c r="O443" s="18" t="n"/>
      <c r="P443" s="18" t="n"/>
      <c r="Q443" s="16" t="n"/>
    </row>
    <row r="444">
      <c r="E444" s="15" t="n"/>
      <c r="F444" s="15" t="n"/>
      <c r="G444" s="15" t="n"/>
      <c r="H444" s="16" t="n"/>
      <c r="I444" s="16" t="n"/>
      <c r="J444" s="17" t="n"/>
      <c r="K444" s="17" t="n"/>
      <c r="L444" s="17" t="n"/>
      <c r="M444" s="16" t="n"/>
      <c r="N444" s="16" t="n"/>
      <c r="O444" s="18" t="n"/>
      <c r="P444" s="18" t="n"/>
      <c r="Q444" s="16" t="n"/>
    </row>
    <row r="445">
      <c r="E445" s="15" t="n"/>
      <c r="F445" s="15" t="n"/>
      <c r="G445" s="15" t="n"/>
      <c r="H445" s="16" t="n"/>
      <c r="I445" s="16" t="n"/>
      <c r="J445" s="17" t="n"/>
      <c r="K445" s="17" t="n"/>
      <c r="L445" s="17" t="n"/>
      <c r="M445" s="16" t="n"/>
      <c r="N445" s="16" t="n"/>
      <c r="O445" s="18" t="n"/>
      <c r="P445" s="18" t="n"/>
      <c r="Q445" s="16" t="n"/>
    </row>
    <row r="446">
      <c r="E446" s="15" t="n"/>
      <c r="F446" s="15" t="n"/>
      <c r="G446" s="15" t="n"/>
      <c r="H446" s="16" t="n"/>
      <c r="I446" s="16" t="n"/>
      <c r="J446" s="17" t="n"/>
      <c r="K446" s="17" t="n"/>
      <c r="L446" s="17" t="n"/>
      <c r="M446" s="16" t="n"/>
      <c r="N446" s="16" t="n"/>
      <c r="O446" s="18" t="n"/>
      <c r="P446" s="18" t="n"/>
      <c r="Q446" s="16" t="n"/>
    </row>
    <row r="447">
      <c r="E447" s="15" t="n"/>
      <c r="F447" s="15" t="n"/>
      <c r="G447" s="15" t="n"/>
      <c r="H447" s="16" t="n"/>
      <c r="I447" s="16" t="n"/>
      <c r="J447" s="17" t="n"/>
      <c r="K447" s="17" t="n"/>
      <c r="L447" s="17" t="n"/>
      <c r="M447" s="16" t="n"/>
      <c r="N447" s="16" t="n"/>
      <c r="O447" s="18" t="n"/>
      <c r="P447" s="18" t="n"/>
      <c r="Q447" s="16" t="n"/>
    </row>
    <row r="448">
      <c r="E448" s="15" t="n"/>
      <c r="F448" s="15" t="n"/>
      <c r="G448" s="15" t="n"/>
      <c r="H448" s="16" t="n"/>
      <c r="I448" s="16" t="n"/>
      <c r="J448" s="17" t="n"/>
      <c r="K448" s="17" t="n"/>
      <c r="L448" s="17" t="n"/>
      <c r="M448" s="16" t="n"/>
      <c r="N448" s="16" t="n"/>
      <c r="O448" s="18" t="n"/>
      <c r="P448" s="18" t="n"/>
      <c r="Q448" s="16" t="n"/>
    </row>
    <row r="449">
      <c r="E449" s="15" t="n"/>
      <c r="F449" s="15" t="n"/>
      <c r="G449" s="15" t="n"/>
      <c r="H449" s="16" t="n"/>
      <c r="I449" s="16" t="n"/>
      <c r="J449" s="17" t="n"/>
      <c r="K449" s="17" t="n"/>
      <c r="L449" s="17" t="n"/>
      <c r="M449" s="16" t="n"/>
      <c r="N449" s="16" t="n"/>
      <c r="O449" s="18" t="n"/>
      <c r="P449" s="18" t="n"/>
      <c r="Q449" s="16" t="n"/>
    </row>
    <row r="450">
      <c r="E450" s="15" t="n"/>
      <c r="F450" s="15" t="n"/>
      <c r="G450" s="15" t="n"/>
      <c r="H450" s="16" t="n"/>
      <c r="I450" s="16" t="n"/>
      <c r="J450" s="17" t="n"/>
      <c r="K450" s="17" t="n"/>
      <c r="L450" s="17" t="n"/>
      <c r="M450" s="16" t="n"/>
      <c r="N450" s="16" t="n"/>
      <c r="O450" s="18" t="n"/>
      <c r="P450" s="18" t="n"/>
      <c r="Q450" s="16" t="n"/>
    </row>
    <row r="451">
      <c r="E451" s="15" t="n"/>
      <c r="F451" s="15" t="n"/>
      <c r="G451" s="15" t="n"/>
      <c r="H451" s="16" t="n"/>
      <c r="I451" s="16" t="n"/>
      <c r="J451" s="17" t="n"/>
      <c r="K451" s="17" t="n"/>
      <c r="L451" s="17" t="n"/>
      <c r="M451" s="16" t="n"/>
      <c r="N451" s="16" t="n"/>
      <c r="O451" s="18" t="n"/>
      <c r="P451" s="18" t="n"/>
      <c r="Q451" s="16" t="n"/>
    </row>
    <row r="452">
      <c r="E452" s="15" t="n"/>
      <c r="F452" s="15" t="n"/>
      <c r="G452" s="15" t="n"/>
      <c r="H452" s="16" t="n"/>
      <c r="I452" s="16" t="n"/>
      <c r="J452" s="17" t="n"/>
      <c r="K452" s="17" t="n"/>
      <c r="L452" s="17" t="n"/>
      <c r="M452" s="16" t="n"/>
      <c r="N452" s="16" t="n"/>
      <c r="O452" s="18" t="n"/>
      <c r="P452" s="18" t="n"/>
      <c r="Q452" s="16" t="n"/>
    </row>
    <row r="453">
      <c r="E453" s="15" t="n"/>
      <c r="F453" s="15" t="n"/>
      <c r="G453" s="15" t="n"/>
      <c r="H453" s="16" t="n"/>
      <c r="I453" s="16" t="n"/>
      <c r="J453" s="17" t="n"/>
      <c r="K453" s="17" t="n"/>
      <c r="L453" s="17" t="n"/>
      <c r="M453" s="16" t="n"/>
      <c r="N453" s="16" t="n"/>
      <c r="O453" s="18" t="n"/>
      <c r="P453" s="18" t="n"/>
      <c r="Q453" s="16" t="n"/>
    </row>
    <row r="454">
      <c r="E454" s="15" t="n"/>
      <c r="F454" s="15" t="n"/>
      <c r="G454" s="15" t="n"/>
      <c r="H454" s="16" t="n"/>
      <c r="I454" s="16" t="n"/>
      <c r="J454" s="17" t="n"/>
      <c r="K454" s="17" t="n"/>
      <c r="L454" s="17" t="n"/>
      <c r="M454" s="16" t="n"/>
      <c r="N454" s="16" t="n"/>
      <c r="O454" s="18" t="n"/>
      <c r="P454" s="18" t="n"/>
      <c r="Q454" s="16" t="n"/>
    </row>
    <row r="455">
      <c r="E455" s="15" t="n"/>
      <c r="F455" s="15" t="n"/>
      <c r="G455" s="15" t="n"/>
      <c r="H455" s="16" t="n"/>
      <c r="I455" s="16" t="n"/>
      <c r="J455" s="17" t="n"/>
      <c r="K455" s="17" t="n"/>
      <c r="L455" s="17" t="n"/>
      <c r="M455" s="16" t="n"/>
      <c r="N455" s="16" t="n"/>
      <c r="O455" s="18" t="n"/>
      <c r="P455" s="18" t="n"/>
      <c r="Q455" s="16" t="n"/>
    </row>
    <row r="456">
      <c r="E456" s="15" t="n"/>
      <c r="F456" s="15" t="n"/>
      <c r="G456" s="15" t="n"/>
      <c r="H456" s="16" t="n"/>
      <c r="I456" s="16" t="n"/>
      <c r="J456" s="17" t="n"/>
      <c r="K456" s="17" t="n"/>
      <c r="L456" s="17" t="n"/>
      <c r="M456" s="16" t="n"/>
      <c r="N456" s="16" t="n"/>
      <c r="O456" s="18" t="n"/>
      <c r="P456" s="18" t="n"/>
      <c r="Q456" s="16" t="n"/>
    </row>
    <row r="457">
      <c r="E457" s="15" t="n"/>
      <c r="F457" s="15" t="n"/>
      <c r="G457" s="15" t="n"/>
      <c r="H457" s="16" t="n"/>
      <c r="I457" s="16" t="n"/>
      <c r="J457" s="17" t="n"/>
      <c r="K457" s="17" t="n"/>
      <c r="L457" s="17" t="n"/>
      <c r="M457" s="16" t="n"/>
      <c r="N457" s="16" t="n"/>
      <c r="O457" s="18" t="n"/>
      <c r="P457" s="18" t="n"/>
      <c r="Q457" s="16" t="n"/>
    </row>
    <row r="458">
      <c r="E458" s="15" t="n"/>
      <c r="F458" s="15" t="n"/>
      <c r="G458" s="15" t="n"/>
      <c r="H458" s="16" t="n"/>
      <c r="I458" s="16" t="n"/>
      <c r="J458" s="17" t="n"/>
      <c r="K458" s="17" t="n"/>
      <c r="L458" s="17" t="n"/>
      <c r="M458" s="16" t="n"/>
      <c r="N458" s="16" t="n"/>
      <c r="O458" s="18" t="n"/>
      <c r="P458" s="18" t="n"/>
      <c r="Q458" s="16" t="n"/>
    </row>
    <row r="459">
      <c r="E459" s="15" t="n"/>
      <c r="F459" s="15" t="n"/>
      <c r="G459" s="15" t="n"/>
      <c r="H459" s="16" t="n"/>
      <c r="I459" s="16" t="n"/>
      <c r="J459" s="17" t="n"/>
      <c r="K459" s="17" t="n"/>
      <c r="L459" s="17" t="n"/>
      <c r="M459" s="16" t="n"/>
      <c r="N459" s="16" t="n"/>
      <c r="O459" s="18" t="n"/>
      <c r="P459" s="18" t="n"/>
      <c r="Q459" s="16" t="n"/>
    </row>
    <row r="460">
      <c r="E460" s="15" t="n"/>
      <c r="F460" s="15" t="n"/>
      <c r="G460" s="15" t="n"/>
      <c r="H460" s="16" t="n"/>
      <c r="I460" s="16" t="n"/>
      <c r="J460" s="17" t="n"/>
      <c r="K460" s="17" t="n"/>
      <c r="L460" s="17" t="n"/>
      <c r="M460" s="16" t="n"/>
      <c r="N460" s="16" t="n"/>
      <c r="O460" s="18" t="n"/>
      <c r="P460" s="18" t="n"/>
      <c r="Q460" s="16" t="n"/>
    </row>
    <row r="461">
      <c r="E461" s="15" t="n"/>
      <c r="F461" s="15" t="n"/>
      <c r="G461" s="15" t="n"/>
      <c r="H461" s="16" t="n"/>
      <c r="I461" s="16" t="n"/>
      <c r="J461" s="17" t="n"/>
      <c r="K461" s="17" t="n"/>
      <c r="L461" s="17" t="n"/>
      <c r="M461" s="16" t="n"/>
      <c r="N461" s="16" t="n"/>
      <c r="O461" s="18" t="n"/>
      <c r="P461" s="18" t="n"/>
      <c r="Q461" s="16" t="n"/>
    </row>
    <row r="462">
      <c r="E462" s="15" t="n"/>
      <c r="F462" s="15" t="n"/>
      <c r="G462" s="15" t="n"/>
      <c r="H462" s="16" t="n"/>
      <c r="I462" s="16" t="n"/>
      <c r="J462" s="17" t="n"/>
      <c r="K462" s="17" t="n"/>
      <c r="L462" s="17" t="n"/>
      <c r="M462" s="16" t="n"/>
      <c r="N462" s="16" t="n"/>
      <c r="O462" s="18" t="n"/>
      <c r="P462" s="18" t="n"/>
      <c r="Q462" s="16" t="n"/>
    </row>
    <row r="463">
      <c r="E463" s="15" t="n"/>
      <c r="F463" s="15" t="n"/>
      <c r="G463" s="15" t="n"/>
      <c r="H463" s="16" t="n"/>
      <c r="I463" s="16" t="n"/>
      <c r="J463" s="17" t="n"/>
      <c r="K463" s="17" t="n"/>
      <c r="L463" s="17" t="n"/>
      <c r="M463" s="16" t="n"/>
      <c r="N463" s="16" t="n"/>
      <c r="O463" s="18" t="n"/>
      <c r="P463" s="18" t="n"/>
      <c r="Q463" s="16" t="n"/>
    </row>
    <row r="464">
      <c r="E464" s="15" t="n"/>
      <c r="F464" s="15" t="n"/>
      <c r="G464" s="15" t="n"/>
      <c r="H464" s="16" t="n"/>
      <c r="I464" s="16" t="n"/>
      <c r="J464" s="17" t="n"/>
      <c r="K464" s="17" t="n"/>
      <c r="L464" s="17" t="n"/>
      <c r="M464" s="16" t="n"/>
      <c r="N464" s="16" t="n"/>
      <c r="O464" s="18" t="n"/>
      <c r="P464" s="18" t="n"/>
      <c r="Q464" s="16" t="n"/>
    </row>
    <row r="465">
      <c r="E465" s="15" t="n"/>
      <c r="F465" s="15" t="n"/>
      <c r="G465" s="15" t="n"/>
      <c r="H465" s="16" t="n"/>
      <c r="I465" s="16" t="n"/>
      <c r="J465" s="17" t="n"/>
      <c r="K465" s="17" t="n"/>
      <c r="L465" s="17" t="n"/>
      <c r="M465" s="16" t="n"/>
      <c r="N465" s="16" t="n"/>
      <c r="O465" s="18" t="n"/>
      <c r="P465" s="18" t="n"/>
      <c r="Q465" s="16" t="n"/>
    </row>
    <row r="466">
      <c r="E466" s="15" t="n"/>
      <c r="F466" s="15" t="n"/>
      <c r="G466" s="15" t="n"/>
      <c r="H466" s="16" t="n"/>
      <c r="I466" s="16" t="n"/>
      <c r="J466" s="17" t="n"/>
      <c r="K466" s="17" t="n"/>
      <c r="L466" s="17" t="n"/>
      <c r="M466" s="16" t="n"/>
      <c r="N466" s="16" t="n"/>
      <c r="O466" s="18" t="n"/>
      <c r="P466" s="18" t="n"/>
      <c r="Q466" s="16" t="n"/>
    </row>
    <row r="467">
      <c r="E467" s="15" t="n"/>
      <c r="F467" s="15" t="n"/>
      <c r="G467" s="15" t="n"/>
      <c r="H467" s="16" t="n"/>
      <c r="I467" s="16" t="n"/>
      <c r="J467" s="17" t="n"/>
      <c r="K467" s="17" t="n"/>
      <c r="L467" s="17" t="n"/>
      <c r="M467" s="16" t="n"/>
      <c r="N467" s="16" t="n"/>
      <c r="O467" s="18" t="n"/>
      <c r="P467" s="18" t="n"/>
      <c r="Q467" s="16" t="n"/>
    </row>
    <row r="468">
      <c r="E468" s="15" t="n"/>
      <c r="F468" s="15" t="n"/>
      <c r="G468" s="15" t="n"/>
      <c r="H468" s="16" t="n"/>
      <c r="I468" s="16" t="n"/>
      <c r="J468" s="17" t="n"/>
      <c r="K468" s="17" t="n"/>
      <c r="L468" s="17" t="n"/>
      <c r="M468" s="16" t="n"/>
      <c r="N468" s="16" t="n"/>
      <c r="O468" s="18" t="n"/>
      <c r="P468" s="18" t="n"/>
      <c r="Q468" s="16" t="n"/>
    </row>
    <row r="469">
      <c r="E469" s="15" t="n"/>
      <c r="F469" s="15" t="n"/>
      <c r="G469" s="15" t="n"/>
      <c r="H469" s="16" t="n"/>
      <c r="I469" s="16" t="n"/>
      <c r="J469" s="17" t="n"/>
      <c r="K469" s="17" t="n"/>
      <c r="L469" s="17" t="n"/>
      <c r="M469" s="16" t="n"/>
      <c r="N469" s="16" t="n"/>
      <c r="O469" s="18" t="n"/>
      <c r="P469" s="18" t="n"/>
      <c r="Q469" s="16" t="n"/>
    </row>
    <row r="470">
      <c r="E470" s="15" t="n"/>
      <c r="F470" s="15" t="n"/>
      <c r="G470" s="15" t="n"/>
      <c r="H470" s="16" t="n"/>
      <c r="I470" s="16" t="n"/>
      <c r="J470" s="17" t="n"/>
      <c r="K470" s="17" t="n"/>
      <c r="L470" s="17" t="n"/>
      <c r="M470" s="16" t="n"/>
      <c r="N470" s="16" t="n"/>
      <c r="O470" s="18" t="n"/>
      <c r="P470" s="18" t="n"/>
      <c r="Q470" s="16" t="n"/>
    </row>
    <row r="471">
      <c r="E471" s="15" t="n"/>
      <c r="F471" s="15" t="n"/>
      <c r="G471" s="15" t="n"/>
      <c r="H471" s="16" t="n"/>
      <c r="I471" s="16" t="n"/>
      <c r="J471" s="17" t="n"/>
      <c r="K471" s="17" t="n"/>
      <c r="L471" s="17" t="n"/>
      <c r="M471" s="16" t="n"/>
      <c r="N471" s="16" t="n"/>
      <c r="O471" s="18" t="n"/>
      <c r="P471" s="18" t="n"/>
      <c r="Q471" s="16" t="n"/>
    </row>
    <row r="472">
      <c r="E472" s="15" t="n"/>
      <c r="F472" s="15" t="n"/>
      <c r="G472" s="15" t="n"/>
      <c r="H472" s="16" t="n"/>
      <c r="I472" s="16" t="n"/>
      <c r="J472" s="17" t="n"/>
      <c r="K472" s="17" t="n"/>
      <c r="L472" s="17" t="n"/>
      <c r="M472" s="16" t="n"/>
      <c r="N472" s="16" t="n"/>
      <c r="O472" s="18" t="n"/>
      <c r="P472" s="18" t="n"/>
      <c r="Q472" s="16" t="n"/>
    </row>
    <row r="473">
      <c r="E473" s="15" t="n"/>
      <c r="F473" s="15" t="n"/>
      <c r="G473" s="15" t="n"/>
      <c r="H473" s="16" t="n"/>
      <c r="I473" s="16" t="n"/>
      <c r="J473" s="17" t="n"/>
      <c r="K473" s="17" t="n"/>
      <c r="L473" s="17" t="n"/>
      <c r="M473" s="16" t="n"/>
      <c r="N473" s="16" t="n"/>
      <c r="O473" s="18" t="n"/>
      <c r="P473" s="18" t="n"/>
      <c r="Q473" s="16" t="n"/>
    </row>
    <row r="474">
      <c r="E474" s="15" t="n"/>
      <c r="F474" s="15" t="n"/>
      <c r="G474" s="15" t="n"/>
      <c r="H474" s="16" t="n"/>
      <c r="I474" s="16" t="n"/>
      <c r="J474" s="17" t="n"/>
      <c r="K474" s="17" t="n"/>
      <c r="L474" s="17" t="n"/>
      <c r="M474" s="16" t="n"/>
      <c r="N474" s="16" t="n"/>
      <c r="O474" s="18" t="n"/>
      <c r="P474" s="18" t="n"/>
      <c r="Q474" s="16" t="n"/>
    </row>
    <row r="475">
      <c r="E475" s="15" t="n"/>
      <c r="F475" s="15" t="n"/>
      <c r="G475" s="15" t="n"/>
      <c r="H475" s="16" t="n"/>
      <c r="I475" s="16" t="n"/>
      <c r="J475" s="17" t="n"/>
      <c r="K475" s="17" t="n"/>
      <c r="L475" s="17" t="n"/>
      <c r="M475" s="16" t="n"/>
      <c r="N475" s="16" t="n"/>
      <c r="O475" s="18" t="n"/>
      <c r="P475" s="18" t="n"/>
      <c r="Q475" s="16" t="n"/>
    </row>
    <row r="476">
      <c r="E476" s="15" t="n"/>
      <c r="F476" s="15" t="n"/>
      <c r="G476" s="15" t="n"/>
      <c r="H476" s="16" t="n"/>
      <c r="I476" s="16" t="n"/>
      <c r="J476" s="17" t="n"/>
      <c r="K476" s="17" t="n"/>
      <c r="L476" s="17" t="n"/>
      <c r="M476" s="16" t="n"/>
      <c r="N476" s="16" t="n"/>
      <c r="O476" s="18" t="n"/>
      <c r="P476" s="18" t="n"/>
      <c r="Q476" s="16" t="n"/>
    </row>
    <row r="477">
      <c r="E477" s="15" t="n"/>
      <c r="F477" s="15" t="n"/>
      <c r="G477" s="15" t="n"/>
      <c r="H477" s="16" t="n"/>
      <c r="I477" s="16" t="n"/>
      <c r="J477" s="17" t="n"/>
      <c r="K477" s="17" t="n"/>
      <c r="L477" s="17" t="n"/>
      <c r="M477" s="16" t="n"/>
      <c r="N477" s="16" t="n"/>
      <c r="O477" s="18" t="n"/>
      <c r="P477" s="18" t="n"/>
      <c r="Q477" s="16" t="n"/>
    </row>
    <row r="478">
      <c r="E478" s="15" t="n"/>
      <c r="F478" s="15" t="n"/>
      <c r="G478" s="15" t="n"/>
      <c r="H478" s="16" t="n"/>
      <c r="I478" s="16" t="n"/>
      <c r="J478" s="17" t="n"/>
      <c r="K478" s="17" t="n"/>
      <c r="L478" s="17" t="n"/>
      <c r="M478" s="16" t="n"/>
      <c r="N478" s="16" t="n"/>
      <c r="O478" s="18" t="n"/>
      <c r="P478" s="18" t="n"/>
      <c r="Q478" s="16" t="n"/>
    </row>
    <row r="479">
      <c r="E479" s="15" t="n"/>
      <c r="F479" s="15" t="n"/>
      <c r="G479" s="15" t="n"/>
      <c r="H479" s="16" t="n"/>
      <c r="I479" s="16" t="n"/>
      <c r="J479" s="17" t="n"/>
      <c r="K479" s="17" t="n"/>
      <c r="L479" s="17" t="n"/>
      <c r="M479" s="16" t="n"/>
      <c r="N479" s="16" t="n"/>
      <c r="O479" s="18" t="n"/>
      <c r="P479" s="18" t="n"/>
      <c r="Q479" s="16" t="n"/>
    </row>
    <row r="480">
      <c r="E480" s="15" t="n"/>
      <c r="F480" s="15" t="n"/>
      <c r="G480" s="15" t="n"/>
      <c r="H480" s="16" t="n"/>
      <c r="I480" s="16" t="n"/>
      <c r="J480" s="17" t="n"/>
      <c r="K480" s="17" t="n"/>
      <c r="L480" s="17" t="n"/>
      <c r="M480" s="16" t="n"/>
      <c r="N480" s="16" t="n"/>
      <c r="O480" s="18" t="n"/>
      <c r="P480" s="18" t="n"/>
      <c r="Q480" s="16" t="n"/>
    </row>
    <row r="481">
      <c r="E481" s="15" t="n"/>
      <c r="F481" s="15" t="n"/>
      <c r="G481" s="15" t="n"/>
      <c r="H481" s="16" t="n"/>
      <c r="I481" s="16" t="n"/>
      <c r="J481" s="17" t="n"/>
      <c r="K481" s="17" t="n"/>
      <c r="L481" s="17" t="n"/>
      <c r="M481" s="16" t="n"/>
      <c r="N481" s="16" t="n"/>
      <c r="O481" s="18" t="n"/>
      <c r="P481" s="18" t="n"/>
      <c r="Q481" s="16" t="n"/>
    </row>
    <row r="482">
      <c r="E482" s="15" t="n"/>
      <c r="F482" s="15" t="n"/>
      <c r="G482" s="15" t="n"/>
      <c r="H482" s="16" t="n"/>
      <c r="I482" s="16" t="n"/>
      <c r="J482" s="17" t="n"/>
      <c r="K482" s="17" t="n"/>
      <c r="L482" s="17" t="n"/>
      <c r="M482" s="16" t="n"/>
      <c r="N482" s="16" t="n"/>
      <c r="O482" s="18" t="n"/>
      <c r="P482" s="18" t="n"/>
      <c r="Q482" s="16" t="n"/>
    </row>
    <row r="483">
      <c r="E483" s="15" t="n"/>
      <c r="F483" s="15" t="n"/>
      <c r="G483" s="15" t="n"/>
      <c r="H483" s="16" t="n"/>
      <c r="I483" s="16" t="n"/>
      <c r="J483" s="17" t="n"/>
      <c r="K483" s="17" t="n"/>
      <c r="L483" s="17" t="n"/>
      <c r="M483" s="16" t="n"/>
      <c r="N483" s="16" t="n"/>
      <c r="O483" s="18" t="n"/>
      <c r="P483" s="18" t="n"/>
      <c r="Q483" s="16" t="n"/>
    </row>
    <row r="484">
      <c r="E484" s="15" t="n"/>
      <c r="F484" s="15" t="n"/>
      <c r="G484" s="15" t="n"/>
      <c r="H484" s="16" t="n"/>
      <c r="I484" s="16" t="n"/>
      <c r="J484" s="17" t="n"/>
      <c r="K484" s="17" t="n"/>
      <c r="L484" s="17" t="n"/>
      <c r="M484" s="16" t="n"/>
      <c r="N484" s="16" t="n"/>
      <c r="O484" s="18" t="n"/>
      <c r="P484" s="18" t="n"/>
      <c r="Q484" s="16" t="n"/>
    </row>
    <row r="485">
      <c r="E485" s="15" t="n"/>
      <c r="F485" s="15" t="n"/>
      <c r="G485" s="15" t="n"/>
      <c r="H485" s="16" t="n"/>
      <c r="I485" s="16" t="n"/>
      <c r="J485" s="17" t="n"/>
      <c r="K485" s="17" t="n"/>
      <c r="L485" s="17" t="n"/>
      <c r="M485" s="16" t="n"/>
      <c r="N485" s="16" t="n"/>
      <c r="O485" s="18" t="n"/>
      <c r="P485" s="18" t="n"/>
      <c r="Q485" s="16" t="n"/>
    </row>
    <row r="486">
      <c r="E486" s="15" t="n"/>
      <c r="F486" s="15" t="n"/>
      <c r="G486" s="15" t="n"/>
      <c r="H486" s="16" t="n"/>
      <c r="I486" s="16" t="n"/>
      <c r="J486" s="17" t="n"/>
      <c r="K486" s="17" t="n"/>
      <c r="L486" s="17" t="n"/>
      <c r="M486" s="16" t="n"/>
      <c r="N486" s="16" t="n"/>
      <c r="O486" s="18" t="n"/>
      <c r="P486" s="18" t="n"/>
      <c r="Q486" s="16" t="n"/>
    </row>
    <row r="487">
      <c r="E487" s="15" t="n"/>
      <c r="F487" s="15" t="n"/>
      <c r="G487" s="15" t="n"/>
      <c r="H487" s="16" t="n"/>
      <c r="I487" s="16" t="n"/>
      <c r="J487" s="17" t="n"/>
      <c r="K487" s="17" t="n"/>
      <c r="L487" s="17" t="n"/>
      <c r="M487" s="16" t="n"/>
      <c r="N487" s="16" t="n"/>
      <c r="O487" s="18" t="n"/>
      <c r="P487" s="18" t="n"/>
      <c r="Q487" s="16" t="n"/>
    </row>
    <row r="488">
      <c r="E488" s="15" t="n"/>
      <c r="F488" s="15" t="n"/>
      <c r="G488" s="15" t="n"/>
      <c r="H488" s="16" t="n"/>
      <c r="I488" s="16" t="n"/>
      <c r="J488" s="17" t="n"/>
      <c r="K488" s="17" t="n"/>
      <c r="L488" s="17" t="n"/>
      <c r="M488" s="16" t="n"/>
      <c r="N488" s="16" t="n"/>
      <c r="O488" s="18" t="n"/>
      <c r="P488" s="18" t="n"/>
      <c r="Q488" s="16" t="n"/>
    </row>
    <row r="489">
      <c r="E489" s="15" t="n"/>
      <c r="F489" s="15" t="n"/>
      <c r="G489" s="15" t="n"/>
      <c r="H489" s="16" t="n"/>
      <c r="I489" s="16" t="n"/>
      <c r="J489" s="17" t="n"/>
      <c r="K489" s="17" t="n"/>
      <c r="L489" s="17" t="n"/>
      <c r="M489" s="16" t="n"/>
      <c r="N489" s="16" t="n"/>
      <c r="O489" s="18" t="n"/>
      <c r="P489" s="18" t="n"/>
      <c r="Q489" s="16" t="n"/>
    </row>
    <row r="490">
      <c r="E490" s="15" t="n"/>
      <c r="F490" s="15" t="n"/>
      <c r="G490" s="15" t="n"/>
      <c r="H490" s="16" t="n"/>
      <c r="I490" s="16" t="n"/>
      <c r="J490" s="17" t="n"/>
      <c r="K490" s="17" t="n"/>
      <c r="L490" s="17" t="n"/>
      <c r="M490" s="16" t="n"/>
      <c r="N490" s="16" t="n"/>
      <c r="O490" s="18" t="n"/>
      <c r="P490" s="18" t="n"/>
      <c r="Q490" s="16" t="n"/>
    </row>
    <row r="491">
      <c r="E491" s="15" t="n"/>
      <c r="F491" s="15" t="n"/>
      <c r="G491" s="15" t="n"/>
      <c r="H491" s="16" t="n"/>
      <c r="I491" s="16" t="n"/>
      <c r="J491" s="17" t="n"/>
      <c r="K491" s="17" t="n"/>
      <c r="L491" s="17" t="n"/>
      <c r="M491" s="16" t="n"/>
      <c r="N491" s="16" t="n"/>
      <c r="O491" s="18" t="n"/>
      <c r="P491" s="18" t="n"/>
      <c r="Q491" s="16" t="n"/>
    </row>
    <row r="492">
      <c r="E492" s="15" t="n"/>
      <c r="F492" s="15" t="n"/>
      <c r="G492" s="15" t="n"/>
      <c r="H492" s="16" t="n"/>
      <c r="I492" s="16" t="n"/>
      <c r="J492" s="17" t="n"/>
      <c r="K492" s="17" t="n"/>
      <c r="L492" s="17" t="n"/>
      <c r="M492" s="16" t="n"/>
      <c r="N492" s="16" t="n"/>
      <c r="O492" s="18" t="n"/>
      <c r="P492" s="18" t="n"/>
      <c r="Q492" s="16" t="n"/>
    </row>
    <row r="493">
      <c r="E493" s="15" t="n"/>
      <c r="F493" s="15" t="n"/>
      <c r="G493" s="15" t="n"/>
      <c r="H493" s="16" t="n"/>
      <c r="I493" s="16" t="n"/>
      <c r="J493" s="17" t="n"/>
      <c r="K493" s="17" t="n"/>
      <c r="L493" s="17" t="n"/>
      <c r="M493" s="16" t="n"/>
      <c r="N493" s="16" t="n"/>
      <c r="O493" s="18" t="n"/>
      <c r="P493" s="18" t="n"/>
      <c r="Q493" s="16" t="n"/>
    </row>
    <row r="494">
      <c r="E494" s="15" t="n"/>
      <c r="F494" s="15" t="n"/>
      <c r="G494" s="15" t="n"/>
      <c r="H494" s="16" t="n"/>
      <c r="I494" s="16" t="n"/>
      <c r="J494" s="17" t="n"/>
      <c r="K494" s="17" t="n"/>
      <c r="L494" s="17" t="n"/>
      <c r="M494" s="16" t="n"/>
      <c r="N494" s="16" t="n"/>
      <c r="O494" s="18" t="n"/>
      <c r="P494" s="18" t="n"/>
      <c r="Q494" s="16" t="n"/>
    </row>
    <row r="495">
      <c r="E495" s="15" t="n"/>
      <c r="F495" s="15" t="n"/>
      <c r="G495" s="15" t="n"/>
      <c r="H495" s="16" t="n"/>
      <c r="I495" s="16" t="n"/>
      <c r="J495" s="17" t="n"/>
      <c r="K495" s="17" t="n"/>
      <c r="L495" s="17" t="n"/>
      <c r="M495" s="16" t="n"/>
      <c r="N495" s="16" t="n"/>
      <c r="O495" s="18" t="n"/>
      <c r="P495" s="18" t="n"/>
      <c r="Q495" s="16" t="n"/>
    </row>
    <row r="496">
      <c r="E496" s="15" t="n"/>
      <c r="F496" s="15" t="n"/>
      <c r="G496" s="15" t="n"/>
      <c r="H496" s="16" t="n"/>
      <c r="I496" s="16" t="n"/>
      <c r="J496" s="17" t="n"/>
      <c r="K496" s="17" t="n"/>
      <c r="L496" s="17" t="n"/>
      <c r="M496" s="16" t="n"/>
      <c r="N496" s="16" t="n"/>
      <c r="O496" s="18" t="n"/>
      <c r="P496" s="18" t="n"/>
      <c r="Q496" s="16" t="n"/>
    </row>
    <row r="497">
      <c r="E497" s="15" t="n"/>
      <c r="F497" s="15" t="n"/>
      <c r="G497" s="15" t="n"/>
      <c r="H497" s="16" t="n"/>
      <c r="I497" s="16" t="n"/>
      <c r="J497" s="17" t="n"/>
      <c r="K497" s="17" t="n"/>
      <c r="L497" s="17" t="n"/>
      <c r="M497" s="16" t="n"/>
      <c r="N497" s="16" t="n"/>
      <c r="O497" s="18" t="n"/>
      <c r="P497" s="18" t="n"/>
      <c r="Q497" s="16" t="n"/>
    </row>
    <row r="498">
      <c r="E498" s="15" t="n"/>
      <c r="F498" s="15" t="n"/>
      <c r="G498" s="15" t="n"/>
      <c r="H498" s="16" t="n"/>
      <c r="I498" s="16" t="n"/>
      <c r="J498" s="17" t="n"/>
      <c r="K498" s="17" t="n"/>
      <c r="L498" s="17" t="n"/>
      <c r="M498" s="16" t="n"/>
      <c r="N498" s="16" t="n"/>
      <c r="O498" s="18" t="n"/>
      <c r="P498" s="18" t="n"/>
      <c r="Q498" s="16" t="n"/>
    </row>
    <row r="499">
      <c r="E499" s="15" t="n"/>
      <c r="F499" s="15" t="n"/>
      <c r="G499" s="15" t="n"/>
      <c r="H499" s="16" t="n"/>
      <c r="I499" s="16" t="n"/>
      <c r="J499" s="17" t="n"/>
      <c r="K499" s="17" t="n"/>
      <c r="L499" s="17" t="n"/>
      <c r="M499" s="16" t="n"/>
      <c r="N499" s="16" t="n"/>
      <c r="O499" s="18" t="n"/>
      <c r="P499" s="18" t="n"/>
      <c r="Q499" s="16" t="n"/>
    </row>
    <row r="500">
      <c r="E500" s="15" t="n"/>
      <c r="F500" s="15" t="n"/>
      <c r="G500" s="15" t="n"/>
      <c r="H500" s="16" t="n"/>
      <c r="I500" s="16" t="n"/>
      <c r="J500" s="17" t="n"/>
      <c r="K500" s="17" t="n"/>
      <c r="L500" s="17" t="n"/>
      <c r="M500" s="16" t="n"/>
      <c r="N500" s="16" t="n"/>
      <c r="O500" s="18" t="n"/>
      <c r="P500" s="18" t="n"/>
      <c r="Q500" s="16" t="n"/>
    </row>
    <row r="501">
      <c r="E501" s="15" t="n"/>
      <c r="F501" s="15" t="n"/>
      <c r="G501" s="15" t="n"/>
      <c r="H501" s="16" t="n"/>
      <c r="I501" s="16" t="n"/>
      <c r="J501" s="17" t="n"/>
      <c r="K501" s="17" t="n"/>
      <c r="L501" s="17" t="n"/>
      <c r="M501" s="16" t="n"/>
      <c r="N501" s="16" t="n"/>
      <c r="O501" s="18" t="n"/>
      <c r="P501" s="18" t="n"/>
      <c r="Q501" s="16" t="n"/>
    </row>
    <row r="502">
      <c r="E502" s="15" t="n"/>
      <c r="F502" s="15" t="n"/>
      <c r="G502" s="15" t="n"/>
      <c r="H502" s="16" t="n"/>
      <c r="I502" s="16" t="n"/>
      <c r="J502" s="17" t="n"/>
      <c r="K502" s="17" t="n"/>
      <c r="L502" s="17" t="n"/>
      <c r="M502" s="16" t="n"/>
      <c r="N502" s="16" t="n"/>
      <c r="O502" s="18" t="n"/>
      <c r="P502" s="18" t="n"/>
      <c r="Q502" s="16" t="n"/>
    </row>
    <row r="503">
      <c r="E503" s="15" t="n"/>
      <c r="F503" s="15" t="n"/>
      <c r="G503" s="15" t="n"/>
      <c r="H503" s="16" t="n"/>
      <c r="I503" s="16" t="n"/>
      <c r="J503" s="17" t="n"/>
      <c r="K503" s="17" t="n"/>
      <c r="L503" s="17" t="n"/>
      <c r="M503" s="16" t="n"/>
      <c r="N503" s="16" t="n"/>
      <c r="O503" s="18" t="n"/>
      <c r="P503" s="18" t="n"/>
      <c r="Q503" s="16" t="n"/>
    </row>
    <row r="504">
      <c r="E504" s="15" t="n"/>
      <c r="F504" s="15" t="n"/>
      <c r="G504" s="15" t="n"/>
      <c r="H504" s="16" t="n"/>
      <c r="I504" s="16" t="n"/>
      <c r="J504" s="17" t="n"/>
      <c r="K504" s="17" t="n"/>
      <c r="L504" s="17" t="n"/>
      <c r="M504" s="16" t="n"/>
      <c r="N504" s="16" t="n"/>
      <c r="O504" s="18" t="n"/>
      <c r="P504" s="18" t="n"/>
      <c r="Q504" s="16" t="n"/>
    </row>
    <row r="505">
      <c r="E505" s="15" t="n"/>
      <c r="F505" s="15" t="n"/>
      <c r="G505" s="15" t="n"/>
      <c r="H505" s="16" t="n"/>
      <c r="I505" s="16" t="n"/>
      <c r="J505" s="17" t="n"/>
      <c r="K505" s="17" t="n"/>
      <c r="L505" s="17" t="n"/>
      <c r="M505" s="16" t="n"/>
      <c r="N505" s="16" t="n"/>
      <c r="O505" s="18" t="n"/>
      <c r="P505" s="18" t="n"/>
      <c r="Q505" s="16" t="n"/>
    </row>
    <row r="506">
      <c r="E506" s="15" t="n"/>
      <c r="F506" s="15" t="n"/>
      <c r="G506" s="15" t="n"/>
      <c r="H506" s="16" t="n"/>
      <c r="I506" s="16" t="n"/>
      <c r="J506" s="17" t="n"/>
      <c r="K506" s="17" t="n"/>
      <c r="L506" s="17" t="n"/>
      <c r="M506" s="16" t="n"/>
      <c r="N506" s="16" t="n"/>
      <c r="O506" s="18" t="n"/>
      <c r="P506" s="18" t="n"/>
      <c r="Q506" s="16" t="n"/>
    </row>
    <row r="507">
      <c r="E507" s="15" t="n"/>
      <c r="F507" s="15" t="n"/>
      <c r="G507" s="15" t="n"/>
      <c r="H507" s="16" t="n"/>
      <c r="I507" s="16" t="n"/>
      <c r="J507" s="17" t="n"/>
      <c r="K507" s="17" t="n"/>
      <c r="L507" s="17" t="n"/>
      <c r="M507" s="16" t="n"/>
      <c r="N507" s="16" t="n"/>
      <c r="O507" s="18" t="n"/>
      <c r="P507" s="18" t="n"/>
      <c r="Q507" s="16" t="n"/>
    </row>
    <row r="508">
      <c r="E508" s="15" t="n"/>
      <c r="F508" s="15" t="n"/>
      <c r="G508" s="15" t="n"/>
      <c r="H508" s="16" t="n"/>
      <c r="I508" s="16" t="n"/>
      <c r="J508" s="17" t="n"/>
      <c r="K508" s="17" t="n"/>
      <c r="L508" s="17" t="n"/>
      <c r="M508" s="16" t="n"/>
      <c r="N508" s="16" t="n"/>
      <c r="O508" s="18" t="n"/>
      <c r="P508" s="18" t="n"/>
      <c r="Q508" s="16" t="n"/>
    </row>
    <row r="509">
      <c r="E509" s="15" t="n"/>
      <c r="F509" s="15" t="n"/>
      <c r="G509" s="15" t="n"/>
      <c r="H509" s="16" t="n"/>
      <c r="I509" s="16" t="n"/>
      <c r="J509" s="17" t="n"/>
      <c r="K509" s="17" t="n"/>
      <c r="L509" s="17" t="n"/>
      <c r="M509" s="16" t="n"/>
      <c r="N509" s="16" t="n"/>
      <c r="O509" s="18" t="n"/>
      <c r="P509" s="18" t="n"/>
      <c r="Q509" s="16" t="n"/>
    </row>
    <row r="510">
      <c r="E510" s="15" t="n"/>
      <c r="F510" s="15" t="n"/>
      <c r="G510" s="15" t="n"/>
      <c r="H510" s="16" t="n"/>
      <c r="I510" s="16" t="n"/>
      <c r="J510" s="17" t="n"/>
      <c r="K510" s="17" t="n"/>
      <c r="L510" s="17" t="n"/>
      <c r="M510" s="16" t="n"/>
      <c r="N510" s="16" t="n"/>
      <c r="O510" s="18" t="n"/>
      <c r="P510" s="18" t="n"/>
      <c r="Q510" s="16" t="n"/>
    </row>
    <row r="511">
      <c r="E511" s="15" t="n"/>
      <c r="F511" s="15" t="n"/>
      <c r="G511" s="15" t="n"/>
      <c r="H511" s="16" t="n"/>
      <c r="I511" s="16" t="n"/>
      <c r="J511" s="17" t="n"/>
      <c r="K511" s="17" t="n"/>
      <c r="L511" s="17" t="n"/>
      <c r="M511" s="16" t="n"/>
      <c r="N511" s="16" t="n"/>
      <c r="O511" s="18" t="n"/>
      <c r="P511" s="18" t="n"/>
      <c r="Q511" s="16" t="n"/>
    </row>
    <row r="512">
      <c r="E512" s="15" t="n"/>
      <c r="F512" s="15" t="n"/>
      <c r="G512" s="15" t="n"/>
      <c r="H512" s="16" t="n"/>
      <c r="I512" s="16" t="n"/>
      <c r="J512" s="17" t="n"/>
      <c r="K512" s="17" t="n"/>
      <c r="L512" s="17" t="n"/>
      <c r="M512" s="16" t="n"/>
      <c r="N512" s="16" t="n"/>
      <c r="O512" s="18" t="n"/>
      <c r="P512" s="18" t="n"/>
      <c r="Q512" s="16" t="n"/>
    </row>
    <row r="513">
      <c r="E513" s="15" t="n"/>
      <c r="F513" s="15" t="n"/>
      <c r="G513" s="15" t="n"/>
      <c r="H513" s="16" t="n"/>
      <c r="I513" s="16" t="n"/>
      <c r="J513" s="17" t="n"/>
      <c r="K513" s="17" t="n"/>
      <c r="L513" s="17" t="n"/>
      <c r="M513" s="16" t="n"/>
      <c r="N513" s="16" t="n"/>
      <c r="O513" s="18" t="n"/>
      <c r="P513" s="18" t="n"/>
      <c r="Q513" s="16" t="n"/>
    </row>
    <row r="514">
      <c r="E514" s="15" t="n"/>
      <c r="F514" s="15" t="n"/>
      <c r="G514" s="15" t="n"/>
      <c r="H514" s="16" t="n"/>
      <c r="I514" s="16" t="n"/>
      <c r="J514" s="17" t="n"/>
      <c r="K514" s="17" t="n"/>
      <c r="L514" s="17" t="n"/>
      <c r="M514" s="16" t="n"/>
      <c r="N514" s="16" t="n"/>
      <c r="O514" s="18" t="n"/>
      <c r="P514" s="18" t="n"/>
      <c r="Q514" s="16" t="n"/>
    </row>
    <row r="515">
      <c r="E515" s="15" t="n"/>
      <c r="F515" s="15" t="n"/>
      <c r="G515" s="15" t="n"/>
      <c r="H515" s="16" t="n"/>
      <c r="I515" s="16" t="n"/>
      <c r="J515" s="17" t="n"/>
      <c r="K515" s="17" t="n"/>
      <c r="L515" s="17" t="n"/>
      <c r="M515" s="16" t="n"/>
      <c r="N515" s="16" t="n"/>
      <c r="O515" s="18" t="n"/>
      <c r="P515" s="18" t="n"/>
      <c r="Q515" s="16" t="n"/>
    </row>
    <row r="516">
      <c r="E516" s="15" t="n"/>
      <c r="F516" s="15" t="n"/>
      <c r="G516" s="15" t="n"/>
      <c r="H516" s="16" t="n"/>
      <c r="I516" s="16" t="n"/>
      <c r="J516" s="17" t="n"/>
      <c r="K516" s="17" t="n"/>
      <c r="L516" s="17" t="n"/>
      <c r="M516" s="16" t="n"/>
      <c r="N516" s="16" t="n"/>
      <c r="O516" s="18" t="n"/>
      <c r="P516" s="18" t="n"/>
      <c r="Q516" s="16" t="n"/>
    </row>
    <row r="517">
      <c r="E517" s="15" t="n"/>
      <c r="F517" s="15" t="n"/>
      <c r="G517" s="15" t="n"/>
      <c r="H517" s="16" t="n"/>
      <c r="I517" s="16" t="n"/>
      <c r="J517" s="17" t="n"/>
      <c r="K517" s="17" t="n"/>
      <c r="L517" s="17" t="n"/>
      <c r="M517" s="16" t="n"/>
      <c r="N517" s="16" t="n"/>
      <c r="O517" s="18" t="n"/>
      <c r="P517" s="18" t="n"/>
      <c r="Q517" s="16" t="n"/>
    </row>
    <row r="518">
      <c r="E518" s="15" t="n"/>
      <c r="F518" s="15" t="n"/>
      <c r="G518" s="15" t="n"/>
      <c r="H518" s="16" t="n"/>
      <c r="I518" s="16" t="n"/>
      <c r="J518" s="17" t="n"/>
      <c r="K518" s="17" t="n"/>
      <c r="L518" s="17" t="n"/>
      <c r="M518" s="16" t="n"/>
      <c r="N518" s="16" t="n"/>
      <c r="O518" s="18" t="n"/>
      <c r="P518" s="18" t="n"/>
      <c r="Q518" s="16" t="n"/>
    </row>
    <row r="519">
      <c r="E519" s="15" t="n"/>
      <c r="F519" s="15" t="n"/>
      <c r="G519" s="15" t="n"/>
      <c r="H519" s="16" t="n"/>
      <c r="I519" s="16" t="n"/>
      <c r="J519" s="17" t="n"/>
      <c r="K519" s="17" t="n"/>
      <c r="L519" s="17" t="n"/>
      <c r="M519" s="16" t="n"/>
      <c r="N519" s="16" t="n"/>
      <c r="O519" s="18" t="n"/>
      <c r="P519" s="18" t="n"/>
      <c r="Q519" s="16" t="n"/>
    </row>
    <row r="520">
      <c r="E520" s="15" t="n"/>
      <c r="F520" s="15" t="n"/>
      <c r="G520" s="15" t="n"/>
      <c r="H520" s="16" t="n"/>
      <c r="I520" s="16" t="n"/>
      <c r="J520" s="17" t="n"/>
      <c r="K520" s="17" t="n"/>
      <c r="L520" s="17" t="n"/>
      <c r="M520" s="16" t="n"/>
      <c r="N520" s="16" t="n"/>
      <c r="O520" s="18" t="n"/>
      <c r="P520" s="18" t="n"/>
      <c r="Q520" s="16" t="n"/>
    </row>
    <row r="521">
      <c r="E521" s="15" t="n"/>
      <c r="F521" s="15" t="n"/>
      <c r="G521" s="15" t="n"/>
      <c r="H521" s="16" t="n"/>
      <c r="I521" s="16" t="n"/>
      <c r="J521" s="17" t="n"/>
      <c r="K521" s="17" t="n"/>
      <c r="L521" s="17" t="n"/>
      <c r="M521" s="16" t="n"/>
      <c r="N521" s="16" t="n"/>
      <c r="O521" s="18" t="n"/>
      <c r="P521" s="18" t="n"/>
      <c r="Q521" s="16" t="n"/>
    </row>
    <row r="522">
      <c r="E522" s="15" t="n"/>
      <c r="F522" s="15" t="n"/>
      <c r="G522" s="15" t="n"/>
      <c r="H522" s="16" t="n"/>
      <c r="I522" s="16" t="n"/>
      <c r="J522" s="17" t="n"/>
      <c r="K522" s="17" t="n"/>
      <c r="L522" s="17" t="n"/>
      <c r="M522" s="16" t="n"/>
      <c r="N522" s="16" t="n"/>
      <c r="O522" s="18" t="n"/>
      <c r="P522" s="18" t="n"/>
      <c r="Q522" s="16" t="n"/>
    </row>
    <row r="523">
      <c r="E523" s="15" t="n"/>
      <c r="F523" s="15" t="n"/>
      <c r="G523" s="15" t="n"/>
      <c r="H523" s="16" t="n"/>
      <c r="I523" s="16" t="n"/>
      <c r="J523" s="17" t="n"/>
      <c r="K523" s="17" t="n"/>
      <c r="L523" s="17" t="n"/>
      <c r="M523" s="16" t="n"/>
      <c r="N523" s="16" t="n"/>
      <c r="O523" s="18" t="n"/>
      <c r="P523" s="18" t="n"/>
      <c r="Q523" s="16" t="n"/>
    </row>
    <row r="524">
      <c r="E524" s="15" t="n"/>
      <c r="F524" s="15" t="n"/>
      <c r="G524" s="15" t="n"/>
      <c r="H524" s="16" t="n"/>
      <c r="I524" s="16" t="n"/>
      <c r="J524" s="17" t="n"/>
      <c r="K524" s="17" t="n"/>
      <c r="L524" s="17" t="n"/>
      <c r="M524" s="16" t="n"/>
      <c r="N524" s="16" t="n"/>
      <c r="O524" s="18" t="n"/>
      <c r="P524" s="18" t="n"/>
      <c r="Q524" s="16" t="n"/>
    </row>
    <row r="525">
      <c r="E525" s="15" t="n"/>
      <c r="F525" s="15" t="n"/>
      <c r="G525" s="15" t="n"/>
      <c r="H525" s="16" t="n"/>
      <c r="I525" s="16" t="n"/>
      <c r="J525" s="17" t="n"/>
      <c r="K525" s="17" t="n"/>
      <c r="L525" s="17" t="n"/>
      <c r="M525" s="16" t="n"/>
      <c r="N525" s="16" t="n"/>
      <c r="O525" s="18" t="n"/>
      <c r="P525" s="18" t="n"/>
      <c r="Q525" s="16" t="n"/>
    </row>
    <row r="526">
      <c r="E526" s="15" t="n"/>
      <c r="F526" s="15" t="n"/>
      <c r="G526" s="15" t="n"/>
      <c r="H526" s="16" t="n"/>
      <c r="I526" s="16" t="n"/>
      <c r="J526" s="17" t="n"/>
      <c r="K526" s="17" t="n"/>
      <c r="L526" s="17" t="n"/>
      <c r="M526" s="16" t="n"/>
      <c r="N526" s="16" t="n"/>
      <c r="O526" s="18" t="n"/>
      <c r="P526" s="18" t="n"/>
      <c r="Q526" s="16" t="n"/>
    </row>
    <row r="527">
      <c r="E527" s="15" t="n"/>
      <c r="F527" s="15" t="n"/>
      <c r="G527" s="15" t="n"/>
      <c r="H527" s="16" t="n"/>
      <c r="I527" s="16" t="n"/>
      <c r="J527" s="17" t="n"/>
      <c r="K527" s="17" t="n"/>
      <c r="L527" s="17" t="n"/>
      <c r="M527" s="16" t="n"/>
      <c r="N527" s="16" t="n"/>
      <c r="O527" s="18" t="n"/>
      <c r="P527" s="18" t="n"/>
      <c r="Q527" s="16" t="n"/>
    </row>
    <row r="528">
      <c r="E528" s="15" t="n"/>
      <c r="F528" s="15" t="n"/>
      <c r="G528" s="15" t="n"/>
      <c r="H528" s="16" t="n"/>
      <c r="I528" s="16" t="n"/>
      <c r="J528" s="17" t="n"/>
      <c r="K528" s="17" t="n"/>
      <c r="L528" s="17" t="n"/>
      <c r="M528" s="16" t="n"/>
      <c r="N528" s="16" t="n"/>
      <c r="O528" s="18" t="n"/>
      <c r="P528" s="18" t="n"/>
      <c r="Q528" s="16" t="n"/>
    </row>
    <row r="529">
      <c r="E529" s="15" t="n"/>
      <c r="F529" s="15" t="n"/>
      <c r="G529" s="15" t="n"/>
      <c r="H529" s="16" t="n"/>
      <c r="I529" s="16" t="n"/>
      <c r="J529" s="17" t="n"/>
      <c r="K529" s="17" t="n"/>
      <c r="L529" s="17" t="n"/>
      <c r="M529" s="16" t="n"/>
      <c r="N529" s="16" t="n"/>
      <c r="O529" s="18" t="n"/>
      <c r="P529" s="18" t="n"/>
      <c r="Q529" s="16" t="n"/>
    </row>
    <row r="530">
      <c r="E530" s="15" t="n"/>
      <c r="F530" s="15" t="n"/>
      <c r="G530" s="15" t="n"/>
      <c r="H530" s="16" t="n"/>
      <c r="I530" s="16" t="n"/>
      <c r="J530" s="17" t="n"/>
      <c r="K530" s="17" t="n"/>
      <c r="L530" s="17" t="n"/>
      <c r="M530" s="16" t="n"/>
      <c r="N530" s="16" t="n"/>
      <c r="O530" s="18" t="n"/>
      <c r="P530" s="18" t="n"/>
      <c r="Q530" s="16" t="n"/>
    </row>
    <row r="531">
      <c r="E531" s="15" t="n"/>
      <c r="F531" s="15" t="n"/>
      <c r="G531" s="15" t="n"/>
      <c r="H531" s="16" t="n"/>
      <c r="I531" s="16" t="n"/>
      <c r="J531" s="17" t="n"/>
      <c r="K531" s="17" t="n"/>
      <c r="L531" s="17" t="n"/>
      <c r="M531" s="16" t="n"/>
      <c r="N531" s="16" t="n"/>
      <c r="O531" s="18" t="n"/>
      <c r="P531" s="18" t="n"/>
      <c r="Q531" s="16" t="n"/>
    </row>
    <row r="532">
      <c r="E532" s="15" t="n"/>
      <c r="F532" s="15" t="n"/>
      <c r="G532" s="15" t="n"/>
      <c r="H532" s="16" t="n"/>
      <c r="I532" s="16" t="n"/>
      <c r="J532" s="17" t="n"/>
      <c r="K532" s="17" t="n"/>
      <c r="L532" s="17" t="n"/>
      <c r="M532" s="16" t="n"/>
      <c r="N532" s="16" t="n"/>
      <c r="O532" s="18" t="n"/>
      <c r="P532" s="18" t="n"/>
      <c r="Q532" s="16" t="n"/>
    </row>
    <row r="533">
      <c r="E533" s="15" t="n"/>
      <c r="F533" s="15" t="n"/>
      <c r="G533" s="15" t="n"/>
      <c r="H533" s="16" t="n"/>
      <c r="I533" s="16" t="n"/>
      <c r="J533" s="17" t="n"/>
      <c r="K533" s="17" t="n"/>
      <c r="L533" s="17" t="n"/>
      <c r="M533" s="16" t="n"/>
      <c r="N533" s="16" t="n"/>
      <c r="O533" s="18" t="n"/>
      <c r="P533" s="18" t="n"/>
      <c r="Q533" s="16" t="n"/>
    </row>
    <row r="534">
      <c r="E534" s="15" t="n"/>
      <c r="F534" s="15" t="n"/>
      <c r="G534" s="15" t="n"/>
      <c r="H534" s="16" t="n"/>
      <c r="I534" s="16" t="n"/>
      <c r="J534" s="17" t="n"/>
      <c r="K534" s="17" t="n"/>
      <c r="L534" s="17" t="n"/>
      <c r="M534" s="16" t="n"/>
      <c r="N534" s="16" t="n"/>
      <c r="O534" s="18" t="n"/>
      <c r="P534" s="18" t="n"/>
      <c r="Q534" s="16" t="n"/>
    </row>
    <row r="535">
      <c r="E535" s="15" t="n"/>
      <c r="F535" s="15" t="n"/>
      <c r="G535" s="15" t="n"/>
      <c r="H535" s="16" t="n"/>
      <c r="I535" s="16" t="n"/>
      <c r="J535" s="17" t="n"/>
      <c r="K535" s="17" t="n"/>
      <c r="L535" s="17" t="n"/>
      <c r="M535" s="16" t="n"/>
      <c r="N535" s="16" t="n"/>
      <c r="O535" s="18" t="n"/>
      <c r="P535" s="18" t="n"/>
      <c r="Q535" s="16" t="n"/>
    </row>
    <row r="536">
      <c r="E536" s="15" t="n"/>
      <c r="F536" s="15" t="n"/>
      <c r="G536" s="15" t="n"/>
      <c r="H536" s="16" t="n"/>
      <c r="I536" s="16" t="n"/>
      <c r="J536" s="17" t="n"/>
      <c r="K536" s="17" t="n"/>
      <c r="L536" s="17" t="n"/>
      <c r="M536" s="16" t="n"/>
      <c r="N536" s="16" t="n"/>
      <c r="O536" s="18" t="n"/>
      <c r="P536" s="18" t="n"/>
      <c r="Q536" s="16" t="n"/>
    </row>
    <row r="537">
      <c r="E537" s="15" t="n"/>
      <c r="F537" s="15" t="n"/>
      <c r="G537" s="15" t="n"/>
      <c r="H537" s="16" t="n"/>
      <c r="I537" s="16" t="n"/>
      <c r="J537" s="17" t="n"/>
      <c r="K537" s="17" t="n"/>
      <c r="L537" s="17" t="n"/>
      <c r="M537" s="16" t="n"/>
      <c r="N537" s="16" t="n"/>
      <c r="O537" s="18" t="n"/>
      <c r="P537" s="18" t="n"/>
      <c r="Q537" s="16" t="n"/>
    </row>
    <row r="538">
      <c r="E538" s="15" t="n"/>
      <c r="F538" s="15" t="n"/>
      <c r="G538" s="15" t="n"/>
      <c r="H538" s="16" t="n"/>
      <c r="I538" s="16" t="n"/>
      <c r="J538" s="17" t="n"/>
      <c r="K538" s="17" t="n"/>
      <c r="L538" s="17" t="n"/>
      <c r="M538" s="16" t="n"/>
      <c r="N538" s="16" t="n"/>
      <c r="O538" s="18" t="n"/>
      <c r="P538" s="18" t="n"/>
      <c r="Q538" s="16" t="n"/>
    </row>
    <row r="539">
      <c r="E539" s="15" t="n"/>
      <c r="F539" s="15" t="n"/>
      <c r="G539" s="15" t="n"/>
      <c r="H539" s="16" t="n"/>
      <c r="I539" s="16" t="n"/>
      <c r="J539" s="17" t="n"/>
      <c r="K539" s="17" t="n"/>
      <c r="L539" s="17" t="n"/>
      <c r="M539" s="16" t="n"/>
      <c r="N539" s="16" t="n"/>
      <c r="O539" s="18" t="n"/>
      <c r="P539" s="18" t="n"/>
      <c r="Q539" s="16" t="n"/>
    </row>
    <row r="540">
      <c r="E540" s="15" t="n"/>
      <c r="F540" s="15" t="n"/>
      <c r="G540" s="15" t="n"/>
      <c r="H540" s="16" t="n"/>
      <c r="I540" s="16" t="n"/>
      <c r="J540" s="17" t="n"/>
      <c r="K540" s="17" t="n"/>
      <c r="L540" s="17" t="n"/>
      <c r="M540" s="16" t="n"/>
      <c r="N540" s="16" t="n"/>
      <c r="O540" s="18" t="n"/>
      <c r="P540" s="18" t="n"/>
      <c r="Q540" s="16" t="n"/>
    </row>
    <row r="541">
      <c r="E541" s="15" t="n"/>
      <c r="F541" s="15" t="n"/>
      <c r="G541" s="15" t="n"/>
      <c r="H541" s="16" t="n"/>
      <c r="I541" s="16" t="n"/>
      <c r="J541" s="17" t="n"/>
      <c r="K541" s="17" t="n"/>
      <c r="L541" s="17" t="n"/>
      <c r="M541" s="16" t="n"/>
      <c r="N541" s="16" t="n"/>
      <c r="O541" s="18" t="n"/>
      <c r="P541" s="18" t="n"/>
      <c r="Q541" s="16" t="n"/>
    </row>
    <row r="542">
      <c r="E542" s="15" t="n"/>
      <c r="F542" s="15" t="n"/>
      <c r="G542" s="15" t="n"/>
      <c r="H542" s="16" t="n"/>
      <c r="I542" s="16" t="n"/>
      <c r="J542" s="17" t="n"/>
      <c r="K542" s="17" t="n"/>
      <c r="L542" s="17" t="n"/>
      <c r="M542" s="16" t="n"/>
      <c r="N542" s="16" t="n"/>
      <c r="O542" s="18" t="n"/>
      <c r="P542" s="18" t="n"/>
      <c r="Q542" s="16" t="n"/>
    </row>
    <row r="543">
      <c r="E543" s="15" t="n"/>
      <c r="F543" s="15" t="n"/>
      <c r="G543" s="15" t="n"/>
      <c r="H543" s="16" t="n"/>
      <c r="I543" s="16" t="n"/>
      <c r="J543" s="17" t="n"/>
      <c r="K543" s="17" t="n"/>
      <c r="L543" s="17" t="n"/>
      <c r="M543" s="16" t="n"/>
      <c r="N543" s="16" t="n"/>
      <c r="O543" s="18" t="n"/>
      <c r="P543" s="18" t="n"/>
      <c r="Q543" s="16" t="n"/>
    </row>
    <row r="544">
      <c r="E544" s="15" t="n"/>
      <c r="F544" s="15" t="n"/>
      <c r="G544" s="15" t="n"/>
      <c r="H544" s="16" t="n"/>
      <c r="I544" s="16" t="n"/>
      <c r="J544" s="17" t="n"/>
      <c r="K544" s="17" t="n"/>
      <c r="L544" s="17" t="n"/>
      <c r="M544" s="16" t="n"/>
      <c r="N544" s="16" t="n"/>
      <c r="O544" s="18" t="n"/>
      <c r="P544" s="18" t="n"/>
      <c r="Q544" s="16" t="n"/>
    </row>
    <row r="545">
      <c r="E545" s="15" t="n"/>
      <c r="F545" s="15" t="n"/>
      <c r="G545" s="15" t="n"/>
      <c r="H545" s="16" t="n"/>
      <c r="I545" s="16" t="n"/>
      <c r="J545" s="17" t="n"/>
      <c r="K545" s="17" t="n"/>
      <c r="L545" s="17" t="n"/>
      <c r="M545" s="16" t="n"/>
      <c r="N545" s="16" t="n"/>
      <c r="O545" s="18" t="n"/>
      <c r="P545" s="18" t="n"/>
      <c r="Q545" s="16" t="n"/>
    </row>
    <row r="546">
      <c r="E546" s="15" t="n"/>
      <c r="F546" s="15" t="n"/>
      <c r="G546" s="15" t="n"/>
      <c r="H546" s="16" t="n"/>
      <c r="I546" s="16" t="n"/>
      <c r="J546" s="17" t="n"/>
      <c r="K546" s="17" t="n"/>
      <c r="L546" s="17" t="n"/>
      <c r="M546" s="16" t="n"/>
      <c r="N546" s="16" t="n"/>
      <c r="O546" s="18" t="n"/>
      <c r="P546" s="18" t="n"/>
      <c r="Q546" s="16" t="n"/>
    </row>
    <row r="547">
      <c r="E547" s="15" t="n"/>
      <c r="F547" s="15" t="n"/>
      <c r="G547" s="15" t="n"/>
      <c r="H547" s="16" t="n"/>
      <c r="I547" s="16" t="n"/>
      <c r="J547" s="17" t="n"/>
      <c r="K547" s="17" t="n"/>
      <c r="L547" s="17" t="n"/>
      <c r="M547" s="16" t="n"/>
      <c r="N547" s="16" t="n"/>
      <c r="O547" s="18" t="n"/>
      <c r="P547" s="18" t="n"/>
      <c r="Q547" s="16" t="n"/>
    </row>
    <row r="548">
      <c r="E548" s="15" t="n"/>
      <c r="F548" s="15" t="n"/>
      <c r="G548" s="15" t="n"/>
      <c r="H548" s="16" t="n"/>
      <c r="I548" s="16" t="n"/>
      <c r="J548" s="17" t="n"/>
      <c r="K548" s="17" t="n"/>
      <c r="L548" s="17" t="n"/>
      <c r="M548" s="16" t="n"/>
      <c r="N548" s="16" t="n"/>
      <c r="O548" s="18" t="n"/>
      <c r="P548" s="18" t="n"/>
      <c r="Q548" s="16" t="n"/>
    </row>
    <row r="549">
      <c r="E549" s="15" t="n"/>
      <c r="F549" s="15" t="n"/>
      <c r="G549" s="15" t="n"/>
      <c r="H549" s="16" t="n"/>
      <c r="I549" s="16" t="n"/>
      <c r="J549" s="17" t="n"/>
      <c r="K549" s="17" t="n"/>
      <c r="L549" s="17" t="n"/>
      <c r="M549" s="16" t="n"/>
      <c r="N549" s="16" t="n"/>
      <c r="O549" s="18" t="n"/>
      <c r="P549" s="18" t="n"/>
      <c r="Q549" s="16" t="n"/>
    </row>
    <row r="550">
      <c r="E550" s="15" t="n"/>
      <c r="F550" s="15" t="n"/>
      <c r="G550" s="15" t="n"/>
      <c r="H550" s="16" t="n"/>
      <c r="I550" s="16" t="n"/>
      <c r="J550" s="17" t="n"/>
      <c r="K550" s="17" t="n"/>
      <c r="L550" s="17" t="n"/>
      <c r="M550" s="16" t="n"/>
      <c r="N550" s="16" t="n"/>
      <c r="O550" s="18" t="n"/>
      <c r="P550" s="18" t="n"/>
      <c r="Q550" s="16" t="n"/>
    </row>
    <row r="551">
      <c r="E551" s="15" t="n"/>
      <c r="F551" s="15" t="n"/>
      <c r="G551" s="15" t="n"/>
      <c r="H551" s="16" t="n"/>
      <c r="I551" s="16" t="n"/>
      <c r="J551" s="17" t="n"/>
      <c r="K551" s="17" t="n"/>
      <c r="L551" s="17" t="n"/>
      <c r="M551" s="16" t="n"/>
      <c r="N551" s="16" t="n"/>
      <c r="O551" s="18" t="n"/>
      <c r="P551" s="18" t="n"/>
      <c r="Q551" s="16" t="n"/>
    </row>
    <row r="552">
      <c r="E552" s="15" t="n"/>
      <c r="F552" s="15" t="n"/>
      <c r="G552" s="15" t="n"/>
      <c r="H552" s="16" t="n"/>
      <c r="I552" s="16" t="n"/>
      <c r="J552" s="17" t="n"/>
      <c r="K552" s="17" t="n"/>
      <c r="L552" s="17" t="n"/>
      <c r="M552" s="16" t="n"/>
      <c r="N552" s="16" t="n"/>
      <c r="O552" s="18" t="n"/>
      <c r="P552" s="18" t="n"/>
      <c r="Q552" s="16" t="n"/>
    </row>
    <row r="553">
      <c r="E553" s="15" t="n"/>
      <c r="F553" s="15" t="n"/>
      <c r="G553" s="15" t="n"/>
      <c r="H553" s="16" t="n"/>
      <c r="I553" s="16" t="n"/>
      <c r="J553" s="17" t="n"/>
      <c r="K553" s="17" t="n"/>
      <c r="L553" s="17" t="n"/>
      <c r="M553" s="16" t="n"/>
      <c r="N553" s="16" t="n"/>
      <c r="O553" s="18" t="n"/>
      <c r="P553" s="18" t="n"/>
      <c r="Q553" s="16" t="n"/>
    </row>
    <row r="554">
      <c r="E554" s="15" t="n"/>
      <c r="F554" s="15" t="n"/>
      <c r="G554" s="15" t="n"/>
      <c r="H554" s="16" t="n"/>
      <c r="I554" s="16" t="n"/>
      <c r="J554" s="17" t="n"/>
      <c r="K554" s="17" t="n"/>
      <c r="L554" s="17" t="n"/>
      <c r="M554" s="16" t="n"/>
      <c r="N554" s="16" t="n"/>
      <c r="O554" s="18" t="n"/>
      <c r="P554" s="18" t="n"/>
      <c r="Q554" s="16" t="n"/>
    </row>
    <row r="555">
      <c r="E555" s="15" t="n"/>
      <c r="F555" s="15" t="n"/>
      <c r="G555" s="15" t="n"/>
      <c r="H555" s="16" t="n"/>
      <c r="I555" s="16" t="n"/>
      <c r="J555" s="17" t="n"/>
      <c r="K555" s="17" t="n"/>
      <c r="L555" s="17" t="n"/>
      <c r="M555" s="16" t="n"/>
      <c r="N555" s="16" t="n"/>
      <c r="O555" s="18" t="n"/>
      <c r="P555" s="18" t="n"/>
      <c r="Q555" s="16" t="n"/>
    </row>
    <row r="556">
      <c r="E556" s="15" t="n"/>
      <c r="F556" s="15" t="n"/>
      <c r="G556" s="15" t="n"/>
      <c r="H556" s="16" t="n"/>
      <c r="I556" s="16" t="n"/>
      <c r="J556" s="17" t="n"/>
      <c r="K556" s="17" t="n"/>
      <c r="L556" s="17" t="n"/>
      <c r="M556" s="16" t="n"/>
      <c r="N556" s="16" t="n"/>
      <c r="O556" s="18" t="n"/>
      <c r="P556" s="18" t="n"/>
      <c r="Q556" s="16" t="n"/>
    </row>
    <row r="557">
      <c r="E557" s="15" t="n"/>
      <c r="F557" s="15" t="n"/>
      <c r="G557" s="15" t="n"/>
      <c r="H557" s="16" t="n"/>
      <c r="I557" s="16" t="n"/>
      <c r="J557" s="17" t="n"/>
      <c r="K557" s="17" t="n"/>
      <c r="L557" s="17" t="n"/>
      <c r="M557" s="16" t="n"/>
      <c r="N557" s="16" t="n"/>
      <c r="O557" s="18" t="n"/>
      <c r="P557" s="18" t="n"/>
      <c r="Q557" s="16" t="n"/>
    </row>
    <row r="558">
      <c r="E558" s="15" t="n"/>
      <c r="F558" s="15" t="n"/>
      <c r="G558" s="15" t="n"/>
      <c r="H558" s="16" t="n"/>
      <c r="I558" s="16" t="n"/>
      <c r="J558" s="17" t="n"/>
      <c r="K558" s="17" t="n"/>
      <c r="L558" s="17" t="n"/>
      <c r="M558" s="16" t="n"/>
      <c r="N558" s="16" t="n"/>
      <c r="O558" s="18" t="n"/>
      <c r="P558" s="18" t="n"/>
      <c r="Q558" s="16" t="n"/>
    </row>
    <row r="559">
      <c r="E559" s="15" t="n"/>
      <c r="F559" s="15" t="n"/>
      <c r="G559" s="15" t="n"/>
      <c r="H559" s="16" t="n"/>
      <c r="I559" s="16" t="n"/>
      <c r="J559" s="17" t="n"/>
      <c r="K559" s="17" t="n"/>
      <c r="L559" s="17" t="n"/>
      <c r="M559" s="16" t="n"/>
      <c r="N559" s="16" t="n"/>
      <c r="O559" s="18" t="n"/>
      <c r="P559" s="18" t="n"/>
      <c r="Q559" s="16" t="n"/>
    </row>
    <row r="560">
      <c r="E560" s="15" t="n"/>
      <c r="F560" s="15" t="n"/>
      <c r="G560" s="15" t="n"/>
      <c r="H560" s="16" t="n"/>
      <c r="I560" s="16" t="n"/>
      <c r="J560" s="17" t="n"/>
      <c r="K560" s="17" t="n"/>
      <c r="L560" s="17" t="n"/>
      <c r="M560" s="16" t="n"/>
      <c r="N560" s="16" t="n"/>
      <c r="O560" s="18" t="n"/>
      <c r="P560" s="18" t="n"/>
      <c r="Q560" s="16" t="n"/>
    </row>
    <row r="561">
      <c r="E561" s="15" t="n"/>
      <c r="F561" s="15" t="n"/>
      <c r="G561" s="15" t="n"/>
      <c r="H561" s="16" t="n"/>
      <c r="I561" s="16" t="n"/>
      <c r="J561" s="17" t="n"/>
      <c r="K561" s="17" t="n"/>
      <c r="L561" s="17" t="n"/>
      <c r="M561" s="16" t="n"/>
      <c r="N561" s="16" t="n"/>
      <c r="O561" s="18" t="n"/>
      <c r="P561" s="18" t="n"/>
      <c r="Q561" s="16" t="n"/>
    </row>
    <row r="562">
      <c r="E562" s="15" t="n"/>
      <c r="F562" s="15" t="n"/>
      <c r="G562" s="15" t="n"/>
      <c r="H562" s="16" t="n"/>
      <c r="I562" s="16" t="n"/>
      <c r="J562" s="17" t="n"/>
      <c r="K562" s="17" t="n"/>
      <c r="L562" s="17" t="n"/>
      <c r="M562" s="16" t="n"/>
      <c r="N562" s="16" t="n"/>
      <c r="O562" s="18" t="n"/>
      <c r="P562" s="18" t="n"/>
      <c r="Q562" s="16" t="n"/>
    </row>
    <row r="563">
      <c r="E563" s="15" t="n"/>
      <c r="F563" s="15" t="n"/>
      <c r="G563" s="15" t="n"/>
      <c r="H563" s="16" t="n"/>
      <c r="I563" s="16" t="n"/>
      <c r="J563" s="17" t="n"/>
      <c r="K563" s="17" t="n"/>
      <c r="L563" s="17" t="n"/>
      <c r="M563" s="16" t="n"/>
      <c r="N563" s="16" t="n"/>
      <c r="O563" s="18" t="n"/>
      <c r="P563" s="18" t="n"/>
      <c r="Q563" s="16" t="n"/>
    </row>
    <row r="564">
      <c r="E564" s="15" t="n"/>
      <c r="F564" s="15" t="n"/>
      <c r="G564" s="15" t="n"/>
      <c r="H564" s="16" t="n"/>
      <c r="I564" s="16" t="n"/>
      <c r="J564" s="17" t="n"/>
      <c r="K564" s="17" t="n"/>
      <c r="L564" s="17" t="n"/>
      <c r="M564" s="16" t="n"/>
      <c r="N564" s="16" t="n"/>
      <c r="O564" s="18" t="n"/>
      <c r="P564" s="18" t="n"/>
      <c r="Q564" s="16" t="n"/>
    </row>
    <row r="565">
      <c r="E565" s="15" t="n"/>
      <c r="F565" s="15" t="n"/>
      <c r="G565" s="15" t="n"/>
      <c r="H565" s="16" t="n"/>
      <c r="I565" s="16" t="n"/>
      <c r="J565" s="17" t="n"/>
      <c r="K565" s="17" t="n"/>
      <c r="L565" s="17" t="n"/>
      <c r="M565" s="16" t="n"/>
      <c r="N565" s="16" t="n"/>
      <c r="O565" s="18" t="n"/>
      <c r="P565" s="18" t="n"/>
      <c r="Q565" s="16" t="n"/>
    </row>
    <row r="566">
      <c r="E566" s="15" t="n"/>
      <c r="F566" s="15" t="n"/>
      <c r="G566" s="15" t="n"/>
      <c r="H566" s="16" t="n"/>
      <c r="I566" s="16" t="n"/>
      <c r="J566" s="17" t="n"/>
      <c r="K566" s="17" t="n"/>
      <c r="L566" s="17" t="n"/>
      <c r="M566" s="16" t="n"/>
      <c r="N566" s="16" t="n"/>
      <c r="O566" s="18" t="n"/>
      <c r="P566" s="18" t="n"/>
      <c r="Q566" s="16" t="n"/>
    </row>
    <row r="567">
      <c r="E567" s="15" t="n"/>
      <c r="F567" s="15" t="n"/>
      <c r="G567" s="15" t="n"/>
      <c r="H567" s="16" t="n"/>
      <c r="I567" s="16" t="n"/>
      <c r="J567" s="17" t="n"/>
      <c r="K567" s="17" t="n"/>
      <c r="L567" s="17" t="n"/>
      <c r="M567" s="16" t="n"/>
      <c r="N567" s="16" t="n"/>
      <c r="O567" s="18" t="n"/>
      <c r="P567" s="18" t="n"/>
      <c r="Q567" s="16" t="n"/>
    </row>
    <row r="568">
      <c r="E568" s="15" t="n"/>
      <c r="F568" s="15" t="n"/>
      <c r="G568" s="15" t="n"/>
      <c r="H568" s="16" t="n"/>
      <c r="I568" s="16" t="n"/>
      <c r="J568" s="17" t="n"/>
      <c r="K568" s="17" t="n"/>
      <c r="L568" s="17" t="n"/>
      <c r="M568" s="16" t="n"/>
      <c r="N568" s="16" t="n"/>
      <c r="O568" s="18" t="n"/>
      <c r="P568" s="18" t="n"/>
      <c r="Q568" s="16" t="n"/>
    </row>
    <row r="569">
      <c r="E569" s="15" t="n"/>
      <c r="F569" s="15" t="n"/>
      <c r="G569" s="15" t="n"/>
      <c r="H569" s="16" t="n"/>
      <c r="I569" s="16" t="n"/>
      <c r="J569" s="17" t="n"/>
      <c r="K569" s="17" t="n"/>
      <c r="L569" s="17" t="n"/>
      <c r="M569" s="16" t="n"/>
      <c r="N569" s="16" t="n"/>
      <c r="O569" s="18" t="n"/>
      <c r="P569" s="18" t="n"/>
      <c r="Q569" s="16" t="n"/>
    </row>
    <row r="570">
      <c r="E570" s="15" t="n"/>
      <c r="F570" s="15" t="n"/>
      <c r="G570" s="15" t="n"/>
      <c r="H570" s="16" t="n"/>
      <c r="I570" s="16" t="n"/>
      <c r="J570" s="17" t="n"/>
      <c r="K570" s="17" t="n"/>
      <c r="L570" s="17" t="n"/>
      <c r="M570" s="16" t="n"/>
      <c r="N570" s="16" t="n"/>
      <c r="O570" s="18" t="n"/>
      <c r="P570" s="18" t="n"/>
      <c r="Q570" s="16" t="n"/>
    </row>
    <row r="571">
      <c r="E571" s="15" t="n"/>
      <c r="F571" s="15" t="n"/>
      <c r="G571" s="15" t="n"/>
      <c r="H571" s="16" t="n"/>
      <c r="I571" s="16" t="n"/>
      <c r="J571" s="17" t="n"/>
      <c r="K571" s="17" t="n"/>
      <c r="L571" s="17" t="n"/>
      <c r="M571" s="16" t="n"/>
      <c r="N571" s="16" t="n"/>
      <c r="O571" s="18" t="n"/>
      <c r="P571" s="18" t="n"/>
      <c r="Q571" s="16" t="n"/>
    </row>
    <row r="572">
      <c r="E572" s="15" t="n"/>
      <c r="F572" s="15" t="n"/>
      <c r="G572" s="15" t="n"/>
      <c r="H572" s="16" t="n"/>
      <c r="I572" s="16" t="n"/>
      <c r="J572" s="17" t="n"/>
      <c r="K572" s="17" t="n"/>
      <c r="L572" s="17" t="n"/>
      <c r="M572" s="16" t="n"/>
      <c r="N572" s="16" t="n"/>
      <c r="O572" s="18" t="n"/>
      <c r="P572" s="18" t="n"/>
      <c r="Q572" s="16" t="n"/>
    </row>
    <row r="573">
      <c r="E573" s="15" t="n"/>
      <c r="F573" s="15" t="n"/>
      <c r="G573" s="15" t="n"/>
      <c r="H573" s="16" t="n"/>
      <c r="I573" s="16" t="n"/>
      <c r="J573" s="17" t="n"/>
      <c r="K573" s="17" t="n"/>
      <c r="L573" s="17" t="n"/>
      <c r="M573" s="16" t="n"/>
      <c r="N573" s="16" t="n"/>
      <c r="O573" s="18" t="n"/>
      <c r="P573" s="18" t="n"/>
      <c r="Q573" s="16" t="n"/>
    </row>
    <row r="574">
      <c r="E574" s="15" t="n"/>
      <c r="F574" s="15" t="n"/>
      <c r="G574" s="15" t="n"/>
      <c r="H574" s="16" t="n"/>
      <c r="I574" s="16" t="n"/>
      <c r="J574" s="17" t="n"/>
      <c r="K574" s="17" t="n"/>
      <c r="L574" s="17" t="n"/>
      <c r="M574" s="16" t="n"/>
      <c r="N574" s="16" t="n"/>
      <c r="O574" s="18" t="n"/>
      <c r="P574" s="18" t="n"/>
      <c r="Q574" s="16" t="n"/>
    </row>
    <row r="575">
      <c r="E575" s="15" t="n"/>
      <c r="F575" s="15" t="n"/>
      <c r="G575" s="15" t="n"/>
      <c r="H575" s="16" t="n"/>
      <c r="I575" s="16" t="n"/>
      <c r="J575" s="17" t="n"/>
      <c r="K575" s="17" t="n"/>
      <c r="L575" s="17" t="n"/>
      <c r="M575" s="16" t="n"/>
      <c r="N575" s="16" t="n"/>
      <c r="O575" s="18" t="n"/>
      <c r="P575" s="18" t="n"/>
      <c r="Q575" s="16" t="n"/>
    </row>
    <row r="576">
      <c r="E576" s="15" t="n"/>
      <c r="F576" s="15" t="n"/>
      <c r="G576" s="15" t="n"/>
      <c r="H576" s="16" t="n"/>
      <c r="I576" s="16" t="n"/>
      <c r="J576" s="17" t="n"/>
      <c r="K576" s="17" t="n"/>
      <c r="L576" s="17" t="n"/>
      <c r="M576" s="16" t="n"/>
      <c r="N576" s="16" t="n"/>
      <c r="O576" s="18" t="n"/>
      <c r="P576" s="18" t="n"/>
      <c r="Q576" s="16" t="n"/>
    </row>
    <row r="577">
      <c r="E577" s="15" t="n"/>
      <c r="F577" s="15" t="n"/>
      <c r="G577" s="15" t="n"/>
      <c r="H577" s="16" t="n"/>
      <c r="I577" s="16" t="n"/>
      <c r="J577" s="17" t="n"/>
      <c r="K577" s="17" t="n"/>
      <c r="L577" s="17" t="n"/>
      <c r="M577" s="16" t="n"/>
      <c r="N577" s="16" t="n"/>
      <c r="O577" s="18" t="n"/>
      <c r="P577" s="18" t="n"/>
      <c r="Q577" s="16" t="n"/>
    </row>
    <row r="578">
      <c r="E578" s="15" t="n"/>
      <c r="F578" s="15" t="n"/>
      <c r="G578" s="15" t="n"/>
      <c r="H578" s="16" t="n"/>
      <c r="I578" s="16" t="n"/>
      <c r="J578" s="17" t="n"/>
      <c r="K578" s="17" t="n"/>
      <c r="L578" s="17" t="n"/>
      <c r="M578" s="16" t="n"/>
      <c r="N578" s="16" t="n"/>
      <c r="O578" s="18" t="n"/>
      <c r="P578" s="18" t="n"/>
      <c r="Q578" s="16" t="n"/>
    </row>
    <row r="579">
      <c r="E579" s="15" t="n"/>
      <c r="F579" s="15" t="n"/>
      <c r="G579" s="15" t="n"/>
      <c r="H579" s="16" t="n"/>
      <c r="I579" s="16" t="n"/>
      <c r="J579" s="17" t="n"/>
      <c r="K579" s="17" t="n"/>
      <c r="L579" s="17" t="n"/>
      <c r="M579" s="16" t="n"/>
      <c r="N579" s="16" t="n"/>
      <c r="O579" s="18" t="n"/>
      <c r="P579" s="18" t="n"/>
      <c r="Q579" s="16" t="n"/>
    </row>
    <row r="580">
      <c r="E580" s="15" t="n"/>
      <c r="F580" s="15" t="n"/>
      <c r="G580" s="15" t="n"/>
      <c r="H580" s="16" t="n"/>
      <c r="I580" s="16" t="n"/>
      <c r="J580" s="17" t="n"/>
      <c r="K580" s="17" t="n"/>
      <c r="L580" s="17" t="n"/>
      <c r="M580" s="16" t="n"/>
      <c r="N580" s="16" t="n"/>
      <c r="O580" s="18" t="n"/>
      <c r="P580" s="18" t="n"/>
      <c r="Q580" s="16" t="n"/>
    </row>
    <row r="581">
      <c r="E581" s="15" t="n"/>
      <c r="F581" s="15" t="n"/>
      <c r="G581" s="15" t="n"/>
      <c r="H581" s="16" t="n"/>
      <c r="I581" s="16" t="n"/>
      <c r="J581" s="17" t="n"/>
      <c r="K581" s="17" t="n"/>
      <c r="L581" s="17" t="n"/>
      <c r="M581" s="16" t="n"/>
      <c r="N581" s="16" t="n"/>
      <c r="O581" s="18" t="n"/>
      <c r="P581" s="18" t="n"/>
      <c r="Q581" s="16" t="n"/>
    </row>
    <row r="582">
      <c r="E582" s="15" t="n"/>
      <c r="F582" s="15" t="n"/>
      <c r="G582" s="15" t="n"/>
      <c r="H582" s="16" t="n"/>
      <c r="I582" s="16" t="n"/>
      <c r="J582" s="17" t="n"/>
      <c r="K582" s="17" t="n"/>
      <c r="L582" s="17" t="n"/>
      <c r="M582" s="16" t="n"/>
      <c r="N582" s="16" t="n"/>
      <c r="O582" s="18" t="n"/>
      <c r="P582" s="18" t="n"/>
      <c r="Q582" s="16" t="n"/>
    </row>
    <row r="583">
      <c r="E583" s="15" t="n"/>
      <c r="F583" s="15" t="n"/>
      <c r="G583" s="15" t="n"/>
      <c r="H583" s="16" t="n"/>
      <c r="I583" s="16" t="n"/>
      <c r="J583" s="17" t="n"/>
      <c r="K583" s="17" t="n"/>
      <c r="L583" s="17" t="n"/>
      <c r="M583" s="16" t="n"/>
      <c r="N583" s="16" t="n"/>
      <c r="O583" s="18" t="n"/>
      <c r="P583" s="18" t="n"/>
      <c r="Q583" s="16" t="n"/>
    </row>
    <row r="584">
      <c r="E584" s="15" t="n"/>
      <c r="F584" s="15" t="n"/>
      <c r="G584" s="15" t="n"/>
      <c r="H584" s="16" t="n"/>
      <c r="I584" s="16" t="n"/>
      <c r="J584" s="17" t="n"/>
      <c r="K584" s="17" t="n"/>
      <c r="L584" s="17" t="n"/>
      <c r="M584" s="16" t="n"/>
      <c r="N584" s="16" t="n"/>
      <c r="O584" s="18" t="n"/>
      <c r="P584" s="18" t="n"/>
      <c r="Q584" s="16" t="n"/>
    </row>
    <row r="585">
      <c r="E585" s="15" t="n"/>
      <c r="F585" s="15" t="n"/>
      <c r="G585" s="15" t="n"/>
      <c r="H585" s="16" t="n"/>
      <c r="I585" s="16" t="n"/>
      <c r="J585" s="17" t="n"/>
      <c r="K585" s="17" t="n"/>
      <c r="L585" s="17" t="n"/>
      <c r="M585" s="16" t="n"/>
      <c r="N585" s="16" t="n"/>
      <c r="O585" s="18" t="n"/>
      <c r="P585" s="18" t="n"/>
      <c r="Q585" s="16" t="n"/>
    </row>
    <row r="586">
      <c r="E586" s="15" t="n"/>
      <c r="F586" s="15" t="n"/>
      <c r="G586" s="15" t="n"/>
      <c r="H586" s="16" t="n"/>
      <c r="I586" s="16" t="n"/>
      <c r="J586" s="17" t="n"/>
      <c r="K586" s="17" t="n"/>
      <c r="L586" s="17" t="n"/>
      <c r="M586" s="16" t="n"/>
      <c r="N586" s="16" t="n"/>
      <c r="O586" s="18" t="n"/>
      <c r="P586" s="18" t="n"/>
      <c r="Q586" s="16" t="n"/>
    </row>
    <row r="587">
      <c r="E587" s="15" t="n"/>
      <c r="F587" s="15" t="n"/>
      <c r="G587" s="15" t="n"/>
      <c r="H587" s="16" t="n"/>
      <c r="I587" s="16" t="n"/>
      <c r="J587" s="17" t="n"/>
      <c r="K587" s="17" t="n"/>
      <c r="L587" s="17" t="n"/>
      <c r="M587" s="16" t="n"/>
      <c r="N587" s="16" t="n"/>
      <c r="O587" s="18" t="n"/>
      <c r="P587" s="18" t="n"/>
      <c r="Q587" s="16" t="n"/>
    </row>
    <row r="588">
      <c r="E588" s="15" t="n"/>
      <c r="F588" s="15" t="n"/>
      <c r="G588" s="15" t="n"/>
      <c r="H588" s="16" t="n"/>
      <c r="I588" s="16" t="n"/>
      <c r="J588" s="17" t="n"/>
      <c r="K588" s="17" t="n"/>
      <c r="L588" s="17" t="n"/>
      <c r="M588" s="16" t="n"/>
      <c r="N588" s="16" t="n"/>
      <c r="O588" s="18" t="n"/>
      <c r="P588" s="18" t="n"/>
      <c r="Q588" s="16" t="n"/>
    </row>
    <row r="589">
      <c r="E589" s="15" t="n"/>
      <c r="F589" s="15" t="n"/>
      <c r="G589" s="15" t="n"/>
      <c r="H589" s="16" t="n"/>
      <c r="I589" s="16" t="n"/>
      <c r="J589" s="17" t="n"/>
      <c r="K589" s="17" t="n"/>
      <c r="L589" s="17" t="n"/>
      <c r="M589" s="16" t="n"/>
      <c r="N589" s="16" t="n"/>
      <c r="O589" s="18" t="n"/>
      <c r="P589" s="18" t="n"/>
      <c r="Q589" s="16" t="n"/>
    </row>
    <row r="590">
      <c r="E590" s="15" t="n"/>
      <c r="F590" s="15" t="n"/>
      <c r="G590" s="15" t="n"/>
      <c r="H590" s="16" t="n"/>
      <c r="I590" s="16" t="n"/>
      <c r="J590" s="17" t="n"/>
      <c r="K590" s="17" t="n"/>
      <c r="L590" s="17" t="n"/>
      <c r="M590" s="16" t="n"/>
      <c r="N590" s="16" t="n"/>
      <c r="O590" s="18" t="n"/>
      <c r="P590" s="18" t="n"/>
      <c r="Q590" s="16" t="n"/>
    </row>
    <row r="591">
      <c r="E591" s="15" t="n"/>
      <c r="F591" s="15" t="n"/>
      <c r="G591" s="15" t="n"/>
      <c r="H591" s="16" t="n"/>
      <c r="I591" s="16" t="n"/>
      <c r="J591" s="17" t="n"/>
      <c r="K591" s="17" t="n"/>
      <c r="L591" s="17" t="n"/>
      <c r="M591" s="16" t="n"/>
      <c r="N591" s="16" t="n"/>
      <c r="O591" s="18" t="n"/>
      <c r="P591" s="18" t="n"/>
      <c r="Q591" s="16" t="n"/>
    </row>
    <row r="592">
      <c r="E592" s="15" t="n"/>
      <c r="F592" s="15" t="n"/>
      <c r="G592" s="15" t="n"/>
      <c r="H592" s="16" t="n"/>
      <c r="I592" s="16" t="n"/>
      <c r="J592" s="17" t="n"/>
      <c r="K592" s="17" t="n"/>
      <c r="L592" s="17" t="n"/>
      <c r="M592" s="16" t="n"/>
      <c r="N592" s="16" t="n"/>
      <c r="O592" s="18" t="n"/>
      <c r="P592" s="18" t="n"/>
      <c r="Q592" s="16" t="n"/>
    </row>
    <row r="593">
      <c r="E593" s="15" t="n"/>
      <c r="F593" s="15" t="n"/>
      <c r="G593" s="15" t="n"/>
      <c r="H593" s="16" t="n"/>
      <c r="I593" s="16" t="n"/>
      <c r="J593" s="17" t="n"/>
      <c r="K593" s="17" t="n"/>
      <c r="L593" s="17" t="n"/>
      <c r="M593" s="16" t="n"/>
      <c r="N593" s="16" t="n"/>
      <c r="O593" s="18" t="n"/>
      <c r="P593" s="18" t="n"/>
      <c r="Q593" s="16" t="n"/>
    </row>
    <row r="594">
      <c r="E594" s="15" t="n"/>
      <c r="F594" s="15" t="n"/>
      <c r="G594" s="15" t="n"/>
      <c r="H594" s="16" t="n"/>
      <c r="I594" s="16" t="n"/>
      <c r="J594" s="17" t="n"/>
      <c r="K594" s="17" t="n"/>
      <c r="L594" s="17" t="n"/>
      <c r="M594" s="16" t="n"/>
      <c r="N594" s="16" t="n"/>
      <c r="O594" s="18" t="n"/>
      <c r="P594" s="18" t="n"/>
      <c r="Q594" s="16" t="n"/>
    </row>
    <row r="595">
      <c r="E595" s="15" t="n"/>
      <c r="F595" s="15" t="n"/>
      <c r="G595" s="15" t="n"/>
      <c r="H595" s="16" t="n"/>
      <c r="I595" s="16" t="n"/>
      <c r="J595" s="17" t="n"/>
      <c r="K595" s="17" t="n"/>
      <c r="L595" s="17" t="n"/>
      <c r="M595" s="16" t="n"/>
      <c r="N595" s="16" t="n"/>
      <c r="O595" s="18" t="n"/>
      <c r="P595" s="18" t="n"/>
      <c r="Q595" s="16" t="n"/>
    </row>
    <row r="596">
      <c r="E596" s="15" t="n"/>
      <c r="F596" s="15" t="n"/>
      <c r="G596" s="15" t="n"/>
      <c r="H596" s="16" t="n"/>
      <c r="I596" s="16" t="n"/>
      <c r="J596" s="17" t="n"/>
      <c r="K596" s="17" t="n"/>
      <c r="L596" s="17" t="n"/>
      <c r="M596" s="16" t="n"/>
      <c r="N596" s="16" t="n"/>
      <c r="O596" s="18" t="n"/>
      <c r="P596" s="18" t="n"/>
      <c r="Q596" s="16" t="n"/>
    </row>
    <row r="597">
      <c r="E597" s="15" t="n"/>
      <c r="F597" s="15" t="n"/>
      <c r="G597" s="15" t="n"/>
      <c r="H597" s="16" t="n"/>
      <c r="I597" s="16" t="n"/>
      <c r="J597" s="17" t="n"/>
      <c r="K597" s="17" t="n"/>
      <c r="L597" s="17" t="n"/>
      <c r="M597" s="16" t="n"/>
      <c r="N597" s="16" t="n"/>
      <c r="O597" s="18" t="n"/>
      <c r="P597" s="18" t="n"/>
      <c r="Q597" s="16" t="n"/>
    </row>
    <row r="598">
      <c r="E598" s="15" t="n"/>
      <c r="F598" s="15" t="n"/>
      <c r="G598" s="15" t="n"/>
      <c r="H598" s="16" t="n"/>
      <c r="I598" s="16" t="n"/>
      <c r="J598" s="17" t="n"/>
      <c r="K598" s="17" t="n"/>
      <c r="L598" s="17" t="n"/>
      <c r="M598" s="16" t="n"/>
      <c r="N598" s="16" t="n"/>
      <c r="O598" s="18" t="n"/>
      <c r="P598" s="18" t="n"/>
      <c r="Q598" s="16" t="n"/>
    </row>
    <row r="599">
      <c r="E599" s="15" t="n"/>
      <c r="F599" s="15" t="n"/>
      <c r="G599" s="15" t="n"/>
      <c r="H599" s="16" t="n"/>
      <c r="I599" s="16" t="n"/>
      <c r="J599" s="17" t="n"/>
      <c r="K599" s="17" t="n"/>
      <c r="L599" s="17" t="n"/>
      <c r="M599" s="16" t="n"/>
      <c r="N599" s="16" t="n"/>
      <c r="O599" s="18" t="n"/>
      <c r="P599" s="18" t="n"/>
      <c r="Q599" s="16" t="n"/>
    </row>
    <row r="600">
      <c r="E600" s="15" t="n"/>
      <c r="F600" s="15" t="n"/>
      <c r="G600" s="15" t="n"/>
      <c r="H600" s="16" t="n"/>
      <c r="I600" s="16" t="n"/>
      <c r="J600" s="17" t="n"/>
      <c r="K600" s="17" t="n"/>
      <c r="L600" s="17" t="n"/>
      <c r="M600" s="16" t="n"/>
      <c r="N600" s="16" t="n"/>
      <c r="O600" s="18" t="n"/>
      <c r="P600" s="18" t="n"/>
      <c r="Q600" s="16" t="n"/>
    </row>
    <row r="601">
      <c r="E601" s="15" t="n"/>
      <c r="F601" s="15" t="n"/>
      <c r="G601" s="15" t="n"/>
      <c r="H601" s="16" t="n"/>
      <c r="I601" s="16" t="n"/>
      <c r="J601" s="17" t="n"/>
      <c r="K601" s="17" t="n"/>
      <c r="L601" s="17" t="n"/>
      <c r="M601" s="16" t="n"/>
      <c r="N601" s="16" t="n"/>
      <c r="O601" s="18" t="n"/>
      <c r="P601" s="18" t="n"/>
      <c r="Q601" s="16" t="n"/>
    </row>
    <row r="602">
      <c r="E602" s="15" t="n"/>
      <c r="F602" s="15" t="n"/>
      <c r="G602" s="15" t="n"/>
      <c r="H602" s="16" t="n"/>
      <c r="I602" s="16" t="n"/>
      <c r="J602" s="17" t="n"/>
      <c r="K602" s="17" t="n"/>
      <c r="L602" s="17" t="n"/>
      <c r="M602" s="16" t="n"/>
      <c r="N602" s="16" t="n"/>
      <c r="O602" s="18" t="n"/>
      <c r="P602" s="18" t="n"/>
      <c r="Q602" s="16" t="n"/>
    </row>
    <row r="603">
      <c r="E603" s="15" t="n"/>
      <c r="F603" s="15" t="n"/>
      <c r="G603" s="15" t="n"/>
      <c r="H603" s="16" t="n"/>
      <c r="I603" s="16" t="n"/>
      <c r="J603" s="17" t="n"/>
      <c r="K603" s="17" t="n"/>
      <c r="L603" s="17" t="n"/>
      <c r="M603" s="16" t="n"/>
      <c r="N603" s="16" t="n"/>
      <c r="O603" s="18" t="n"/>
      <c r="P603" s="18" t="n"/>
      <c r="Q603" s="16" t="n"/>
    </row>
    <row r="604">
      <c r="E604" s="15" t="n"/>
      <c r="F604" s="15" t="n"/>
      <c r="G604" s="15" t="n"/>
      <c r="H604" s="16" t="n"/>
      <c r="I604" s="16" t="n"/>
      <c r="J604" s="17" t="n"/>
      <c r="K604" s="17" t="n"/>
      <c r="L604" s="17" t="n"/>
      <c r="M604" s="16" t="n"/>
      <c r="N604" s="16" t="n"/>
      <c r="O604" s="18" t="n"/>
      <c r="P604" s="18" t="n"/>
      <c r="Q604" s="16" t="n"/>
    </row>
    <row r="605">
      <c r="E605" s="15" t="n"/>
      <c r="F605" s="15" t="n"/>
      <c r="G605" s="15" t="n"/>
      <c r="H605" s="16" t="n"/>
      <c r="I605" s="16" t="n"/>
      <c r="J605" s="17" t="n"/>
      <c r="K605" s="17" t="n"/>
      <c r="L605" s="17" t="n"/>
      <c r="M605" s="16" t="n"/>
      <c r="N605" s="16" t="n"/>
      <c r="O605" s="18" t="n"/>
      <c r="P605" s="18" t="n"/>
      <c r="Q605" s="16" t="n"/>
    </row>
    <row r="606">
      <c r="E606" s="15" t="n"/>
      <c r="F606" s="15" t="n"/>
      <c r="G606" s="15" t="n"/>
      <c r="H606" s="16" t="n"/>
      <c r="I606" s="16" t="n"/>
      <c r="J606" s="17" t="n"/>
      <c r="K606" s="17" t="n"/>
      <c r="L606" s="17" t="n"/>
      <c r="M606" s="16" t="n"/>
      <c r="N606" s="16" t="n"/>
      <c r="O606" s="18" t="n"/>
      <c r="P606" s="18" t="n"/>
      <c r="Q606" s="16" t="n"/>
    </row>
    <row r="607">
      <c r="E607" s="15" t="n"/>
      <c r="F607" s="15" t="n"/>
      <c r="G607" s="15" t="n"/>
      <c r="H607" s="16" t="n"/>
      <c r="I607" s="16" t="n"/>
      <c r="J607" s="17" t="n"/>
      <c r="K607" s="17" t="n"/>
      <c r="L607" s="17" t="n"/>
      <c r="M607" s="16" t="n"/>
      <c r="N607" s="16" t="n"/>
      <c r="O607" s="18" t="n"/>
      <c r="P607" s="18" t="n"/>
      <c r="Q607" s="16" t="n"/>
    </row>
    <row r="608">
      <c r="E608" s="15" t="n"/>
      <c r="F608" s="15" t="n"/>
      <c r="G608" s="15" t="n"/>
      <c r="H608" s="16" t="n"/>
      <c r="I608" s="16" t="n"/>
      <c r="J608" s="17" t="n"/>
      <c r="K608" s="17" t="n"/>
      <c r="L608" s="17" t="n"/>
      <c r="M608" s="16" t="n"/>
      <c r="N608" s="16" t="n"/>
      <c r="O608" s="18" t="n"/>
      <c r="P608" s="18" t="n"/>
      <c r="Q608" s="16" t="n"/>
    </row>
    <row r="609">
      <c r="E609" s="15" t="n"/>
      <c r="F609" s="15" t="n"/>
      <c r="G609" s="15" t="n"/>
      <c r="H609" s="16" t="n"/>
      <c r="I609" s="16" t="n"/>
      <c r="J609" s="17" t="n"/>
      <c r="K609" s="17" t="n"/>
      <c r="L609" s="17" t="n"/>
      <c r="M609" s="16" t="n"/>
      <c r="N609" s="16" t="n"/>
      <c r="O609" s="18" t="n"/>
      <c r="P609" s="18" t="n"/>
      <c r="Q609" s="16" t="n"/>
    </row>
    <row r="610">
      <c r="E610" s="15" t="n"/>
      <c r="F610" s="15" t="n"/>
      <c r="G610" s="15" t="n"/>
      <c r="H610" s="16" t="n"/>
      <c r="I610" s="16" t="n"/>
      <c r="J610" s="17" t="n"/>
      <c r="K610" s="17" t="n"/>
      <c r="L610" s="17" t="n"/>
      <c r="M610" s="16" t="n"/>
      <c r="N610" s="16" t="n"/>
      <c r="O610" s="18" t="n"/>
      <c r="P610" s="18" t="n"/>
      <c r="Q610" s="16" t="n"/>
    </row>
    <row r="611">
      <c r="E611" s="15" t="n"/>
      <c r="F611" s="15" t="n"/>
      <c r="G611" s="15" t="n"/>
      <c r="H611" s="16" t="n"/>
      <c r="I611" s="16" t="n"/>
      <c r="J611" s="17" t="n"/>
      <c r="K611" s="17" t="n"/>
      <c r="L611" s="17" t="n"/>
      <c r="M611" s="16" t="n"/>
      <c r="N611" s="16" t="n"/>
      <c r="O611" s="18" t="n"/>
      <c r="P611" s="18" t="n"/>
      <c r="Q611" s="16" t="n"/>
    </row>
    <row r="612">
      <c r="E612" s="15" t="n"/>
      <c r="F612" s="15" t="n"/>
      <c r="G612" s="15" t="n"/>
      <c r="H612" s="16" t="n"/>
      <c r="I612" s="16" t="n"/>
      <c r="J612" s="17" t="n"/>
      <c r="K612" s="17" t="n"/>
      <c r="L612" s="17" t="n"/>
      <c r="M612" s="16" t="n"/>
      <c r="N612" s="16" t="n"/>
      <c r="O612" s="18" t="n"/>
      <c r="P612" s="18" t="n"/>
      <c r="Q612" s="16" t="n"/>
    </row>
    <row r="613">
      <c r="E613" s="15" t="n"/>
      <c r="F613" s="15" t="n"/>
      <c r="G613" s="15" t="n"/>
      <c r="H613" s="16" t="n"/>
      <c r="I613" s="16" t="n"/>
      <c r="J613" s="17" t="n"/>
      <c r="K613" s="17" t="n"/>
      <c r="L613" s="17" t="n"/>
      <c r="M613" s="16" t="n"/>
      <c r="N613" s="16" t="n"/>
      <c r="O613" s="18" t="n"/>
      <c r="P613" s="18" t="n"/>
      <c r="Q613" s="16" t="n"/>
    </row>
    <row r="614">
      <c r="E614" s="15" t="n"/>
      <c r="F614" s="15" t="n"/>
      <c r="G614" s="15" t="n"/>
      <c r="H614" s="16" t="n"/>
      <c r="I614" s="16" t="n"/>
      <c r="J614" s="17" t="n"/>
      <c r="K614" s="17" t="n"/>
      <c r="L614" s="17" t="n"/>
      <c r="M614" s="16" t="n"/>
      <c r="N614" s="16" t="n"/>
      <c r="O614" s="18" t="n"/>
      <c r="P614" s="18" t="n"/>
      <c r="Q614" s="16" t="n"/>
    </row>
    <row r="615">
      <c r="E615" s="15" t="n"/>
      <c r="F615" s="15" t="n"/>
      <c r="G615" s="15" t="n"/>
      <c r="H615" s="16" t="n"/>
      <c r="I615" s="16" t="n"/>
      <c r="J615" s="17" t="n"/>
      <c r="K615" s="17" t="n"/>
      <c r="L615" s="17" t="n"/>
      <c r="M615" s="16" t="n"/>
      <c r="N615" s="16" t="n"/>
      <c r="O615" s="18" t="n"/>
      <c r="P615" s="18" t="n"/>
      <c r="Q615" s="16" t="n"/>
    </row>
    <row r="616">
      <c r="E616" s="15" t="n"/>
      <c r="F616" s="15" t="n"/>
      <c r="G616" s="15" t="n"/>
      <c r="H616" s="16" t="n"/>
      <c r="I616" s="16" t="n"/>
      <c r="J616" s="17" t="n"/>
      <c r="K616" s="17" t="n"/>
      <c r="L616" s="17" t="n"/>
      <c r="M616" s="16" t="n"/>
      <c r="N616" s="16" t="n"/>
      <c r="O616" s="18" t="n"/>
      <c r="P616" s="18" t="n"/>
      <c r="Q616" s="16" t="n"/>
    </row>
    <row r="617">
      <c r="E617" s="15" t="n"/>
      <c r="F617" s="15" t="n"/>
      <c r="G617" s="15" t="n"/>
      <c r="H617" s="16" t="n"/>
      <c r="I617" s="16" t="n"/>
      <c r="J617" s="17" t="n"/>
      <c r="K617" s="17" t="n"/>
      <c r="L617" s="17" t="n"/>
      <c r="M617" s="16" t="n"/>
      <c r="N617" s="16" t="n"/>
      <c r="O617" s="18" t="n"/>
      <c r="P617" s="18" t="n"/>
      <c r="Q617" s="16" t="n"/>
    </row>
    <row r="618">
      <c r="E618" s="15" t="n"/>
      <c r="F618" s="15" t="n"/>
      <c r="G618" s="15" t="n"/>
      <c r="H618" s="16" t="n"/>
      <c r="I618" s="16" t="n"/>
      <c r="J618" s="17" t="n"/>
      <c r="K618" s="17" t="n"/>
      <c r="L618" s="17" t="n"/>
      <c r="M618" s="16" t="n"/>
      <c r="N618" s="16" t="n"/>
      <c r="O618" s="18" t="n"/>
      <c r="P618" s="18" t="n"/>
      <c r="Q618" s="16" t="n"/>
    </row>
    <row r="619">
      <c r="E619" s="15" t="n"/>
      <c r="F619" s="15" t="n"/>
      <c r="G619" s="15" t="n"/>
      <c r="H619" s="16" t="n"/>
      <c r="I619" s="16" t="n"/>
      <c r="J619" s="17" t="n"/>
      <c r="K619" s="17" t="n"/>
      <c r="L619" s="17" t="n"/>
      <c r="M619" s="16" t="n"/>
      <c r="N619" s="16" t="n"/>
      <c r="O619" s="18" t="n"/>
      <c r="P619" s="18" t="n"/>
      <c r="Q619" s="16" t="n"/>
    </row>
    <row r="620">
      <c r="E620" s="15" t="n"/>
      <c r="F620" s="15" t="n"/>
      <c r="G620" s="15" t="n"/>
      <c r="H620" s="16" t="n"/>
      <c r="I620" s="16" t="n"/>
      <c r="J620" s="17" t="n"/>
      <c r="K620" s="17" t="n"/>
      <c r="L620" s="17" t="n"/>
      <c r="M620" s="16" t="n"/>
      <c r="N620" s="16" t="n"/>
      <c r="O620" s="18" t="n"/>
      <c r="P620" s="18" t="n"/>
      <c r="Q620" s="16" t="n"/>
    </row>
    <row r="621">
      <c r="E621" s="15" t="n"/>
      <c r="F621" s="15" t="n"/>
      <c r="G621" s="15" t="n"/>
      <c r="H621" s="16" t="n"/>
      <c r="I621" s="16" t="n"/>
      <c r="J621" s="17" t="n"/>
      <c r="K621" s="17" t="n"/>
      <c r="L621" s="17" t="n"/>
      <c r="M621" s="16" t="n"/>
      <c r="N621" s="16" t="n"/>
      <c r="O621" s="18" t="n"/>
      <c r="P621" s="18" t="n"/>
      <c r="Q621" s="16" t="n"/>
    </row>
    <row r="622">
      <c r="E622" s="15" t="n"/>
      <c r="F622" s="15" t="n"/>
      <c r="G622" s="15" t="n"/>
      <c r="H622" s="16" t="n"/>
      <c r="I622" s="16" t="n"/>
      <c r="J622" s="17" t="n"/>
      <c r="K622" s="17" t="n"/>
      <c r="L622" s="17" t="n"/>
      <c r="M622" s="16" t="n"/>
      <c r="N622" s="16" t="n"/>
      <c r="O622" s="18" t="n"/>
      <c r="P622" s="18" t="n"/>
      <c r="Q622" s="16" t="n"/>
    </row>
    <row r="623">
      <c r="E623" s="15" t="n"/>
      <c r="F623" s="15" t="n"/>
      <c r="G623" s="15" t="n"/>
      <c r="H623" s="16" t="n"/>
      <c r="I623" s="16" t="n"/>
      <c r="J623" s="17" t="n"/>
      <c r="K623" s="17" t="n"/>
      <c r="L623" s="17" t="n"/>
      <c r="M623" s="16" t="n"/>
      <c r="N623" s="16" t="n"/>
      <c r="O623" s="18" t="n"/>
      <c r="P623" s="18" t="n"/>
      <c r="Q623" s="16" t="n"/>
    </row>
    <row r="624">
      <c r="E624" s="15" t="n"/>
      <c r="F624" s="15" t="n"/>
      <c r="G624" s="15" t="n"/>
      <c r="H624" s="16" t="n"/>
      <c r="I624" s="16" t="n"/>
      <c r="J624" s="17" t="n"/>
      <c r="K624" s="17" t="n"/>
      <c r="L624" s="17" t="n"/>
      <c r="M624" s="16" t="n"/>
      <c r="N624" s="16" t="n"/>
      <c r="O624" s="18" t="n"/>
      <c r="P624" s="18" t="n"/>
      <c r="Q624" s="16" t="n"/>
    </row>
    <row r="625">
      <c r="E625" s="15" t="n"/>
      <c r="F625" s="15" t="n"/>
      <c r="G625" s="15" t="n"/>
      <c r="H625" s="16" t="n"/>
      <c r="I625" s="16" t="n"/>
      <c r="J625" s="17" t="n"/>
      <c r="K625" s="17" t="n"/>
      <c r="L625" s="17" t="n"/>
      <c r="M625" s="16" t="n"/>
      <c r="N625" s="16" t="n"/>
      <c r="O625" s="18" t="n"/>
      <c r="P625" s="18" t="n"/>
      <c r="Q625" s="16" t="n"/>
    </row>
    <row r="626">
      <c r="E626" s="15" t="n"/>
      <c r="F626" s="15" t="n"/>
      <c r="G626" s="15" t="n"/>
      <c r="H626" s="16" t="n"/>
      <c r="I626" s="16" t="n"/>
      <c r="J626" s="17" t="n"/>
      <c r="K626" s="17" t="n"/>
      <c r="L626" s="17" t="n"/>
      <c r="M626" s="16" t="n"/>
      <c r="N626" s="16" t="n"/>
      <c r="O626" s="18" t="n"/>
      <c r="P626" s="18" t="n"/>
      <c r="Q626" s="16" t="n"/>
    </row>
    <row r="627">
      <c r="E627" s="15" t="n"/>
      <c r="F627" s="15" t="n"/>
      <c r="G627" s="15" t="n"/>
      <c r="H627" s="16" t="n"/>
      <c r="I627" s="16" t="n"/>
      <c r="J627" s="17" t="n"/>
      <c r="K627" s="17" t="n"/>
      <c r="L627" s="17" t="n"/>
      <c r="M627" s="16" t="n"/>
      <c r="N627" s="16" t="n"/>
      <c r="O627" s="18" t="n"/>
      <c r="P627" s="18" t="n"/>
      <c r="Q627" s="16" t="n"/>
    </row>
    <row r="628">
      <c r="E628" s="15" t="n"/>
      <c r="F628" s="15" t="n"/>
      <c r="G628" s="15" t="n"/>
      <c r="H628" s="16" t="n"/>
      <c r="I628" s="16" t="n"/>
      <c r="J628" s="17" t="n"/>
      <c r="K628" s="17" t="n"/>
      <c r="L628" s="17" t="n"/>
      <c r="M628" s="16" t="n"/>
      <c r="N628" s="16" t="n"/>
      <c r="O628" s="18" t="n"/>
      <c r="P628" s="18" t="n"/>
      <c r="Q628" s="16" t="n"/>
    </row>
    <row r="629">
      <c r="E629" s="15" t="n"/>
      <c r="F629" s="15" t="n"/>
      <c r="G629" s="15" t="n"/>
      <c r="H629" s="16" t="n"/>
      <c r="I629" s="16" t="n"/>
      <c r="J629" s="17" t="n"/>
      <c r="K629" s="17" t="n"/>
      <c r="L629" s="17" t="n"/>
      <c r="M629" s="16" t="n"/>
      <c r="N629" s="16" t="n"/>
      <c r="O629" s="18" t="n"/>
      <c r="P629" s="18" t="n"/>
      <c r="Q629" s="16" t="n"/>
    </row>
    <row r="630">
      <c r="E630" s="15" t="n"/>
      <c r="F630" s="15" t="n"/>
      <c r="G630" s="15" t="n"/>
      <c r="H630" s="16" t="n"/>
      <c r="I630" s="16" t="n"/>
      <c r="J630" s="17" t="n"/>
      <c r="K630" s="17" t="n"/>
      <c r="L630" s="17" t="n"/>
      <c r="M630" s="16" t="n"/>
      <c r="N630" s="16" t="n"/>
      <c r="O630" s="18" t="n"/>
      <c r="P630" s="18" t="n"/>
      <c r="Q630" s="16" t="n"/>
    </row>
    <row r="631">
      <c r="E631" s="15" t="n"/>
      <c r="F631" s="15" t="n"/>
      <c r="G631" s="15" t="n"/>
      <c r="H631" s="16" t="n"/>
      <c r="I631" s="16" t="n"/>
      <c r="J631" s="17" t="n"/>
      <c r="K631" s="17" t="n"/>
      <c r="L631" s="17" t="n"/>
      <c r="M631" s="16" t="n"/>
      <c r="N631" s="16" t="n"/>
      <c r="O631" s="18" t="n"/>
      <c r="P631" s="18" t="n"/>
      <c r="Q631" s="16" t="n"/>
    </row>
    <row r="632">
      <c r="E632" s="15" t="n"/>
      <c r="F632" s="15" t="n"/>
      <c r="G632" s="15" t="n"/>
      <c r="H632" s="16" t="n"/>
      <c r="I632" s="16" t="n"/>
      <c r="J632" s="17" t="n"/>
      <c r="K632" s="17" t="n"/>
      <c r="L632" s="17" t="n"/>
      <c r="M632" s="16" t="n"/>
      <c r="N632" s="16" t="n"/>
      <c r="O632" s="18" t="n"/>
      <c r="P632" s="18" t="n"/>
      <c r="Q632" s="16" t="n"/>
    </row>
    <row r="633">
      <c r="E633" s="15" t="n"/>
      <c r="F633" s="15" t="n"/>
      <c r="G633" s="15" t="n"/>
      <c r="H633" s="16" t="n"/>
      <c r="I633" s="16" t="n"/>
      <c r="J633" s="17" t="n"/>
      <c r="K633" s="17" t="n"/>
      <c r="L633" s="17" t="n"/>
      <c r="M633" s="16" t="n"/>
      <c r="N633" s="16" t="n"/>
      <c r="O633" s="18" t="n"/>
      <c r="P633" s="18" t="n"/>
      <c r="Q633" s="16" t="n"/>
    </row>
    <row r="634">
      <c r="E634" s="15" t="n"/>
      <c r="F634" s="15" t="n"/>
      <c r="G634" s="15" t="n"/>
      <c r="H634" s="16" t="n"/>
      <c r="I634" s="16" t="n"/>
      <c r="J634" s="17" t="n"/>
      <c r="K634" s="17" t="n"/>
      <c r="L634" s="17" t="n"/>
      <c r="M634" s="16" t="n"/>
      <c r="N634" s="16" t="n"/>
      <c r="O634" s="18" t="n"/>
      <c r="P634" s="18" t="n"/>
      <c r="Q634" s="16" t="n"/>
    </row>
    <row r="635">
      <c r="E635" s="15" t="n"/>
      <c r="F635" s="15" t="n"/>
      <c r="G635" s="15" t="n"/>
      <c r="H635" s="16" t="n"/>
      <c r="I635" s="16" t="n"/>
      <c r="J635" s="17" t="n"/>
      <c r="K635" s="17" t="n"/>
      <c r="L635" s="17" t="n"/>
      <c r="M635" s="16" t="n"/>
      <c r="N635" s="16" t="n"/>
      <c r="O635" s="18" t="n"/>
      <c r="P635" s="18" t="n"/>
      <c r="Q635" s="16" t="n"/>
    </row>
    <row r="636">
      <c r="E636" s="15" t="n"/>
      <c r="F636" s="15" t="n"/>
      <c r="G636" s="15" t="n"/>
      <c r="H636" s="16" t="n"/>
      <c r="I636" s="16" t="n"/>
      <c r="J636" s="17" t="n"/>
      <c r="K636" s="17" t="n"/>
      <c r="L636" s="17" t="n"/>
      <c r="M636" s="16" t="n"/>
      <c r="N636" s="16" t="n"/>
      <c r="O636" s="18" t="n"/>
      <c r="P636" s="18" t="n"/>
      <c r="Q636" s="16" t="n"/>
    </row>
    <row r="637">
      <c r="E637" s="15" t="n"/>
      <c r="F637" s="15" t="n"/>
      <c r="G637" s="15" t="n"/>
      <c r="H637" s="16" t="n"/>
      <c r="I637" s="16" t="n"/>
      <c r="J637" s="17" t="n"/>
      <c r="K637" s="17" t="n"/>
      <c r="L637" s="17" t="n"/>
      <c r="M637" s="16" t="n"/>
      <c r="N637" s="16" t="n"/>
      <c r="O637" s="18" t="n"/>
      <c r="P637" s="18" t="n"/>
      <c r="Q637" s="16" t="n"/>
    </row>
    <row r="638">
      <c r="E638" s="15" t="n"/>
      <c r="F638" s="15" t="n"/>
      <c r="G638" s="15" t="n"/>
      <c r="H638" s="16" t="n"/>
      <c r="I638" s="16" t="n"/>
      <c r="J638" s="17" t="n"/>
      <c r="K638" s="17" t="n"/>
      <c r="L638" s="17" t="n"/>
      <c r="M638" s="16" t="n"/>
      <c r="N638" s="16" t="n"/>
      <c r="O638" s="18" t="n"/>
      <c r="P638" s="18" t="n"/>
      <c r="Q638" s="16" t="n"/>
    </row>
    <row r="639">
      <c r="E639" s="15" t="n"/>
      <c r="F639" s="15" t="n"/>
      <c r="G639" s="15" t="n"/>
      <c r="H639" s="16" t="n"/>
      <c r="I639" s="16" t="n"/>
      <c r="J639" s="17" t="n"/>
      <c r="K639" s="17" t="n"/>
      <c r="L639" s="17" t="n"/>
      <c r="M639" s="16" t="n"/>
      <c r="N639" s="16" t="n"/>
      <c r="O639" s="18" t="n"/>
      <c r="P639" s="18" t="n"/>
      <c r="Q639" s="16" t="n"/>
    </row>
    <row r="640">
      <c r="E640" s="15" t="n"/>
      <c r="F640" s="15" t="n"/>
      <c r="G640" s="15" t="n"/>
      <c r="H640" s="16" t="n"/>
      <c r="I640" s="16" t="n"/>
      <c r="J640" s="17" t="n"/>
      <c r="K640" s="17" t="n"/>
      <c r="L640" s="17" t="n"/>
      <c r="M640" s="16" t="n"/>
      <c r="N640" s="16" t="n"/>
      <c r="O640" s="18" t="n"/>
      <c r="P640" s="18" t="n"/>
      <c r="Q640" s="16" t="n"/>
    </row>
    <row r="641">
      <c r="E641" s="15" t="n"/>
      <c r="F641" s="15" t="n"/>
      <c r="G641" s="15" t="n"/>
      <c r="H641" s="16" t="n"/>
      <c r="I641" s="16" t="n"/>
      <c r="J641" s="17" t="n"/>
      <c r="K641" s="17" t="n"/>
      <c r="L641" s="17" t="n"/>
      <c r="M641" s="16" t="n"/>
      <c r="N641" s="16" t="n"/>
      <c r="O641" s="18" t="n"/>
      <c r="P641" s="18" t="n"/>
      <c r="Q641" s="16" t="n"/>
    </row>
    <row r="642">
      <c r="E642" s="15" t="n"/>
      <c r="F642" s="15" t="n"/>
      <c r="G642" s="15" t="n"/>
      <c r="H642" s="16" t="n"/>
      <c r="I642" s="16" t="n"/>
      <c r="J642" s="17" t="n"/>
      <c r="K642" s="17" t="n"/>
      <c r="L642" s="17" t="n"/>
      <c r="M642" s="16" t="n"/>
      <c r="N642" s="16" t="n"/>
      <c r="O642" s="18" t="n"/>
      <c r="P642" s="18" t="n"/>
      <c r="Q642" s="16" t="n"/>
    </row>
    <row r="643">
      <c r="E643" s="15" t="n"/>
      <c r="F643" s="15" t="n"/>
      <c r="G643" s="15" t="n"/>
      <c r="H643" s="16" t="n"/>
      <c r="I643" s="16" t="n"/>
      <c r="J643" s="17" t="n"/>
      <c r="K643" s="17" t="n"/>
      <c r="L643" s="17" t="n"/>
      <c r="M643" s="16" t="n"/>
      <c r="N643" s="16" t="n"/>
      <c r="O643" s="18" t="n"/>
      <c r="P643" s="18" t="n"/>
      <c r="Q643" s="16" t="n"/>
    </row>
    <row r="644">
      <c r="E644" s="15" t="n"/>
      <c r="F644" s="15" t="n"/>
      <c r="G644" s="15" t="n"/>
      <c r="H644" s="16" t="n"/>
      <c r="I644" s="16" t="n"/>
      <c r="J644" s="17" t="n"/>
      <c r="K644" s="17" t="n"/>
      <c r="L644" s="17" t="n"/>
      <c r="M644" s="16" t="n"/>
      <c r="N644" s="16" t="n"/>
      <c r="O644" s="18" t="n"/>
      <c r="P644" s="18" t="n"/>
      <c r="Q644" s="16" t="n"/>
    </row>
    <row r="645">
      <c r="E645" s="15" t="n"/>
      <c r="F645" s="15" t="n"/>
      <c r="G645" s="15" t="n"/>
      <c r="H645" s="16" t="n"/>
      <c r="I645" s="16" t="n"/>
      <c r="J645" s="17" t="n"/>
      <c r="K645" s="17" t="n"/>
      <c r="L645" s="17" t="n"/>
      <c r="M645" s="16" t="n"/>
      <c r="N645" s="16" t="n"/>
      <c r="O645" s="18" t="n"/>
      <c r="P645" s="18" t="n"/>
      <c r="Q645" s="16" t="n"/>
    </row>
    <row r="646">
      <c r="E646" s="15" t="n"/>
      <c r="F646" s="15" t="n"/>
      <c r="G646" s="15" t="n"/>
      <c r="H646" s="16" t="n"/>
      <c r="I646" s="16" t="n"/>
      <c r="J646" s="17" t="n"/>
      <c r="K646" s="17" t="n"/>
      <c r="L646" s="17" t="n"/>
      <c r="M646" s="16" t="n"/>
      <c r="N646" s="16" t="n"/>
      <c r="O646" s="18" t="n"/>
      <c r="P646" s="18" t="n"/>
      <c r="Q646" s="16" t="n"/>
    </row>
    <row r="647">
      <c r="E647" s="15" t="n"/>
      <c r="F647" s="15" t="n"/>
      <c r="G647" s="15" t="n"/>
      <c r="H647" s="16" t="n"/>
      <c r="I647" s="16" t="n"/>
      <c r="J647" s="17" t="n"/>
      <c r="K647" s="17" t="n"/>
      <c r="L647" s="17" t="n"/>
      <c r="M647" s="16" t="n"/>
      <c r="N647" s="16" t="n"/>
      <c r="O647" s="18" t="n"/>
      <c r="P647" s="18" t="n"/>
      <c r="Q647" s="16" t="n"/>
    </row>
    <row r="648">
      <c r="E648" s="15" t="n"/>
      <c r="F648" s="15" t="n"/>
      <c r="G648" s="15" t="n"/>
      <c r="H648" s="16" t="n"/>
      <c r="I648" s="16" t="n"/>
      <c r="J648" s="17" t="n"/>
      <c r="K648" s="17" t="n"/>
      <c r="L648" s="17" t="n"/>
      <c r="M648" s="16" t="n"/>
      <c r="N648" s="16" t="n"/>
      <c r="O648" s="18" t="n"/>
      <c r="P648" s="18" t="n"/>
      <c r="Q648" s="16" t="n"/>
    </row>
    <row r="649">
      <c r="E649" s="15" t="n"/>
      <c r="F649" s="15" t="n"/>
      <c r="G649" s="15" t="n"/>
      <c r="H649" s="16" t="n"/>
      <c r="I649" s="16" t="n"/>
      <c r="J649" s="17" t="n"/>
      <c r="K649" s="17" t="n"/>
      <c r="L649" s="17" t="n"/>
      <c r="M649" s="16" t="n"/>
      <c r="N649" s="16" t="n"/>
      <c r="O649" s="18" t="n"/>
      <c r="P649" s="18" t="n"/>
      <c r="Q649" s="16" t="n"/>
    </row>
    <row r="650">
      <c r="E650" s="15" t="n"/>
      <c r="F650" s="15" t="n"/>
      <c r="G650" s="15" t="n"/>
      <c r="H650" s="16" t="n"/>
      <c r="I650" s="16" t="n"/>
      <c r="J650" s="17" t="n"/>
      <c r="K650" s="17" t="n"/>
      <c r="L650" s="17" t="n"/>
      <c r="M650" s="16" t="n"/>
      <c r="N650" s="16" t="n"/>
      <c r="O650" s="18" t="n"/>
      <c r="P650" s="18" t="n"/>
      <c r="Q650" s="16" t="n"/>
    </row>
    <row r="651">
      <c r="E651" s="15" t="n"/>
      <c r="F651" s="15" t="n"/>
      <c r="G651" s="15" t="n"/>
      <c r="H651" s="16" t="n"/>
      <c r="I651" s="16" t="n"/>
      <c r="J651" s="17" t="n"/>
      <c r="K651" s="17" t="n"/>
      <c r="L651" s="17" t="n"/>
      <c r="M651" s="16" t="n"/>
      <c r="N651" s="16" t="n"/>
      <c r="O651" s="18" t="n"/>
      <c r="P651" s="18" t="n"/>
      <c r="Q651" s="16" t="n"/>
    </row>
    <row r="652">
      <c r="E652" s="15" t="n"/>
      <c r="F652" s="15" t="n"/>
      <c r="G652" s="15" t="n"/>
      <c r="H652" s="16" t="n"/>
      <c r="I652" s="16" t="n"/>
      <c r="J652" s="17" t="n"/>
      <c r="K652" s="17" t="n"/>
      <c r="L652" s="17" t="n"/>
      <c r="M652" s="16" t="n"/>
      <c r="N652" s="16" t="n"/>
      <c r="O652" s="18" t="n"/>
      <c r="P652" s="18" t="n"/>
      <c r="Q652" s="16" t="n"/>
    </row>
    <row r="653">
      <c r="E653" s="15" t="n"/>
      <c r="F653" s="15" t="n"/>
      <c r="G653" s="15" t="n"/>
      <c r="H653" s="16" t="n"/>
      <c r="I653" s="16" t="n"/>
      <c r="J653" s="17" t="n"/>
      <c r="K653" s="17" t="n"/>
      <c r="L653" s="17" t="n"/>
      <c r="M653" s="16" t="n"/>
      <c r="N653" s="16" t="n"/>
      <c r="O653" s="18" t="n"/>
      <c r="P653" s="18" t="n"/>
      <c r="Q653" s="16" t="n"/>
    </row>
    <row r="654">
      <c r="E654" s="15" t="n"/>
      <c r="F654" s="15" t="n"/>
      <c r="G654" s="15" t="n"/>
      <c r="H654" s="16" t="n"/>
      <c r="I654" s="16" t="n"/>
      <c r="J654" s="17" t="n"/>
      <c r="K654" s="17" t="n"/>
      <c r="L654" s="17" t="n"/>
      <c r="M654" s="16" t="n"/>
      <c r="N654" s="16" t="n"/>
      <c r="O654" s="18" t="n"/>
      <c r="P654" s="18" t="n"/>
      <c r="Q654" s="16" t="n"/>
    </row>
    <row r="655">
      <c r="E655" s="15" t="n"/>
      <c r="F655" s="15" t="n"/>
      <c r="G655" s="15" t="n"/>
      <c r="H655" s="16" t="n"/>
      <c r="I655" s="16" t="n"/>
      <c r="J655" s="17" t="n"/>
      <c r="K655" s="17" t="n"/>
      <c r="L655" s="17" t="n"/>
      <c r="M655" s="16" t="n"/>
      <c r="N655" s="16" t="n"/>
      <c r="O655" s="18" t="n"/>
      <c r="P655" s="18" t="n"/>
      <c r="Q655" s="16" t="n"/>
    </row>
    <row r="656">
      <c r="E656" s="15" t="n"/>
      <c r="F656" s="15" t="n"/>
      <c r="G656" s="15" t="n"/>
      <c r="H656" s="16" t="n"/>
      <c r="I656" s="16" t="n"/>
      <c r="J656" s="17" t="n"/>
      <c r="K656" s="17" t="n"/>
      <c r="L656" s="17" t="n"/>
      <c r="M656" s="16" t="n"/>
      <c r="N656" s="16" t="n"/>
      <c r="O656" s="18" t="n"/>
      <c r="P656" s="18" t="n"/>
      <c r="Q656" s="16" t="n"/>
    </row>
    <row r="657">
      <c r="E657" s="15" t="n"/>
      <c r="F657" s="15" t="n"/>
      <c r="G657" s="15" t="n"/>
      <c r="H657" s="16" t="n"/>
      <c r="I657" s="16" t="n"/>
      <c r="J657" s="17" t="n"/>
      <c r="K657" s="17" t="n"/>
      <c r="L657" s="17" t="n"/>
      <c r="M657" s="16" t="n"/>
      <c r="N657" s="16" t="n"/>
      <c r="O657" s="18" t="n"/>
      <c r="P657" s="18" t="n"/>
      <c r="Q657" s="16" t="n"/>
    </row>
    <row r="658">
      <c r="E658" s="15" t="n"/>
      <c r="F658" s="15" t="n"/>
      <c r="G658" s="15" t="n"/>
      <c r="H658" s="16" t="n"/>
      <c r="I658" s="16" t="n"/>
      <c r="J658" s="17" t="n"/>
      <c r="K658" s="17" t="n"/>
      <c r="L658" s="17" t="n"/>
      <c r="M658" s="16" t="n"/>
      <c r="N658" s="16" t="n"/>
      <c r="O658" s="18" t="n"/>
      <c r="P658" s="18" t="n"/>
      <c r="Q658" s="16" t="n"/>
    </row>
    <row r="659">
      <c r="E659" s="15" t="n"/>
      <c r="F659" s="15" t="n"/>
      <c r="G659" s="15" t="n"/>
      <c r="H659" s="16" t="n"/>
      <c r="I659" s="16" t="n"/>
      <c r="J659" s="17" t="n"/>
      <c r="K659" s="17" t="n"/>
      <c r="L659" s="17" t="n"/>
      <c r="M659" s="16" t="n"/>
      <c r="N659" s="16" t="n"/>
      <c r="O659" s="18" t="n"/>
      <c r="P659" s="18" t="n"/>
      <c r="Q659" s="16" t="n"/>
    </row>
    <row r="660">
      <c r="E660" s="15" t="n"/>
      <c r="F660" s="15" t="n"/>
      <c r="G660" s="15" t="n"/>
      <c r="H660" s="16" t="n"/>
      <c r="I660" s="16" t="n"/>
      <c r="J660" s="17" t="n"/>
      <c r="K660" s="17" t="n"/>
      <c r="L660" s="17" t="n"/>
      <c r="M660" s="16" t="n"/>
      <c r="N660" s="16" t="n"/>
      <c r="O660" s="18" t="n"/>
      <c r="P660" s="18" t="n"/>
      <c r="Q660" s="16" t="n"/>
    </row>
    <row r="661">
      <c r="E661" s="15" t="n"/>
      <c r="F661" s="15" t="n"/>
      <c r="G661" s="15" t="n"/>
      <c r="H661" s="16" t="n"/>
      <c r="I661" s="16" t="n"/>
      <c r="J661" s="17" t="n"/>
      <c r="K661" s="17" t="n"/>
      <c r="L661" s="17" t="n"/>
      <c r="M661" s="16" t="n"/>
      <c r="N661" s="16" t="n"/>
      <c r="O661" s="18" t="n"/>
      <c r="P661" s="18" t="n"/>
      <c r="Q661" s="16" t="n"/>
    </row>
    <row r="662">
      <c r="E662" s="15" t="n"/>
      <c r="F662" s="15" t="n"/>
      <c r="G662" s="15" t="n"/>
      <c r="H662" s="16" t="n"/>
      <c r="I662" s="16" t="n"/>
      <c r="J662" s="17" t="n"/>
      <c r="K662" s="17" t="n"/>
      <c r="L662" s="17" t="n"/>
      <c r="M662" s="16" t="n"/>
      <c r="N662" s="16" t="n"/>
      <c r="O662" s="18" t="n"/>
      <c r="P662" s="18" t="n"/>
      <c r="Q662" s="16" t="n"/>
    </row>
    <row r="663">
      <c r="E663" s="15" t="n"/>
      <c r="F663" s="15" t="n"/>
      <c r="G663" s="15" t="n"/>
      <c r="H663" s="16" t="n"/>
      <c r="I663" s="16" t="n"/>
      <c r="J663" s="17" t="n"/>
      <c r="K663" s="17" t="n"/>
      <c r="L663" s="17" t="n"/>
      <c r="M663" s="16" t="n"/>
      <c r="N663" s="16" t="n"/>
      <c r="O663" s="18" t="n"/>
      <c r="P663" s="18" t="n"/>
      <c r="Q663" s="16" t="n"/>
    </row>
    <row r="664">
      <c r="E664" s="15" t="n"/>
      <c r="F664" s="15" t="n"/>
      <c r="G664" s="15" t="n"/>
      <c r="H664" s="16" t="n"/>
      <c r="I664" s="16" t="n"/>
      <c r="J664" s="17" t="n"/>
      <c r="K664" s="17" t="n"/>
      <c r="L664" s="17" t="n"/>
      <c r="M664" s="16" t="n"/>
      <c r="N664" s="16" t="n"/>
      <c r="O664" s="18" t="n"/>
      <c r="P664" s="18" t="n"/>
      <c r="Q664" s="16" t="n"/>
    </row>
    <row r="665">
      <c r="E665" s="15" t="n"/>
      <c r="F665" s="15" t="n"/>
      <c r="G665" s="15" t="n"/>
      <c r="H665" s="16" t="n"/>
      <c r="I665" s="16" t="n"/>
      <c r="J665" s="17" t="n"/>
      <c r="K665" s="17" t="n"/>
      <c r="L665" s="17" t="n"/>
      <c r="M665" s="16" t="n"/>
      <c r="N665" s="16" t="n"/>
      <c r="O665" s="18" t="n"/>
      <c r="P665" s="18" t="n"/>
      <c r="Q665" s="16" t="n"/>
    </row>
    <row r="666">
      <c r="E666" s="15" t="n"/>
      <c r="F666" s="15" t="n"/>
      <c r="G666" s="15" t="n"/>
      <c r="H666" s="16" t="n"/>
      <c r="I666" s="16" t="n"/>
      <c r="J666" s="17" t="n"/>
      <c r="K666" s="17" t="n"/>
      <c r="L666" s="17" t="n"/>
      <c r="M666" s="16" t="n"/>
      <c r="N666" s="16" t="n"/>
      <c r="O666" s="18" t="n"/>
      <c r="P666" s="18" t="n"/>
      <c r="Q666" s="16" t="n"/>
    </row>
    <row r="667">
      <c r="E667" s="15" t="n"/>
      <c r="F667" s="15" t="n"/>
      <c r="G667" s="15" t="n"/>
      <c r="H667" s="16" t="n"/>
      <c r="I667" s="16" t="n"/>
      <c r="J667" s="17" t="n"/>
      <c r="K667" s="17" t="n"/>
      <c r="L667" s="17" t="n"/>
      <c r="M667" s="16" t="n"/>
      <c r="N667" s="16" t="n"/>
      <c r="O667" s="18" t="n"/>
      <c r="P667" s="18" t="n"/>
      <c r="Q667" s="16" t="n"/>
    </row>
    <row r="668">
      <c r="E668" s="15" t="n"/>
      <c r="F668" s="15" t="n"/>
      <c r="G668" s="15" t="n"/>
      <c r="H668" s="16" t="n"/>
      <c r="I668" s="16" t="n"/>
      <c r="J668" s="17" t="n"/>
      <c r="K668" s="17" t="n"/>
      <c r="L668" s="17" t="n"/>
      <c r="M668" s="16" t="n"/>
      <c r="N668" s="16" t="n"/>
      <c r="O668" s="18" t="n"/>
      <c r="P668" s="18" t="n"/>
      <c r="Q668" s="16" t="n"/>
    </row>
    <row r="669">
      <c r="E669" s="15" t="n"/>
      <c r="F669" s="15" t="n"/>
      <c r="G669" s="15" t="n"/>
      <c r="H669" s="16" t="n"/>
      <c r="I669" s="16" t="n"/>
      <c r="J669" s="17" t="n"/>
      <c r="K669" s="17" t="n"/>
      <c r="L669" s="17" t="n"/>
      <c r="M669" s="16" t="n"/>
      <c r="N669" s="16" t="n"/>
      <c r="O669" s="18" t="n"/>
      <c r="P669" s="18" t="n"/>
      <c r="Q669" s="16" t="n"/>
    </row>
    <row r="670">
      <c r="E670" s="15" t="n"/>
      <c r="F670" s="15" t="n"/>
      <c r="G670" s="15" t="n"/>
      <c r="H670" s="16" t="n"/>
      <c r="I670" s="16" t="n"/>
      <c r="J670" s="17" t="n"/>
      <c r="K670" s="17" t="n"/>
      <c r="L670" s="17" t="n"/>
      <c r="M670" s="16" t="n"/>
      <c r="N670" s="16" t="n"/>
      <c r="O670" s="18" t="n"/>
      <c r="P670" s="18" t="n"/>
      <c r="Q670" s="16" t="n"/>
    </row>
    <row r="671">
      <c r="E671" s="15" t="n"/>
      <c r="F671" s="15" t="n"/>
      <c r="G671" s="15" t="n"/>
      <c r="H671" s="16" t="n"/>
      <c r="I671" s="16" t="n"/>
      <c r="J671" s="17" t="n"/>
      <c r="K671" s="17" t="n"/>
      <c r="L671" s="17" t="n"/>
      <c r="M671" s="16" t="n"/>
      <c r="N671" s="16" t="n"/>
      <c r="O671" s="18" t="n"/>
      <c r="P671" s="18" t="n"/>
      <c r="Q671" s="16" t="n"/>
    </row>
    <row r="672">
      <c r="E672" s="15" t="n"/>
      <c r="F672" s="15" t="n"/>
      <c r="G672" s="15" t="n"/>
      <c r="H672" s="16" t="n"/>
      <c r="I672" s="16" t="n"/>
      <c r="J672" s="17" t="n"/>
      <c r="K672" s="17" t="n"/>
      <c r="L672" s="17" t="n"/>
      <c r="M672" s="16" t="n"/>
      <c r="N672" s="16" t="n"/>
      <c r="O672" s="18" t="n"/>
      <c r="P672" s="18" t="n"/>
      <c r="Q672" s="16" t="n"/>
    </row>
    <row r="673">
      <c r="E673" s="15" t="n"/>
      <c r="F673" s="15" t="n"/>
      <c r="G673" s="15" t="n"/>
      <c r="H673" s="16" t="n"/>
      <c r="I673" s="16" t="n"/>
      <c r="J673" s="17" t="n"/>
      <c r="K673" s="17" t="n"/>
      <c r="L673" s="17" t="n"/>
      <c r="M673" s="16" t="n"/>
      <c r="N673" s="16" t="n"/>
      <c r="O673" s="18" t="n"/>
      <c r="P673" s="18" t="n"/>
      <c r="Q673" s="16" t="n"/>
    </row>
    <row r="674">
      <c r="E674" s="15" t="n"/>
      <c r="F674" s="15" t="n"/>
      <c r="G674" s="15" t="n"/>
      <c r="H674" s="16" t="n"/>
      <c r="I674" s="16" t="n"/>
      <c r="J674" s="17" t="n"/>
      <c r="K674" s="17" t="n"/>
      <c r="L674" s="17" t="n"/>
      <c r="M674" s="16" t="n"/>
      <c r="N674" s="16" t="n"/>
      <c r="O674" s="18" t="n"/>
      <c r="P674" s="18" t="n"/>
      <c r="Q674" s="16" t="n"/>
    </row>
    <row r="675">
      <c r="E675" s="15" t="n"/>
      <c r="F675" s="15" t="n"/>
      <c r="G675" s="15" t="n"/>
      <c r="H675" s="16" t="n"/>
      <c r="I675" s="16" t="n"/>
      <c r="J675" s="17" t="n"/>
      <c r="K675" s="17" t="n"/>
      <c r="L675" s="17" t="n"/>
      <c r="M675" s="16" t="n"/>
      <c r="N675" s="16" t="n"/>
      <c r="O675" s="18" t="n"/>
      <c r="P675" s="18" t="n"/>
      <c r="Q675" s="16" t="n"/>
    </row>
    <row r="676">
      <c r="E676" s="15" t="n"/>
      <c r="F676" s="15" t="n"/>
      <c r="G676" s="15" t="n"/>
      <c r="H676" s="16" t="n"/>
      <c r="I676" s="16" t="n"/>
      <c r="J676" s="17" t="n"/>
      <c r="K676" s="17" t="n"/>
      <c r="L676" s="17" t="n"/>
      <c r="M676" s="16" t="n"/>
      <c r="N676" s="16" t="n"/>
      <c r="O676" s="18" t="n"/>
      <c r="P676" s="18" t="n"/>
      <c r="Q676" s="16" t="n"/>
    </row>
    <row r="677">
      <c r="E677" s="15" t="n"/>
      <c r="F677" s="15" t="n"/>
      <c r="G677" s="15" t="n"/>
      <c r="H677" s="16" t="n"/>
      <c r="I677" s="16" t="n"/>
      <c r="J677" s="17" t="n"/>
      <c r="K677" s="17" t="n"/>
      <c r="L677" s="17" t="n"/>
      <c r="M677" s="16" t="n"/>
      <c r="N677" s="16" t="n"/>
      <c r="O677" s="18" t="n"/>
      <c r="P677" s="18" t="n"/>
      <c r="Q677" s="16" t="n"/>
    </row>
    <row r="678">
      <c r="E678" s="15" t="n"/>
      <c r="F678" s="15" t="n"/>
      <c r="G678" s="15" t="n"/>
      <c r="H678" s="16" t="n"/>
      <c r="I678" s="16" t="n"/>
      <c r="J678" s="17" t="n"/>
      <c r="K678" s="17" t="n"/>
      <c r="L678" s="17" t="n"/>
      <c r="M678" s="16" t="n"/>
      <c r="N678" s="16" t="n"/>
      <c r="O678" s="18" t="n"/>
      <c r="P678" s="18" t="n"/>
      <c r="Q678" s="16" t="n"/>
    </row>
    <row r="679">
      <c r="E679" s="15" t="n"/>
      <c r="F679" s="15" t="n"/>
      <c r="G679" s="15" t="n"/>
      <c r="H679" s="16" t="n"/>
      <c r="I679" s="16" t="n"/>
      <c r="J679" s="17" t="n"/>
      <c r="K679" s="17" t="n"/>
      <c r="L679" s="17" t="n"/>
      <c r="M679" s="16" t="n"/>
      <c r="N679" s="16" t="n"/>
      <c r="O679" s="18" t="n"/>
      <c r="P679" s="18" t="n"/>
      <c r="Q679" s="16" t="n"/>
    </row>
    <row r="680">
      <c r="E680" s="15" t="n"/>
      <c r="F680" s="15" t="n"/>
      <c r="G680" s="15" t="n"/>
      <c r="H680" s="16" t="n"/>
      <c r="I680" s="16" t="n"/>
      <c r="J680" s="17" t="n"/>
      <c r="K680" s="17" t="n"/>
      <c r="L680" s="17" t="n"/>
      <c r="M680" s="16" t="n"/>
      <c r="N680" s="16" t="n"/>
      <c r="O680" s="18" t="n"/>
      <c r="P680" s="18" t="n"/>
      <c r="Q680" s="16" t="n"/>
    </row>
    <row r="681">
      <c r="E681" s="15" t="n"/>
      <c r="F681" s="15" t="n"/>
      <c r="G681" s="15" t="n"/>
      <c r="H681" s="16" t="n"/>
      <c r="I681" s="16" t="n"/>
      <c r="J681" s="17" t="n"/>
      <c r="K681" s="17" t="n"/>
      <c r="L681" s="17" t="n"/>
      <c r="M681" s="16" t="n"/>
      <c r="N681" s="16" t="n"/>
      <c r="O681" s="18" t="n"/>
      <c r="P681" s="18" t="n"/>
      <c r="Q681" s="16" t="n"/>
    </row>
    <row r="682">
      <c r="E682" s="15" t="n"/>
      <c r="F682" s="15" t="n"/>
      <c r="G682" s="15" t="n"/>
      <c r="H682" s="16" t="n"/>
      <c r="I682" s="16" t="n"/>
      <c r="J682" s="17" t="n"/>
      <c r="K682" s="17" t="n"/>
      <c r="L682" s="17" t="n"/>
      <c r="M682" s="16" t="n"/>
      <c r="N682" s="16" t="n"/>
      <c r="O682" s="18" t="n"/>
      <c r="P682" s="18" t="n"/>
      <c r="Q682" s="16" t="n"/>
    </row>
    <row r="683">
      <c r="E683" s="15" t="n"/>
      <c r="F683" s="15" t="n"/>
      <c r="G683" s="15" t="n"/>
      <c r="H683" s="16" t="n"/>
      <c r="I683" s="16" t="n"/>
      <c r="J683" s="17" t="n"/>
      <c r="K683" s="17" t="n"/>
      <c r="L683" s="17" t="n"/>
      <c r="M683" s="16" t="n"/>
      <c r="N683" s="16" t="n"/>
      <c r="O683" s="18" t="n"/>
      <c r="P683" s="18" t="n"/>
      <c r="Q683" s="16" t="n"/>
    </row>
    <row r="684">
      <c r="E684" s="15" t="n"/>
      <c r="F684" s="15" t="n"/>
      <c r="G684" s="15" t="n"/>
      <c r="H684" s="16" t="n"/>
      <c r="I684" s="16" t="n"/>
      <c r="J684" s="17" t="n"/>
      <c r="K684" s="17" t="n"/>
      <c r="L684" s="17" t="n"/>
      <c r="M684" s="16" t="n"/>
      <c r="N684" s="16" t="n"/>
      <c r="O684" s="18" t="n"/>
      <c r="P684" s="18" t="n"/>
      <c r="Q684" s="16" t="n"/>
    </row>
    <row r="685">
      <c r="E685" s="15" t="n"/>
      <c r="F685" s="15" t="n"/>
      <c r="G685" s="15" t="n"/>
      <c r="H685" s="16" t="n"/>
      <c r="I685" s="16" t="n"/>
      <c r="J685" s="17" t="n"/>
      <c r="K685" s="17" t="n"/>
      <c r="L685" s="17" t="n"/>
      <c r="M685" s="16" t="n"/>
      <c r="N685" s="16" t="n"/>
      <c r="O685" s="18" t="n"/>
      <c r="P685" s="18" t="n"/>
      <c r="Q685" s="16" t="n"/>
    </row>
    <row r="686">
      <c r="E686" s="15" t="n"/>
      <c r="F686" s="15" t="n"/>
      <c r="G686" s="15" t="n"/>
      <c r="H686" s="16" t="n"/>
      <c r="I686" s="16" t="n"/>
      <c r="J686" s="17" t="n"/>
      <c r="K686" s="17" t="n"/>
      <c r="L686" s="17" t="n"/>
      <c r="M686" s="16" t="n"/>
      <c r="N686" s="16" t="n"/>
      <c r="O686" s="18" t="n"/>
      <c r="P686" s="18" t="n"/>
      <c r="Q686" s="16" t="n"/>
    </row>
    <row r="687">
      <c r="E687" s="15" t="n"/>
      <c r="F687" s="15" t="n"/>
      <c r="G687" s="15" t="n"/>
      <c r="H687" s="16" t="n"/>
      <c r="I687" s="16" t="n"/>
      <c r="J687" s="17" t="n"/>
      <c r="K687" s="17" t="n"/>
      <c r="L687" s="17" t="n"/>
      <c r="M687" s="16" t="n"/>
      <c r="N687" s="16" t="n"/>
      <c r="O687" s="18" t="n"/>
      <c r="P687" s="18" t="n"/>
      <c r="Q687" s="16" t="n"/>
    </row>
    <row r="688">
      <c r="E688" s="15" t="n"/>
      <c r="F688" s="15" t="n"/>
      <c r="G688" s="15" t="n"/>
      <c r="H688" s="16" t="n"/>
      <c r="I688" s="16" t="n"/>
      <c r="J688" s="17" t="n"/>
      <c r="K688" s="17" t="n"/>
      <c r="L688" s="17" t="n"/>
      <c r="M688" s="16" t="n"/>
      <c r="N688" s="16" t="n"/>
      <c r="O688" s="18" t="n"/>
      <c r="P688" s="18" t="n"/>
      <c r="Q688" s="16" t="n"/>
    </row>
    <row r="689">
      <c r="E689" s="15" t="n"/>
      <c r="F689" s="15" t="n"/>
      <c r="G689" s="15" t="n"/>
      <c r="H689" s="16" t="n"/>
      <c r="I689" s="16" t="n"/>
      <c r="J689" s="17" t="n"/>
      <c r="K689" s="17" t="n"/>
      <c r="L689" s="17" t="n"/>
      <c r="M689" s="16" t="n"/>
      <c r="N689" s="16" t="n"/>
      <c r="O689" s="18" t="n"/>
      <c r="P689" s="18" t="n"/>
      <c r="Q689" s="16" t="n"/>
    </row>
    <row r="690">
      <c r="E690" s="15" t="n"/>
      <c r="F690" s="15" t="n"/>
      <c r="G690" s="15" t="n"/>
      <c r="H690" s="16" t="n"/>
      <c r="I690" s="16" t="n"/>
      <c r="J690" s="17" t="n"/>
      <c r="K690" s="17" t="n"/>
      <c r="L690" s="17" t="n"/>
      <c r="M690" s="16" t="n"/>
      <c r="N690" s="16" t="n"/>
      <c r="O690" s="18" t="n"/>
      <c r="P690" s="18" t="n"/>
      <c r="Q690" s="16" t="n"/>
    </row>
    <row r="691">
      <c r="E691" s="15" t="n"/>
      <c r="F691" s="15" t="n"/>
      <c r="G691" s="15" t="n"/>
      <c r="H691" s="16" t="n"/>
      <c r="I691" s="16" t="n"/>
      <c r="J691" s="17" t="n"/>
      <c r="K691" s="17" t="n"/>
      <c r="L691" s="17" t="n"/>
      <c r="M691" s="16" t="n"/>
      <c r="N691" s="16" t="n"/>
      <c r="O691" s="18" t="n"/>
      <c r="P691" s="18" t="n"/>
      <c r="Q691" s="16" t="n"/>
    </row>
    <row r="692">
      <c r="E692" s="15" t="n"/>
      <c r="F692" s="15" t="n"/>
      <c r="G692" s="15" t="n"/>
      <c r="H692" s="16" t="n"/>
      <c r="I692" s="16" t="n"/>
      <c r="J692" s="17" t="n"/>
      <c r="K692" s="17" t="n"/>
      <c r="L692" s="17" t="n"/>
      <c r="M692" s="16" t="n"/>
      <c r="N692" s="16" t="n"/>
      <c r="O692" s="18" t="n"/>
      <c r="P692" s="18" t="n"/>
      <c r="Q692" s="16" t="n"/>
    </row>
    <row r="693">
      <c r="E693" s="15" t="n"/>
      <c r="F693" s="15" t="n"/>
      <c r="G693" s="15" t="n"/>
      <c r="H693" s="16" t="n"/>
      <c r="I693" s="16" t="n"/>
      <c r="J693" s="17" t="n"/>
      <c r="K693" s="17" t="n"/>
      <c r="L693" s="17" t="n"/>
      <c r="M693" s="16" t="n"/>
      <c r="N693" s="16" t="n"/>
      <c r="O693" s="18" t="n"/>
      <c r="P693" s="18" t="n"/>
      <c r="Q693" s="16" t="n"/>
    </row>
    <row r="694">
      <c r="E694" s="15" t="n"/>
      <c r="F694" s="15" t="n"/>
      <c r="G694" s="15" t="n"/>
      <c r="H694" s="16" t="n"/>
      <c r="I694" s="16" t="n"/>
      <c r="J694" s="17" t="n"/>
      <c r="K694" s="17" t="n"/>
      <c r="L694" s="17" t="n"/>
      <c r="M694" s="16" t="n"/>
      <c r="N694" s="16" t="n"/>
      <c r="O694" s="18" t="n"/>
      <c r="P694" s="18" t="n"/>
      <c r="Q694" s="16" t="n"/>
    </row>
    <row r="695">
      <c r="E695" s="15" t="n"/>
      <c r="F695" s="15" t="n"/>
      <c r="G695" s="15" t="n"/>
      <c r="H695" s="16" t="n"/>
      <c r="I695" s="16" t="n"/>
      <c r="J695" s="17" t="n"/>
      <c r="K695" s="17" t="n"/>
      <c r="L695" s="17" t="n"/>
      <c r="M695" s="16" t="n"/>
      <c r="N695" s="16" t="n"/>
      <c r="O695" s="18" t="n"/>
      <c r="P695" s="18" t="n"/>
      <c r="Q695" s="16" t="n"/>
    </row>
    <row r="696">
      <c r="E696" s="15" t="n"/>
      <c r="F696" s="15" t="n"/>
      <c r="G696" s="15" t="n"/>
      <c r="H696" s="16" t="n"/>
      <c r="I696" s="16" t="n"/>
      <c r="J696" s="17" t="n"/>
      <c r="K696" s="17" t="n"/>
      <c r="L696" s="17" t="n"/>
      <c r="M696" s="16" t="n"/>
      <c r="N696" s="16" t="n"/>
      <c r="O696" s="18" t="n"/>
      <c r="P696" s="18" t="n"/>
      <c r="Q696" s="16" t="n"/>
    </row>
    <row r="697">
      <c r="E697" s="15" t="n"/>
      <c r="F697" s="15" t="n"/>
      <c r="G697" s="15" t="n"/>
      <c r="H697" s="16" t="n"/>
      <c r="I697" s="16" t="n"/>
      <c r="J697" s="17" t="n"/>
      <c r="K697" s="17" t="n"/>
      <c r="L697" s="17" t="n"/>
      <c r="M697" s="16" t="n"/>
      <c r="N697" s="16" t="n"/>
      <c r="O697" s="18" t="n"/>
      <c r="P697" s="18" t="n"/>
      <c r="Q697" s="16" t="n"/>
    </row>
    <row r="698">
      <c r="E698" s="15" t="n"/>
      <c r="F698" s="15" t="n"/>
      <c r="G698" s="15" t="n"/>
      <c r="H698" s="16" t="n"/>
      <c r="I698" s="16" t="n"/>
      <c r="J698" s="17" t="n"/>
      <c r="K698" s="17" t="n"/>
      <c r="L698" s="17" t="n"/>
      <c r="M698" s="16" t="n"/>
      <c r="N698" s="16" t="n"/>
      <c r="O698" s="18" t="n"/>
      <c r="P698" s="18" t="n"/>
      <c r="Q698" s="16" t="n"/>
    </row>
    <row r="699">
      <c r="E699" s="15" t="n"/>
      <c r="F699" s="15" t="n"/>
      <c r="G699" s="15" t="n"/>
      <c r="H699" s="16" t="n"/>
      <c r="I699" s="16" t="n"/>
      <c r="J699" s="17" t="n"/>
      <c r="K699" s="17" t="n"/>
      <c r="L699" s="17" t="n"/>
      <c r="M699" s="16" t="n"/>
      <c r="N699" s="16" t="n"/>
      <c r="O699" s="18" t="n"/>
      <c r="P699" s="18" t="n"/>
      <c r="Q699" s="16" t="n"/>
    </row>
    <row r="700">
      <c r="E700" s="15" t="n"/>
      <c r="F700" s="15" t="n"/>
      <c r="G700" s="15" t="n"/>
      <c r="H700" s="16" t="n"/>
      <c r="I700" s="16" t="n"/>
      <c r="J700" s="17" t="n"/>
      <c r="K700" s="17" t="n"/>
      <c r="L700" s="17" t="n"/>
      <c r="M700" s="16" t="n"/>
      <c r="N700" s="16" t="n"/>
      <c r="O700" s="18" t="n"/>
      <c r="P700" s="18" t="n"/>
      <c r="Q700" s="16" t="n"/>
    </row>
    <row r="701">
      <c r="E701" s="15" t="n"/>
      <c r="F701" s="15" t="n"/>
      <c r="G701" s="15" t="n"/>
      <c r="H701" s="16" t="n"/>
      <c r="I701" s="16" t="n"/>
      <c r="J701" s="17" t="n"/>
      <c r="K701" s="17" t="n"/>
      <c r="L701" s="17" t="n"/>
      <c r="M701" s="16" t="n"/>
      <c r="N701" s="16" t="n"/>
      <c r="O701" s="18" t="n"/>
      <c r="P701" s="18" t="n"/>
      <c r="Q701" s="16" t="n"/>
    </row>
    <row r="702">
      <c r="E702" s="15" t="n"/>
      <c r="F702" s="15" t="n"/>
      <c r="G702" s="15" t="n"/>
      <c r="H702" s="16" t="n"/>
      <c r="I702" s="16" t="n"/>
      <c r="J702" s="17" t="n"/>
      <c r="K702" s="17" t="n"/>
      <c r="L702" s="17" t="n"/>
      <c r="M702" s="16" t="n"/>
      <c r="N702" s="16" t="n"/>
      <c r="O702" s="18" t="n"/>
      <c r="P702" s="18" t="n"/>
      <c r="Q702" s="16" t="n"/>
    </row>
    <row r="703">
      <c r="E703" s="15" t="n"/>
      <c r="F703" s="15" t="n"/>
      <c r="G703" s="15" t="n"/>
      <c r="H703" s="16" t="n"/>
      <c r="I703" s="16" t="n"/>
      <c r="J703" s="17" t="n"/>
      <c r="K703" s="17" t="n"/>
      <c r="L703" s="17" t="n"/>
      <c r="M703" s="16" t="n"/>
      <c r="N703" s="16" t="n"/>
      <c r="O703" s="18" t="n"/>
      <c r="P703" s="18" t="n"/>
      <c r="Q703" s="16" t="n"/>
    </row>
    <row r="704">
      <c r="E704" s="15" t="n"/>
      <c r="F704" s="15" t="n"/>
      <c r="G704" s="15" t="n"/>
      <c r="H704" s="16" t="n"/>
      <c r="I704" s="16" t="n"/>
      <c r="J704" s="17" t="n"/>
      <c r="K704" s="17" t="n"/>
      <c r="L704" s="17" t="n"/>
      <c r="M704" s="16" t="n"/>
      <c r="N704" s="16" t="n"/>
      <c r="O704" s="18" t="n"/>
      <c r="P704" s="18" t="n"/>
      <c r="Q704" s="16" t="n"/>
    </row>
    <row r="705">
      <c r="E705" s="15" t="n"/>
      <c r="F705" s="15" t="n"/>
      <c r="G705" s="15" t="n"/>
      <c r="H705" s="16" t="n"/>
      <c r="I705" s="16" t="n"/>
      <c r="J705" s="17" t="n"/>
      <c r="K705" s="17" t="n"/>
      <c r="L705" s="17" t="n"/>
      <c r="M705" s="16" t="n"/>
      <c r="N705" s="16" t="n"/>
      <c r="O705" s="18" t="n"/>
      <c r="P705" s="18" t="n"/>
      <c r="Q705" s="16" t="n"/>
    </row>
    <row r="706">
      <c r="E706" s="15" t="n"/>
      <c r="F706" s="15" t="n"/>
      <c r="G706" s="15" t="n"/>
      <c r="H706" s="16" t="n"/>
      <c r="I706" s="16" t="n"/>
      <c r="J706" s="17" t="n"/>
      <c r="K706" s="17" t="n"/>
      <c r="L706" s="17" t="n"/>
      <c r="M706" s="16" t="n"/>
      <c r="N706" s="16" t="n"/>
      <c r="O706" s="18" t="n"/>
      <c r="P706" s="18" t="n"/>
      <c r="Q706" s="16" t="n"/>
    </row>
    <row r="707">
      <c r="E707" s="15" t="n"/>
      <c r="F707" s="15" t="n"/>
      <c r="G707" s="15" t="n"/>
      <c r="H707" s="16" t="n"/>
      <c r="I707" s="16" t="n"/>
      <c r="J707" s="17" t="n"/>
      <c r="K707" s="17" t="n"/>
      <c r="L707" s="17" t="n"/>
      <c r="M707" s="16" t="n"/>
      <c r="N707" s="16" t="n"/>
      <c r="O707" s="18" t="n"/>
      <c r="P707" s="18" t="n"/>
      <c r="Q707" s="16" t="n"/>
    </row>
    <row r="708">
      <c r="E708" s="15" t="n"/>
      <c r="F708" s="15" t="n"/>
      <c r="G708" s="15" t="n"/>
      <c r="H708" s="16" t="n"/>
      <c r="I708" s="16" t="n"/>
      <c r="J708" s="17" t="n"/>
      <c r="K708" s="17" t="n"/>
      <c r="L708" s="17" t="n"/>
      <c r="M708" s="16" t="n"/>
      <c r="N708" s="16" t="n"/>
      <c r="O708" s="18" t="n"/>
      <c r="P708" s="18" t="n"/>
      <c r="Q708" s="16" t="n"/>
    </row>
    <row r="709">
      <c r="E709" s="15" t="n"/>
      <c r="F709" s="15" t="n"/>
      <c r="G709" s="15" t="n"/>
      <c r="H709" s="16" t="n"/>
      <c r="I709" s="16" t="n"/>
      <c r="J709" s="17" t="n"/>
      <c r="K709" s="17" t="n"/>
      <c r="L709" s="17" t="n"/>
      <c r="M709" s="16" t="n"/>
      <c r="N709" s="16" t="n"/>
      <c r="O709" s="18" t="n"/>
      <c r="P709" s="18" t="n"/>
      <c r="Q709" s="16" t="n"/>
    </row>
    <row r="710">
      <c r="E710" s="15" t="n"/>
      <c r="F710" s="15" t="n"/>
      <c r="G710" s="15" t="n"/>
      <c r="H710" s="16" t="n"/>
      <c r="I710" s="16" t="n"/>
      <c r="J710" s="17" t="n"/>
      <c r="K710" s="17" t="n"/>
      <c r="L710" s="17" t="n"/>
      <c r="M710" s="16" t="n"/>
      <c r="N710" s="16" t="n"/>
      <c r="O710" s="18" t="n"/>
      <c r="P710" s="18" t="n"/>
      <c r="Q710" s="16" t="n"/>
    </row>
    <row r="711">
      <c r="E711" s="15" t="n"/>
      <c r="F711" s="15" t="n"/>
      <c r="G711" s="15" t="n"/>
      <c r="H711" s="16" t="n"/>
      <c r="I711" s="16" t="n"/>
      <c r="J711" s="17" t="n"/>
      <c r="K711" s="17" t="n"/>
      <c r="L711" s="17" t="n"/>
      <c r="M711" s="16" t="n"/>
      <c r="N711" s="16" t="n"/>
      <c r="O711" s="18" t="n"/>
      <c r="P711" s="18" t="n"/>
      <c r="Q711" s="16" t="n"/>
    </row>
    <row r="712">
      <c r="E712" s="15" t="n"/>
      <c r="F712" s="15" t="n"/>
      <c r="G712" s="15" t="n"/>
      <c r="H712" s="16" t="n"/>
      <c r="I712" s="16" t="n"/>
      <c r="J712" s="17" t="n"/>
      <c r="K712" s="17" t="n"/>
      <c r="L712" s="17" t="n"/>
      <c r="M712" s="16" t="n"/>
      <c r="N712" s="16" t="n"/>
      <c r="O712" s="18" t="n"/>
      <c r="P712" s="18" t="n"/>
      <c r="Q712" s="16" t="n"/>
    </row>
    <row r="713">
      <c r="E713" s="15" t="n"/>
      <c r="F713" s="15" t="n"/>
      <c r="G713" s="15" t="n"/>
      <c r="H713" s="16" t="n"/>
      <c r="I713" s="16" t="n"/>
      <c r="J713" s="17" t="n"/>
      <c r="K713" s="17" t="n"/>
      <c r="L713" s="17" t="n"/>
      <c r="M713" s="16" t="n"/>
      <c r="N713" s="16" t="n"/>
      <c r="O713" s="18" t="n"/>
      <c r="P713" s="18" t="n"/>
      <c r="Q713" s="16" t="n"/>
    </row>
    <row r="714">
      <c r="E714" s="15" t="n"/>
      <c r="F714" s="15" t="n"/>
      <c r="G714" s="15" t="n"/>
      <c r="H714" s="16" t="n"/>
      <c r="I714" s="16" t="n"/>
      <c r="J714" s="17" t="n"/>
      <c r="K714" s="17" t="n"/>
      <c r="L714" s="17" t="n"/>
      <c r="M714" s="16" t="n"/>
      <c r="N714" s="16" t="n"/>
      <c r="O714" s="18" t="n"/>
      <c r="P714" s="18" t="n"/>
      <c r="Q714" s="16" t="n"/>
    </row>
    <row r="715">
      <c r="E715" s="15" t="n"/>
      <c r="F715" s="15" t="n"/>
      <c r="G715" s="15" t="n"/>
      <c r="H715" s="16" t="n"/>
      <c r="I715" s="16" t="n"/>
      <c r="J715" s="17" t="n"/>
      <c r="K715" s="17" t="n"/>
      <c r="L715" s="17" t="n"/>
      <c r="M715" s="16" t="n"/>
      <c r="N715" s="16" t="n"/>
      <c r="O715" s="18" t="n"/>
      <c r="P715" s="18" t="n"/>
      <c r="Q715" s="16" t="n"/>
    </row>
    <row r="716">
      <c r="E716" s="15" t="n"/>
      <c r="F716" s="15" t="n"/>
      <c r="G716" s="15" t="n"/>
      <c r="H716" s="16" t="n"/>
      <c r="I716" s="16" t="n"/>
      <c r="J716" s="17" t="n"/>
      <c r="K716" s="17" t="n"/>
      <c r="L716" s="17" t="n"/>
      <c r="M716" s="16" t="n"/>
      <c r="N716" s="16" t="n"/>
      <c r="O716" s="18" t="n"/>
      <c r="P716" s="18" t="n"/>
      <c r="Q716" s="16" t="n"/>
    </row>
    <row r="717">
      <c r="E717" s="15" t="n"/>
      <c r="F717" s="15" t="n"/>
      <c r="G717" s="15" t="n"/>
      <c r="H717" s="16" t="n"/>
      <c r="I717" s="16" t="n"/>
      <c r="J717" s="17" t="n"/>
      <c r="K717" s="17" t="n"/>
      <c r="L717" s="17" t="n"/>
      <c r="M717" s="16" t="n"/>
      <c r="N717" s="16" t="n"/>
      <c r="O717" s="18" t="n"/>
      <c r="P717" s="18" t="n"/>
      <c r="Q717" s="16" t="n"/>
    </row>
    <row r="718">
      <c r="E718" s="15" t="n"/>
      <c r="F718" s="15" t="n"/>
      <c r="G718" s="15" t="n"/>
      <c r="H718" s="16" t="n"/>
      <c r="I718" s="16" t="n"/>
      <c r="J718" s="17" t="n"/>
      <c r="K718" s="17" t="n"/>
      <c r="L718" s="17" t="n"/>
      <c r="M718" s="16" t="n"/>
      <c r="N718" s="16" t="n"/>
      <c r="O718" s="18" t="n"/>
      <c r="P718" s="18" t="n"/>
      <c r="Q718" s="16" t="n"/>
    </row>
    <row r="719">
      <c r="E719" s="15" t="n"/>
      <c r="F719" s="15" t="n"/>
      <c r="G719" s="15" t="n"/>
      <c r="H719" s="16" t="n"/>
      <c r="I719" s="16" t="n"/>
      <c r="J719" s="17" t="n"/>
      <c r="K719" s="17" t="n"/>
      <c r="L719" s="17" t="n"/>
      <c r="M719" s="16" t="n"/>
      <c r="N719" s="16" t="n"/>
      <c r="O719" s="18" t="n"/>
      <c r="P719" s="18" t="n"/>
      <c r="Q719" s="16" t="n"/>
    </row>
    <row r="720">
      <c r="E720" s="15" t="n"/>
      <c r="F720" s="15" t="n"/>
      <c r="G720" s="15" t="n"/>
      <c r="H720" s="16" t="n"/>
      <c r="I720" s="16" t="n"/>
      <c r="J720" s="17" t="n"/>
      <c r="K720" s="17" t="n"/>
      <c r="L720" s="17" t="n"/>
      <c r="M720" s="16" t="n"/>
      <c r="N720" s="16" t="n"/>
      <c r="O720" s="18" t="n"/>
      <c r="P720" s="18" t="n"/>
      <c r="Q720" s="16" t="n"/>
    </row>
    <row r="721">
      <c r="E721" s="15" t="n"/>
      <c r="F721" s="15" t="n"/>
      <c r="G721" s="15" t="n"/>
      <c r="H721" s="16" t="n"/>
      <c r="I721" s="16" t="n"/>
      <c r="J721" s="17" t="n"/>
      <c r="K721" s="17" t="n"/>
      <c r="L721" s="17" t="n"/>
      <c r="M721" s="16" t="n"/>
      <c r="N721" s="16" t="n"/>
      <c r="O721" s="18" t="n"/>
      <c r="P721" s="18" t="n"/>
      <c r="Q721" s="16" t="n"/>
    </row>
    <row r="722">
      <c r="E722" s="15" t="n"/>
      <c r="F722" s="15" t="n"/>
      <c r="G722" s="15" t="n"/>
      <c r="H722" s="16" t="n"/>
      <c r="I722" s="16" t="n"/>
      <c r="J722" s="17" t="n"/>
      <c r="K722" s="17" t="n"/>
      <c r="L722" s="17" t="n"/>
      <c r="M722" s="16" t="n"/>
      <c r="N722" s="16" t="n"/>
      <c r="O722" s="18" t="n"/>
      <c r="P722" s="18" t="n"/>
      <c r="Q722" s="16" t="n"/>
    </row>
    <row r="723">
      <c r="E723" s="15" t="n"/>
      <c r="F723" s="15" t="n"/>
      <c r="G723" s="15" t="n"/>
      <c r="H723" s="16" t="n"/>
      <c r="I723" s="16" t="n"/>
      <c r="J723" s="17" t="n"/>
      <c r="K723" s="17" t="n"/>
      <c r="L723" s="17" t="n"/>
      <c r="M723" s="16" t="n"/>
      <c r="N723" s="16" t="n"/>
      <c r="O723" s="18" t="n"/>
      <c r="P723" s="18" t="n"/>
      <c r="Q723" s="16" t="n"/>
    </row>
    <row r="724">
      <c r="E724" s="15" t="n"/>
      <c r="F724" s="15" t="n"/>
      <c r="G724" s="15" t="n"/>
      <c r="H724" s="16" t="n"/>
      <c r="I724" s="16" t="n"/>
      <c r="J724" s="17" t="n"/>
      <c r="K724" s="17" t="n"/>
      <c r="L724" s="17" t="n"/>
      <c r="M724" s="16" t="n"/>
      <c r="N724" s="16" t="n"/>
      <c r="O724" s="18" t="n"/>
      <c r="P724" s="18" t="n"/>
      <c r="Q724" s="16" t="n"/>
    </row>
    <row r="725">
      <c r="E725" s="15" t="n"/>
      <c r="F725" s="15" t="n"/>
      <c r="G725" s="15" t="n"/>
      <c r="H725" s="16" t="n"/>
      <c r="I725" s="16" t="n"/>
      <c r="J725" s="17" t="n"/>
      <c r="K725" s="17" t="n"/>
      <c r="L725" s="17" t="n"/>
      <c r="M725" s="16" t="n"/>
      <c r="N725" s="16" t="n"/>
      <c r="O725" s="18" t="n"/>
      <c r="P725" s="18" t="n"/>
      <c r="Q725" s="16" t="n"/>
    </row>
    <row r="726">
      <c r="E726" s="15" t="n"/>
      <c r="F726" s="15" t="n"/>
      <c r="G726" s="15" t="n"/>
      <c r="H726" s="16" t="n"/>
      <c r="I726" s="16" t="n"/>
      <c r="J726" s="17" t="n"/>
      <c r="K726" s="17" t="n"/>
      <c r="L726" s="17" t="n"/>
      <c r="M726" s="16" t="n"/>
      <c r="N726" s="16" t="n"/>
      <c r="O726" s="18" t="n"/>
      <c r="P726" s="18" t="n"/>
      <c r="Q726" s="16" t="n"/>
    </row>
    <row r="727">
      <c r="E727" s="15" t="n"/>
      <c r="F727" s="15" t="n"/>
      <c r="G727" s="15" t="n"/>
      <c r="H727" s="16" t="n"/>
      <c r="I727" s="16" t="n"/>
      <c r="J727" s="17" t="n"/>
      <c r="K727" s="17" t="n"/>
      <c r="L727" s="17" t="n"/>
      <c r="M727" s="16" t="n"/>
      <c r="N727" s="16" t="n"/>
      <c r="O727" s="18" t="n"/>
      <c r="P727" s="18" t="n"/>
      <c r="Q727" s="16" t="n"/>
    </row>
    <row r="728">
      <c r="E728" s="15" t="n"/>
      <c r="F728" s="15" t="n"/>
      <c r="G728" s="15" t="n"/>
      <c r="H728" s="16" t="n"/>
      <c r="I728" s="16" t="n"/>
      <c r="J728" s="17" t="n"/>
      <c r="K728" s="17" t="n"/>
      <c r="L728" s="17" t="n"/>
      <c r="M728" s="16" t="n"/>
      <c r="N728" s="16" t="n"/>
      <c r="O728" s="18" t="n"/>
      <c r="P728" s="18" t="n"/>
      <c r="Q728" s="16" t="n"/>
    </row>
    <row r="729">
      <c r="E729" s="15" t="n"/>
      <c r="F729" s="15" t="n"/>
      <c r="G729" s="15" t="n"/>
      <c r="H729" s="16" t="n"/>
      <c r="I729" s="16" t="n"/>
      <c r="J729" s="17" t="n"/>
      <c r="K729" s="17" t="n"/>
      <c r="L729" s="17" t="n"/>
      <c r="M729" s="16" t="n"/>
      <c r="N729" s="16" t="n"/>
      <c r="O729" s="18" t="n"/>
      <c r="P729" s="18" t="n"/>
      <c r="Q729" s="16" t="n"/>
    </row>
    <row r="730">
      <c r="E730" s="15" t="n"/>
      <c r="F730" s="15" t="n"/>
      <c r="G730" s="15" t="n"/>
      <c r="H730" s="16" t="n"/>
      <c r="I730" s="16" t="n"/>
      <c r="J730" s="17" t="n"/>
      <c r="K730" s="17" t="n"/>
      <c r="L730" s="17" t="n"/>
      <c r="M730" s="16" t="n"/>
      <c r="N730" s="16" t="n"/>
      <c r="O730" s="18" t="n"/>
      <c r="P730" s="18" t="n"/>
      <c r="Q730" s="16" t="n"/>
    </row>
    <row r="731">
      <c r="E731" s="15" t="n"/>
      <c r="F731" s="15" t="n"/>
      <c r="G731" s="15" t="n"/>
      <c r="H731" s="16" t="n"/>
      <c r="I731" s="16" t="n"/>
      <c r="J731" s="17" t="n"/>
      <c r="K731" s="17" t="n"/>
      <c r="L731" s="17" t="n"/>
      <c r="M731" s="16" t="n"/>
      <c r="N731" s="16" t="n"/>
      <c r="O731" s="18" t="n"/>
      <c r="P731" s="18" t="n"/>
      <c r="Q731" s="16" t="n"/>
    </row>
    <row r="732">
      <c r="E732" s="15" t="n"/>
      <c r="F732" s="15" t="n"/>
      <c r="G732" s="15" t="n"/>
      <c r="H732" s="16" t="n"/>
      <c r="I732" s="16" t="n"/>
      <c r="J732" s="17" t="n"/>
      <c r="K732" s="17" t="n"/>
      <c r="L732" s="17" t="n"/>
      <c r="M732" s="16" t="n"/>
      <c r="N732" s="16" t="n"/>
      <c r="O732" s="18" t="n"/>
      <c r="P732" s="18" t="n"/>
      <c r="Q732" s="16" t="n"/>
    </row>
    <row r="733">
      <c r="E733" s="15" t="n"/>
      <c r="F733" s="15" t="n"/>
      <c r="G733" s="15" t="n"/>
      <c r="H733" s="16" t="n"/>
      <c r="I733" s="16" t="n"/>
      <c r="J733" s="17" t="n"/>
      <c r="K733" s="17" t="n"/>
      <c r="L733" s="17" t="n"/>
      <c r="M733" s="16" t="n"/>
      <c r="N733" s="16" t="n"/>
      <c r="O733" s="18" t="n"/>
      <c r="P733" s="18" t="n"/>
      <c r="Q733" s="16" t="n"/>
    </row>
    <row r="734">
      <c r="E734" s="15" t="n"/>
      <c r="F734" s="15" t="n"/>
      <c r="G734" s="15" t="n"/>
      <c r="H734" s="16" t="n"/>
      <c r="I734" s="16" t="n"/>
      <c r="J734" s="17" t="n"/>
      <c r="K734" s="17" t="n"/>
      <c r="L734" s="17" t="n"/>
      <c r="M734" s="16" t="n"/>
      <c r="N734" s="16" t="n"/>
      <c r="O734" s="18" t="n"/>
      <c r="P734" s="18" t="n"/>
      <c r="Q734" s="16" t="n"/>
    </row>
    <row r="735">
      <c r="E735" s="15" t="n"/>
      <c r="F735" s="15" t="n"/>
      <c r="G735" s="15" t="n"/>
      <c r="H735" s="16" t="n"/>
      <c r="I735" s="16" t="n"/>
      <c r="J735" s="17" t="n"/>
      <c r="K735" s="17" t="n"/>
      <c r="L735" s="17" t="n"/>
      <c r="M735" s="16" t="n"/>
      <c r="N735" s="16" t="n"/>
      <c r="O735" s="18" t="n"/>
      <c r="P735" s="18" t="n"/>
      <c r="Q735" s="16" t="n"/>
    </row>
    <row r="736">
      <c r="E736" s="15" t="n"/>
      <c r="F736" s="15" t="n"/>
      <c r="G736" s="15" t="n"/>
      <c r="H736" s="16" t="n"/>
      <c r="I736" s="16" t="n"/>
      <c r="J736" s="17" t="n"/>
      <c r="K736" s="17" t="n"/>
      <c r="L736" s="17" t="n"/>
      <c r="M736" s="16" t="n"/>
      <c r="N736" s="16" t="n"/>
      <c r="O736" s="18" t="n"/>
      <c r="P736" s="18" t="n"/>
      <c r="Q736" s="16" t="n"/>
    </row>
    <row r="737">
      <c r="E737" s="15" t="n"/>
      <c r="F737" s="15" t="n"/>
      <c r="G737" s="15" t="n"/>
      <c r="H737" s="16" t="n"/>
      <c r="I737" s="16" t="n"/>
      <c r="J737" s="17" t="n"/>
      <c r="K737" s="17" t="n"/>
      <c r="L737" s="17" t="n"/>
      <c r="M737" s="16" t="n"/>
      <c r="N737" s="16" t="n"/>
      <c r="O737" s="18" t="n"/>
      <c r="P737" s="18" t="n"/>
      <c r="Q737" s="16" t="n"/>
    </row>
    <row r="738">
      <c r="E738" s="15" t="n"/>
      <c r="F738" s="15" t="n"/>
      <c r="G738" s="15" t="n"/>
      <c r="H738" s="16" t="n"/>
      <c r="I738" s="16" t="n"/>
      <c r="J738" s="17" t="n"/>
      <c r="K738" s="17" t="n"/>
      <c r="L738" s="17" t="n"/>
      <c r="M738" s="16" t="n"/>
      <c r="N738" s="16" t="n"/>
      <c r="O738" s="18" t="n"/>
      <c r="P738" s="18" t="n"/>
      <c r="Q738" s="16" t="n"/>
    </row>
    <row r="739">
      <c r="E739" s="15" t="n"/>
      <c r="F739" s="15" t="n"/>
      <c r="G739" s="15" t="n"/>
      <c r="H739" s="16" t="n"/>
      <c r="I739" s="16" t="n"/>
      <c r="J739" s="17" t="n"/>
      <c r="K739" s="17" t="n"/>
      <c r="L739" s="17" t="n"/>
      <c r="M739" s="16" t="n"/>
      <c r="N739" s="16" t="n"/>
      <c r="O739" s="18" t="n"/>
      <c r="P739" s="18" t="n"/>
      <c r="Q739" s="16" t="n"/>
    </row>
    <row r="740">
      <c r="E740" s="15" t="n"/>
      <c r="F740" s="15" t="n"/>
      <c r="G740" s="15" t="n"/>
      <c r="H740" s="16" t="n"/>
      <c r="I740" s="16" t="n"/>
      <c r="J740" s="17" t="n"/>
      <c r="K740" s="17" t="n"/>
      <c r="L740" s="17" t="n"/>
      <c r="M740" s="16" t="n"/>
      <c r="N740" s="16" t="n"/>
      <c r="O740" s="18" t="n"/>
      <c r="P740" s="18" t="n"/>
      <c r="Q740" s="16" t="n"/>
    </row>
    <row r="741">
      <c r="E741" s="15" t="n"/>
      <c r="F741" s="15" t="n"/>
      <c r="G741" s="15" t="n"/>
      <c r="H741" s="16" t="n"/>
      <c r="I741" s="16" t="n"/>
      <c r="J741" s="17" t="n"/>
      <c r="K741" s="17" t="n"/>
      <c r="L741" s="17" t="n"/>
      <c r="M741" s="16" t="n"/>
      <c r="N741" s="16" t="n"/>
      <c r="O741" s="18" t="n"/>
      <c r="P741" s="18" t="n"/>
      <c r="Q741" s="16" t="n"/>
    </row>
    <row r="742">
      <c r="E742" s="15" t="n"/>
      <c r="F742" s="15" t="n"/>
      <c r="G742" s="15" t="n"/>
      <c r="H742" s="16" t="n"/>
      <c r="I742" s="16" t="n"/>
      <c r="J742" s="17" t="n"/>
      <c r="K742" s="17" t="n"/>
      <c r="L742" s="17" t="n"/>
      <c r="M742" s="16" t="n"/>
      <c r="N742" s="16" t="n"/>
      <c r="O742" s="18" t="n"/>
      <c r="P742" s="18" t="n"/>
      <c r="Q742" s="16" t="n"/>
    </row>
    <row r="743">
      <c r="E743" s="15" t="n"/>
      <c r="F743" s="15" t="n"/>
      <c r="G743" s="15" t="n"/>
      <c r="H743" s="16" t="n"/>
      <c r="I743" s="16" t="n"/>
      <c r="J743" s="17" t="n"/>
      <c r="K743" s="17" t="n"/>
      <c r="L743" s="17" t="n"/>
      <c r="M743" s="16" t="n"/>
      <c r="N743" s="16" t="n"/>
      <c r="O743" s="18" t="n"/>
      <c r="P743" s="18" t="n"/>
      <c r="Q743" s="16" t="n"/>
    </row>
    <row r="744">
      <c r="E744" s="15" t="n"/>
      <c r="F744" s="15" t="n"/>
      <c r="G744" s="15" t="n"/>
      <c r="H744" s="16" t="n"/>
      <c r="I744" s="16" t="n"/>
      <c r="J744" s="17" t="n"/>
      <c r="K744" s="17" t="n"/>
      <c r="L744" s="17" t="n"/>
      <c r="M744" s="16" t="n"/>
      <c r="N744" s="16" t="n"/>
      <c r="O744" s="18" t="n"/>
      <c r="P744" s="18" t="n"/>
      <c r="Q744" s="16" t="n"/>
    </row>
    <row r="745">
      <c r="E745" s="15" t="n"/>
      <c r="F745" s="15" t="n"/>
      <c r="G745" s="15" t="n"/>
      <c r="H745" s="16" t="n"/>
      <c r="I745" s="16" t="n"/>
      <c r="J745" s="17" t="n"/>
      <c r="K745" s="17" t="n"/>
      <c r="L745" s="17" t="n"/>
      <c r="M745" s="16" t="n"/>
      <c r="N745" s="16" t="n"/>
      <c r="O745" s="18" t="n"/>
      <c r="P745" s="18" t="n"/>
      <c r="Q745" s="16" t="n"/>
    </row>
    <row r="746">
      <c r="E746" s="15" t="n"/>
      <c r="F746" s="15" t="n"/>
      <c r="G746" s="15" t="n"/>
      <c r="H746" s="16" t="n"/>
      <c r="I746" s="16" t="n"/>
      <c r="J746" s="17" t="n"/>
      <c r="K746" s="17" t="n"/>
      <c r="L746" s="17" t="n"/>
      <c r="M746" s="16" t="n"/>
      <c r="N746" s="16" t="n"/>
      <c r="O746" s="18" t="n"/>
      <c r="P746" s="18" t="n"/>
      <c r="Q746" s="16" t="n"/>
    </row>
    <row r="747">
      <c r="E747" s="15" t="n"/>
      <c r="F747" s="15" t="n"/>
      <c r="G747" s="15" t="n"/>
      <c r="H747" s="16" t="n"/>
      <c r="I747" s="16" t="n"/>
      <c r="J747" s="17" t="n"/>
      <c r="K747" s="17" t="n"/>
      <c r="L747" s="17" t="n"/>
      <c r="M747" s="16" t="n"/>
      <c r="N747" s="16" t="n"/>
      <c r="O747" s="18" t="n"/>
      <c r="P747" s="18" t="n"/>
      <c r="Q747" s="16" t="n"/>
    </row>
    <row r="748">
      <c r="E748" s="15" t="n"/>
      <c r="F748" s="15" t="n"/>
      <c r="G748" s="15" t="n"/>
      <c r="H748" s="16" t="n"/>
      <c r="I748" s="16" t="n"/>
      <c r="J748" s="17" t="n"/>
      <c r="K748" s="17" t="n"/>
      <c r="L748" s="17" t="n"/>
      <c r="M748" s="16" t="n"/>
      <c r="N748" s="16" t="n"/>
      <c r="O748" s="18" t="n"/>
      <c r="P748" s="18" t="n"/>
      <c r="Q748" s="16" t="n"/>
    </row>
    <row r="749">
      <c r="E749" s="15" t="n"/>
      <c r="F749" s="15" t="n"/>
      <c r="G749" s="15" t="n"/>
      <c r="H749" s="16" t="n"/>
      <c r="I749" s="16" t="n"/>
      <c r="J749" s="17" t="n"/>
      <c r="K749" s="17" t="n"/>
      <c r="L749" s="17" t="n"/>
      <c r="M749" s="16" t="n"/>
      <c r="N749" s="16" t="n"/>
      <c r="O749" s="18" t="n"/>
      <c r="P749" s="18" t="n"/>
      <c r="Q749" s="16" t="n"/>
    </row>
    <row r="750">
      <c r="E750" s="15" t="n"/>
      <c r="F750" s="15" t="n"/>
      <c r="G750" s="15" t="n"/>
      <c r="H750" s="16" t="n"/>
      <c r="I750" s="16" t="n"/>
      <c r="J750" s="17" t="n"/>
      <c r="K750" s="17" t="n"/>
      <c r="L750" s="17" t="n"/>
      <c r="M750" s="16" t="n"/>
      <c r="N750" s="16" t="n"/>
      <c r="O750" s="18" t="n"/>
      <c r="P750" s="18" t="n"/>
      <c r="Q750" s="16" t="n"/>
    </row>
    <row r="751">
      <c r="E751" s="15" t="n"/>
      <c r="F751" s="15" t="n"/>
      <c r="G751" s="15" t="n"/>
      <c r="H751" s="16" t="n"/>
      <c r="I751" s="16" t="n"/>
      <c r="J751" s="17" t="n"/>
      <c r="K751" s="17" t="n"/>
      <c r="L751" s="17" t="n"/>
      <c r="M751" s="16" t="n"/>
      <c r="N751" s="16" t="n"/>
      <c r="O751" s="18" t="n"/>
      <c r="P751" s="18" t="n"/>
      <c r="Q751" s="16" t="n"/>
    </row>
    <row r="752">
      <c r="E752" s="15" t="n"/>
      <c r="F752" s="15" t="n"/>
      <c r="G752" s="15" t="n"/>
      <c r="H752" s="16" t="n"/>
      <c r="I752" s="16" t="n"/>
      <c r="J752" s="17" t="n"/>
      <c r="K752" s="17" t="n"/>
      <c r="L752" s="17" t="n"/>
      <c r="M752" s="16" t="n"/>
      <c r="N752" s="16" t="n"/>
      <c r="O752" s="18" t="n"/>
      <c r="P752" s="18" t="n"/>
      <c r="Q752" s="16" t="n"/>
    </row>
    <row r="753">
      <c r="E753" s="15" t="n"/>
      <c r="F753" s="15" t="n"/>
      <c r="G753" s="15" t="n"/>
      <c r="H753" s="16" t="n"/>
      <c r="I753" s="16" t="n"/>
      <c r="J753" s="17" t="n"/>
      <c r="K753" s="17" t="n"/>
      <c r="L753" s="17" t="n"/>
      <c r="M753" s="16" t="n"/>
      <c r="N753" s="16" t="n"/>
      <c r="O753" s="18" t="n"/>
      <c r="P753" s="18" t="n"/>
      <c r="Q753" s="16" t="n"/>
    </row>
    <row r="754">
      <c r="E754" s="15" t="n"/>
      <c r="F754" s="15" t="n"/>
      <c r="G754" s="15" t="n"/>
      <c r="H754" s="16" t="n"/>
      <c r="I754" s="16" t="n"/>
      <c r="J754" s="17" t="n"/>
      <c r="K754" s="17" t="n"/>
      <c r="L754" s="17" t="n"/>
      <c r="M754" s="16" t="n"/>
      <c r="N754" s="16" t="n"/>
      <c r="O754" s="18" t="n"/>
      <c r="P754" s="18" t="n"/>
      <c r="Q754" s="16" t="n"/>
    </row>
    <row r="755">
      <c r="E755" s="15" t="n"/>
      <c r="F755" s="15" t="n"/>
      <c r="G755" s="15" t="n"/>
      <c r="H755" s="16" t="n"/>
      <c r="I755" s="16" t="n"/>
      <c r="J755" s="17" t="n"/>
      <c r="K755" s="17" t="n"/>
      <c r="L755" s="17" t="n"/>
      <c r="M755" s="16" t="n"/>
      <c r="N755" s="16" t="n"/>
      <c r="O755" s="18" t="n"/>
      <c r="P755" s="18" t="n"/>
      <c r="Q755" s="16" t="n"/>
    </row>
    <row r="756">
      <c r="E756" s="15" t="n"/>
      <c r="F756" s="15" t="n"/>
      <c r="G756" s="15" t="n"/>
      <c r="H756" s="16" t="n"/>
      <c r="I756" s="16" t="n"/>
      <c r="J756" s="17" t="n"/>
      <c r="K756" s="17" t="n"/>
      <c r="L756" s="17" t="n"/>
      <c r="M756" s="16" t="n"/>
      <c r="N756" s="16" t="n"/>
      <c r="O756" s="18" t="n"/>
      <c r="P756" s="18" t="n"/>
      <c r="Q756" s="16" t="n"/>
    </row>
    <row r="757">
      <c r="E757" s="15" t="n"/>
      <c r="F757" s="15" t="n"/>
      <c r="G757" s="15" t="n"/>
      <c r="H757" s="16" t="n"/>
      <c r="I757" s="16" t="n"/>
      <c r="J757" s="17" t="n"/>
      <c r="K757" s="17" t="n"/>
      <c r="L757" s="17" t="n"/>
      <c r="M757" s="16" t="n"/>
      <c r="N757" s="16" t="n"/>
      <c r="O757" s="18" t="n"/>
      <c r="P757" s="18" t="n"/>
      <c r="Q757" s="16" t="n"/>
    </row>
    <row r="758">
      <c r="E758" s="15" t="n"/>
      <c r="F758" s="15" t="n"/>
      <c r="G758" s="15" t="n"/>
      <c r="H758" s="16" t="n"/>
      <c r="I758" s="16" t="n"/>
      <c r="J758" s="17" t="n"/>
      <c r="K758" s="17" t="n"/>
      <c r="L758" s="17" t="n"/>
      <c r="M758" s="16" t="n"/>
      <c r="N758" s="16" t="n"/>
      <c r="O758" s="18" t="n"/>
      <c r="P758" s="18" t="n"/>
      <c r="Q758" s="16" t="n"/>
    </row>
    <row r="759">
      <c r="E759" s="15" t="n"/>
      <c r="F759" s="15" t="n"/>
      <c r="G759" s="15" t="n"/>
      <c r="H759" s="16" t="n"/>
      <c r="I759" s="16" t="n"/>
      <c r="J759" s="17" t="n"/>
      <c r="K759" s="17" t="n"/>
      <c r="L759" s="17" t="n"/>
      <c r="M759" s="16" t="n"/>
      <c r="N759" s="16" t="n"/>
      <c r="O759" s="18" t="n"/>
      <c r="P759" s="18" t="n"/>
      <c r="Q759" s="16" t="n"/>
    </row>
    <row r="760">
      <c r="E760" s="15" t="n"/>
      <c r="F760" s="15" t="n"/>
      <c r="G760" s="15" t="n"/>
      <c r="H760" s="16" t="n"/>
      <c r="I760" s="16" t="n"/>
      <c r="J760" s="17" t="n"/>
      <c r="K760" s="17" t="n"/>
      <c r="L760" s="17" t="n"/>
      <c r="M760" s="16" t="n"/>
      <c r="N760" s="16" t="n"/>
      <c r="O760" s="18" t="n"/>
      <c r="P760" s="18" t="n"/>
      <c r="Q760" s="16" t="n"/>
    </row>
    <row r="761">
      <c r="E761" s="15" t="n"/>
      <c r="F761" s="15" t="n"/>
      <c r="G761" s="15" t="n"/>
      <c r="H761" s="16" t="n"/>
      <c r="I761" s="16" t="n"/>
      <c r="J761" s="17" t="n"/>
      <c r="K761" s="17" t="n"/>
      <c r="L761" s="17" t="n"/>
      <c r="M761" s="16" t="n"/>
      <c r="N761" s="16" t="n"/>
      <c r="O761" s="18" t="n"/>
      <c r="P761" s="18" t="n"/>
      <c r="Q761" s="16" t="n"/>
    </row>
    <row r="762">
      <c r="E762" s="15" t="n"/>
      <c r="F762" s="15" t="n"/>
      <c r="G762" s="15" t="n"/>
      <c r="H762" s="16" t="n"/>
      <c r="I762" s="16" t="n"/>
      <c r="J762" s="17" t="n"/>
      <c r="K762" s="17" t="n"/>
      <c r="L762" s="17" t="n"/>
      <c r="M762" s="16" t="n"/>
      <c r="N762" s="16" t="n"/>
      <c r="O762" s="18" t="n"/>
      <c r="P762" s="18" t="n"/>
      <c r="Q762" s="16" t="n"/>
    </row>
    <row r="763">
      <c r="E763" s="15" t="n"/>
      <c r="F763" s="15" t="n"/>
      <c r="G763" s="15" t="n"/>
      <c r="H763" s="16" t="n"/>
      <c r="I763" s="16" t="n"/>
      <c r="J763" s="17" t="n"/>
      <c r="K763" s="17" t="n"/>
      <c r="L763" s="17" t="n"/>
      <c r="M763" s="16" t="n"/>
      <c r="N763" s="16" t="n"/>
      <c r="O763" s="18" t="n"/>
      <c r="P763" s="18" t="n"/>
      <c r="Q763" s="16" t="n"/>
    </row>
    <row r="764">
      <c r="E764" s="15" t="n"/>
      <c r="F764" s="15" t="n"/>
      <c r="G764" s="15" t="n"/>
      <c r="H764" s="16" t="n"/>
      <c r="I764" s="16" t="n"/>
      <c r="J764" s="17" t="n"/>
      <c r="K764" s="17" t="n"/>
      <c r="L764" s="17" t="n"/>
      <c r="M764" s="16" t="n"/>
      <c r="N764" s="16" t="n"/>
      <c r="O764" s="18" t="n"/>
      <c r="P764" s="18" t="n"/>
      <c r="Q764" s="16" t="n"/>
    </row>
    <row r="765">
      <c r="E765" s="15" t="n"/>
      <c r="F765" s="15" t="n"/>
      <c r="G765" s="15" t="n"/>
      <c r="H765" s="16" t="n"/>
      <c r="I765" s="16" t="n"/>
      <c r="J765" s="17" t="n"/>
      <c r="K765" s="17" t="n"/>
      <c r="L765" s="17" t="n"/>
      <c r="M765" s="16" t="n"/>
      <c r="N765" s="16" t="n"/>
      <c r="O765" s="18" t="n"/>
      <c r="P765" s="18" t="n"/>
      <c r="Q765" s="16" t="n"/>
    </row>
    <row r="766">
      <c r="E766" s="15" t="n"/>
      <c r="F766" s="15" t="n"/>
      <c r="G766" s="15" t="n"/>
      <c r="H766" s="16" t="n"/>
      <c r="I766" s="16" t="n"/>
      <c r="J766" s="17" t="n"/>
      <c r="K766" s="17" t="n"/>
      <c r="L766" s="17" t="n"/>
      <c r="M766" s="16" t="n"/>
      <c r="N766" s="16" t="n"/>
      <c r="O766" s="18" t="n"/>
      <c r="P766" s="18" t="n"/>
      <c r="Q766" s="16" t="n"/>
    </row>
    <row r="767">
      <c r="E767" s="15" t="n"/>
      <c r="F767" s="15" t="n"/>
      <c r="G767" s="15" t="n"/>
      <c r="H767" s="16" t="n"/>
      <c r="I767" s="16" t="n"/>
      <c r="J767" s="17" t="n"/>
      <c r="K767" s="17" t="n"/>
      <c r="L767" s="17" t="n"/>
      <c r="M767" s="16" t="n"/>
      <c r="N767" s="16" t="n"/>
      <c r="O767" s="18" t="n"/>
      <c r="P767" s="18" t="n"/>
      <c r="Q767" s="16" t="n"/>
    </row>
    <row r="768">
      <c r="E768" s="15" t="n"/>
      <c r="F768" s="15" t="n"/>
      <c r="G768" s="15" t="n"/>
      <c r="H768" s="16" t="n"/>
      <c r="I768" s="16" t="n"/>
      <c r="J768" s="17" t="n"/>
      <c r="K768" s="17" t="n"/>
      <c r="L768" s="17" t="n"/>
      <c r="M768" s="16" t="n"/>
      <c r="N768" s="16" t="n"/>
      <c r="O768" s="18" t="n"/>
      <c r="P768" s="18" t="n"/>
      <c r="Q768" s="16" t="n"/>
    </row>
    <row r="769">
      <c r="E769" s="15" t="n"/>
      <c r="F769" s="15" t="n"/>
      <c r="G769" s="15" t="n"/>
      <c r="H769" s="16" t="n"/>
      <c r="I769" s="16" t="n"/>
      <c r="J769" s="17" t="n"/>
      <c r="K769" s="17" t="n"/>
      <c r="L769" s="17" t="n"/>
      <c r="M769" s="16" t="n"/>
      <c r="N769" s="16" t="n"/>
      <c r="O769" s="18" t="n"/>
      <c r="P769" s="18" t="n"/>
      <c r="Q769" s="16" t="n"/>
    </row>
    <row r="770">
      <c r="E770" s="15" t="n"/>
      <c r="F770" s="15" t="n"/>
      <c r="G770" s="15" t="n"/>
      <c r="H770" s="16" t="n"/>
      <c r="I770" s="16" t="n"/>
      <c r="J770" s="17" t="n"/>
      <c r="K770" s="17" t="n"/>
      <c r="L770" s="17" t="n"/>
      <c r="M770" s="16" t="n"/>
      <c r="N770" s="16" t="n"/>
      <c r="O770" s="18" t="n"/>
      <c r="P770" s="18" t="n"/>
      <c r="Q770" s="16" t="n"/>
    </row>
    <row r="771">
      <c r="E771" s="15" t="n"/>
      <c r="F771" s="15" t="n"/>
      <c r="G771" s="15" t="n"/>
      <c r="H771" s="16" t="n"/>
      <c r="I771" s="16" t="n"/>
      <c r="J771" s="17" t="n"/>
      <c r="K771" s="17" t="n"/>
      <c r="L771" s="17" t="n"/>
      <c r="M771" s="16" t="n"/>
      <c r="N771" s="16" t="n"/>
      <c r="O771" s="18" t="n"/>
      <c r="P771" s="18" t="n"/>
      <c r="Q771" s="16" t="n"/>
    </row>
    <row r="772">
      <c r="E772" s="15" t="n"/>
      <c r="F772" s="15" t="n"/>
      <c r="G772" s="15" t="n"/>
      <c r="H772" s="16" t="n"/>
      <c r="I772" s="16" t="n"/>
      <c r="J772" s="17" t="n"/>
      <c r="K772" s="17" t="n"/>
      <c r="L772" s="17" t="n"/>
      <c r="M772" s="16" t="n"/>
      <c r="N772" s="16" t="n"/>
      <c r="O772" s="18" t="n"/>
      <c r="P772" s="18" t="n"/>
      <c r="Q772" s="16" t="n"/>
    </row>
    <row r="773">
      <c r="E773" s="15" t="n"/>
      <c r="F773" s="15" t="n"/>
      <c r="G773" s="15" t="n"/>
      <c r="H773" s="16" t="n"/>
      <c r="I773" s="16" t="n"/>
      <c r="J773" s="17" t="n"/>
      <c r="K773" s="17" t="n"/>
      <c r="L773" s="17" t="n"/>
      <c r="M773" s="16" t="n"/>
      <c r="N773" s="16" t="n"/>
      <c r="O773" s="18" t="n"/>
      <c r="P773" s="18" t="n"/>
      <c r="Q773" s="16" t="n"/>
    </row>
    <row r="774">
      <c r="E774" s="15" t="n"/>
      <c r="F774" s="15" t="n"/>
      <c r="G774" s="15" t="n"/>
      <c r="H774" s="16" t="n"/>
      <c r="I774" s="16" t="n"/>
      <c r="J774" s="17" t="n"/>
      <c r="K774" s="17" t="n"/>
      <c r="L774" s="17" t="n"/>
      <c r="M774" s="16" t="n"/>
      <c r="N774" s="16" t="n"/>
      <c r="O774" s="18" t="n"/>
      <c r="P774" s="18" t="n"/>
      <c r="Q774" s="16" t="n"/>
    </row>
    <row r="775">
      <c r="E775" s="15" t="n"/>
      <c r="F775" s="15" t="n"/>
      <c r="G775" s="15" t="n"/>
      <c r="H775" s="16" t="n"/>
      <c r="I775" s="16" t="n"/>
      <c r="J775" s="17" t="n"/>
      <c r="K775" s="17" t="n"/>
      <c r="L775" s="17" t="n"/>
      <c r="M775" s="16" t="n"/>
      <c r="N775" s="16" t="n"/>
      <c r="O775" s="18" t="n"/>
      <c r="P775" s="18" t="n"/>
      <c r="Q775" s="16" t="n"/>
    </row>
    <row r="776">
      <c r="E776" s="15" t="n"/>
      <c r="F776" s="15" t="n"/>
      <c r="G776" s="15" t="n"/>
      <c r="H776" s="16" t="n"/>
      <c r="I776" s="16" t="n"/>
      <c r="J776" s="17" t="n"/>
      <c r="K776" s="17" t="n"/>
      <c r="L776" s="17" t="n"/>
      <c r="M776" s="16" t="n"/>
      <c r="N776" s="16" t="n"/>
      <c r="O776" s="18" t="n"/>
      <c r="P776" s="18" t="n"/>
      <c r="Q776" s="16" t="n"/>
    </row>
    <row r="777">
      <c r="E777" s="15" t="n"/>
      <c r="F777" s="15" t="n"/>
      <c r="G777" s="15" t="n"/>
      <c r="H777" s="16" t="n"/>
      <c r="I777" s="16" t="n"/>
      <c r="J777" s="17" t="n"/>
      <c r="K777" s="17" t="n"/>
      <c r="L777" s="17" t="n"/>
      <c r="M777" s="16" t="n"/>
      <c r="N777" s="16" t="n"/>
      <c r="O777" s="18" t="n"/>
      <c r="P777" s="18" t="n"/>
      <c r="Q777" s="16" t="n"/>
    </row>
    <row r="778">
      <c r="E778" s="15" t="n"/>
      <c r="F778" s="15" t="n"/>
      <c r="G778" s="15" t="n"/>
      <c r="H778" s="16" t="n"/>
      <c r="I778" s="16" t="n"/>
      <c r="J778" s="17" t="n"/>
      <c r="K778" s="17" t="n"/>
      <c r="L778" s="17" t="n"/>
      <c r="M778" s="16" t="n"/>
      <c r="N778" s="16" t="n"/>
      <c r="O778" s="18" t="n"/>
      <c r="P778" s="18" t="n"/>
      <c r="Q778" s="16" t="n"/>
    </row>
    <row r="779">
      <c r="E779" s="15" t="n"/>
      <c r="F779" s="15" t="n"/>
      <c r="G779" s="15" t="n"/>
      <c r="H779" s="16" t="n"/>
      <c r="I779" s="16" t="n"/>
      <c r="J779" s="17" t="n"/>
      <c r="K779" s="17" t="n"/>
      <c r="L779" s="17" t="n"/>
      <c r="M779" s="16" t="n"/>
      <c r="N779" s="16" t="n"/>
      <c r="O779" s="18" t="n"/>
      <c r="P779" s="18" t="n"/>
      <c r="Q779" s="16" t="n"/>
    </row>
    <row r="780">
      <c r="E780" s="15" t="n"/>
      <c r="F780" s="15" t="n"/>
      <c r="G780" s="15" t="n"/>
      <c r="H780" s="16" t="n"/>
      <c r="I780" s="16" t="n"/>
      <c r="J780" s="17" t="n"/>
      <c r="K780" s="17" t="n"/>
      <c r="L780" s="17" t="n"/>
      <c r="M780" s="16" t="n"/>
      <c r="N780" s="16" t="n"/>
      <c r="O780" s="18" t="n"/>
      <c r="P780" s="18" t="n"/>
      <c r="Q780" s="16" t="n"/>
    </row>
    <row r="781">
      <c r="E781" s="15" t="n"/>
      <c r="F781" s="15" t="n"/>
      <c r="G781" s="15" t="n"/>
      <c r="H781" s="16" t="n"/>
      <c r="I781" s="16" t="n"/>
      <c r="J781" s="17" t="n"/>
      <c r="K781" s="17" t="n"/>
      <c r="L781" s="17" t="n"/>
      <c r="M781" s="16" t="n"/>
      <c r="N781" s="16" t="n"/>
      <c r="O781" s="18" t="n"/>
      <c r="P781" s="18" t="n"/>
      <c r="Q781" s="16" t="n"/>
    </row>
    <row r="782">
      <c r="E782" s="15" t="n"/>
      <c r="F782" s="15" t="n"/>
      <c r="G782" s="15" t="n"/>
      <c r="H782" s="16" t="n"/>
      <c r="I782" s="16" t="n"/>
      <c r="J782" s="17" t="n"/>
      <c r="K782" s="17" t="n"/>
      <c r="L782" s="17" t="n"/>
      <c r="M782" s="16" t="n"/>
      <c r="N782" s="16" t="n"/>
      <c r="O782" s="18" t="n"/>
      <c r="P782" s="18" t="n"/>
      <c r="Q782" s="16" t="n"/>
    </row>
    <row r="783">
      <c r="E783" s="15" t="n"/>
      <c r="F783" s="15" t="n"/>
      <c r="G783" s="15" t="n"/>
      <c r="H783" s="16" t="n"/>
      <c r="I783" s="16" t="n"/>
      <c r="J783" s="17" t="n"/>
      <c r="K783" s="17" t="n"/>
      <c r="L783" s="17" t="n"/>
      <c r="M783" s="16" t="n"/>
      <c r="N783" s="16" t="n"/>
      <c r="O783" s="18" t="n"/>
      <c r="P783" s="18" t="n"/>
      <c r="Q783" s="16" t="n"/>
    </row>
    <row r="784">
      <c r="E784" s="15" t="n"/>
      <c r="F784" s="15" t="n"/>
      <c r="G784" s="15" t="n"/>
      <c r="H784" s="16" t="n"/>
      <c r="I784" s="16" t="n"/>
      <c r="J784" s="17" t="n"/>
      <c r="K784" s="17" t="n"/>
      <c r="L784" s="17" t="n"/>
      <c r="M784" s="16" t="n"/>
      <c r="N784" s="16" t="n"/>
      <c r="O784" s="18" t="n"/>
      <c r="P784" s="18" t="n"/>
      <c r="Q784" s="16" t="n"/>
    </row>
    <row r="785">
      <c r="E785" s="15" t="n"/>
      <c r="F785" s="15" t="n"/>
      <c r="G785" s="15" t="n"/>
      <c r="H785" s="16" t="n"/>
      <c r="I785" s="16" t="n"/>
      <c r="J785" s="17" t="n"/>
      <c r="K785" s="17" t="n"/>
      <c r="L785" s="17" t="n"/>
      <c r="M785" s="16" t="n"/>
      <c r="N785" s="16" t="n"/>
      <c r="O785" s="18" t="n"/>
      <c r="P785" s="18" t="n"/>
      <c r="Q785" s="16" t="n"/>
    </row>
    <row r="786">
      <c r="E786" s="15" t="n"/>
      <c r="F786" s="15" t="n"/>
      <c r="G786" s="15" t="n"/>
      <c r="H786" s="16" t="n"/>
      <c r="I786" s="16" t="n"/>
      <c r="J786" s="17" t="n"/>
      <c r="K786" s="17" t="n"/>
      <c r="L786" s="17" t="n"/>
      <c r="M786" s="16" t="n"/>
      <c r="N786" s="16" t="n"/>
      <c r="O786" s="18" t="n"/>
      <c r="P786" s="18" t="n"/>
      <c r="Q786" s="16" t="n"/>
    </row>
    <row r="787">
      <c r="E787" s="15" t="n"/>
      <c r="F787" s="15" t="n"/>
      <c r="G787" s="15" t="n"/>
      <c r="H787" s="16" t="n"/>
      <c r="I787" s="16" t="n"/>
      <c r="J787" s="17" t="n"/>
      <c r="K787" s="17" t="n"/>
      <c r="L787" s="17" t="n"/>
      <c r="M787" s="16" t="n"/>
      <c r="N787" s="16" t="n"/>
      <c r="O787" s="18" t="n"/>
      <c r="P787" s="18" t="n"/>
      <c r="Q787" s="16" t="n"/>
    </row>
    <row r="788">
      <c r="E788" s="15" t="n"/>
      <c r="F788" s="15" t="n"/>
      <c r="G788" s="15" t="n"/>
      <c r="H788" s="16" t="n"/>
      <c r="I788" s="16" t="n"/>
      <c r="J788" s="17" t="n"/>
      <c r="K788" s="17" t="n"/>
      <c r="L788" s="17" t="n"/>
      <c r="M788" s="16" t="n"/>
      <c r="N788" s="16" t="n"/>
      <c r="O788" s="18" t="n"/>
      <c r="P788" s="18" t="n"/>
      <c r="Q788" s="16" t="n"/>
    </row>
    <row r="789">
      <c r="E789" s="15" t="n"/>
      <c r="F789" s="15" t="n"/>
      <c r="G789" s="15" t="n"/>
      <c r="H789" s="16" t="n"/>
      <c r="I789" s="16" t="n"/>
      <c r="J789" s="17" t="n"/>
      <c r="K789" s="17" t="n"/>
      <c r="L789" s="17" t="n"/>
      <c r="M789" s="16" t="n"/>
      <c r="N789" s="16" t="n"/>
      <c r="O789" s="18" t="n"/>
      <c r="P789" s="18" t="n"/>
      <c r="Q789" s="16" t="n"/>
    </row>
    <row r="790">
      <c r="E790" s="15" t="n"/>
      <c r="F790" s="15" t="n"/>
      <c r="G790" s="15" t="n"/>
      <c r="H790" s="16" t="n"/>
      <c r="I790" s="16" t="n"/>
      <c r="J790" s="17" t="n"/>
      <c r="K790" s="17" t="n"/>
      <c r="L790" s="17" t="n"/>
      <c r="M790" s="16" t="n"/>
      <c r="N790" s="16" t="n"/>
      <c r="O790" s="18" t="n"/>
      <c r="P790" s="18" t="n"/>
      <c r="Q790" s="16" t="n"/>
    </row>
    <row r="791">
      <c r="E791" s="15" t="n"/>
      <c r="F791" s="15" t="n"/>
      <c r="G791" s="15" t="n"/>
      <c r="H791" s="16" t="n"/>
      <c r="I791" s="16" t="n"/>
      <c r="J791" s="17" t="n"/>
      <c r="K791" s="17" t="n"/>
      <c r="L791" s="17" t="n"/>
      <c r="M791" s="16" t="n"/>
      <c r="N791" s="16" t="n"/>
      <c r="O791" s="18" t="n"/>
      <c r="P791" s="18" t="n"/>
      <c r="Q791" s="16" t="n"/>
    </row>
    <row r="792">
      <c r="E792" s="15" t="n"/>
      <c r="F792" s="15" t="n"/>
      <c r="G792" s="15" t="n"/>
      <c r="H792" s="16" t="n"/>
      <c r="I792" s="16" t="n"/>
      <c r="J792" s="17" t="n"/>
      <c r="K792" s="17" t="n"/>
      <c r="L792" s="17" t="n"/>
      <c r="M792" s="16" t="n"/>
      <c r="N792" s="16" t="n"/>
      <c r="O792" s="18" t="n"/>
      <c r="P792" s="18" t="n"/>
      <c r="Q792" s="16" t="n"/>
    </row>
    <row r="793">
      <c r="E793" s="15" t="n"/>
      <c r="F793" s="15" t="n"/>
      <c r="G793" s="15" t="n"/>
      <c r="H793" s="16" t="n"/>
      <c r="I793" s="16" t="n"/>
      <c r="J793" s="17" t="n"/>
      <c r="K793" s="17" t="n"/>
      <c r="L793" s="17" t="n"/>
      <c r="M793" s="16" t="n"/>
      <c r="N793" s="16" t="n"/>
      <c r="O793" s="18" t="n"/>
      <c r="P793" s="18" t="n"/>
      <c r="Q793" s="16" t="n"/>
    </row>
    <row r="794">
      <c r="E794" s="15" t="n"/>
      <c r="F794" s="15" t="n"/>
      <c r="G794" s="15" t="n"/>
      <c r="H794" s="16" t="n"/>
      <c r="I794" s="16" t="n"/>
      <c r="J794" s="17" t="n"/>
      <c r="K794" s="17" t="n"/>
      <c r="L794" s="17" t="n"/>
      <c r="M794" s="16" t="n"/>
      <c r="N794" s="16" t="n"/>
      <c r="O794" s="18" t="n"/>
      <c r="P794" s="18" t="n"/>
      <c r="Q794" s="16" t="n"/>
    </row>
    <row r="795">
      <c r="E795" s="15" t="n"/>
      <c r="F795" s="15" t="n"/>
      <c r="G795" s="15" t="n"/>
      <c r="H795" s="16" t="n"/>
      <c r="I795" s="16" t="n"/>
      <c r="J795" s="17" t="n"/>
      <c r="K795" s="17" t="n"/>
      <c r="L795" s="17" t="n"/>
      <c r="M795" s="16" t="n"/>
      <c r="N795" s="16" t="n"/>
      <c r="O795" s="18" t="n"/>
      <c r="P795" s="18" t="n"/>
      <c r="Q795" s="16" t="n"/>
    </row>
    <row r="796">
      <c r="E796" s="15" t="n"/>
      <c r="F796" s="15" t="n"/>
      <c r="G796" s="15" t="n"/>
      <c r="H796" s="16" t="n"/>
      <c r="I796" s="16" t="n"/>
      <c r="J796" s="17" t="n"/>
      <c r="K796" s="17" t="n"/>
      <c r="L796" s="17" t="n"/>
      <c r="M796" s="16" t="n"/>
      <c r="N796" s="16" t="n"/>
      <c r="O796" s="18" t="n"/>
      <c r="P796" s="18" t="n"/>
      <c r="Q796" s="16" t="n"/>
    </row>
    <row r="797">
      <c r="E797" s="15" t="n"/>
      <c r="F797" s="15" t="n"/>
      <c r="G797" s="15" t="n"/>
      <c r="H797" s="16" t="n"/>
      <c r="I797" s="16" t="n"/>
      <c r="J797" s="17" t="n"/>
      <c r="K797" s="17" t="n"/>
      <c r="L797" s="17" t="n"/>
      <c r="M797" s="16" t="n"/>
      <c r="N797" s="16" t="n"/>
      <c r="O797" s="18" t="n"/>
      <c r="P797" s="18" t="n"/>
      <c r="Q797" s="16" t="n"/>
    </row>
    <row r="798">
      <c r="E798" s="15" t="n"/>
      <c r="F798" s="15" t="n"/>
      <c r="G798" s="15" t="n"/>
      <c r="H798" s="16" t="n"/>
      <c r="I798" s="16" t="n"/>
      <c r="J798" s="17" t="n"/>
      <c r="K798" s="17" t="n"/>
      <c r="L798" s="17" t="n"/>
      <c r="M798" s="16" t="n"/>
      <c r="N798" s="16" t="n"/>
      <c r="O798" s="18" t="n"/>
      <c r="P798" s="18" t="n"/>
      <c r="Q798" s="16" t="n"/>
    </row>
    <row r="799">
      <c r="E799" s="15" t="n"/>
      <c r="F799" s="15" t="n"/>
      <c r="G799" s="15" t="n"/>
      <c r="H799" s="16" t="n"/>
      <c r="I799" s="16" t="n"/>
      <c r="J799" s="17" t="n"/>
      <c r="K799" s="17" t="n"/>
      <c r="L799" s="17" t="n"/>
      <c r="M799" s="16" t="n"/>
      <c r="N799" s="16" t="n"/>
      <c r="O799" s="18" t="n"/>
      <c r="P799" s="18" t="n"/>
      <c r="Q799" s="16" t="n"/>
    </row>
    <row r="800">
      <c r="E800" s="15" t="n"/>
      <c r="F800" s="15" t="n"/>
      <c r="G800" s="15" t="n"/>
      <c r="H800" s="16" t="n"/>
      <c r="I800" s="16" t="n"/>
      <c r="J800" s="17" t="n"/>
      <c r="K800" s="17" t="n"/>
      <c r="L800" s="17" t="n"/>
      <c r="M800" s="16" t="n"/>
      <c r="N800" s="16" t="n"/>
      <c r="O800" s="18" t="n"/>
      <c r="P800" s="18" t="n"/>
      <c r="Q800" s="16" t="n"/>
    </row>
    <row r="801">
      <c r="E801" s="15" t="n"/>
      <c r="F801" s="15" t="n"/>
      <c r="G801" s="15" t="n"/>
      <c r="H801" s="16" t="n"/>
      <c r="I801" s="16" t="n"/>
      <c r="J801" s="17" t="n"/>
      <c r="K801" s="17" t="n"/>
      <c r="L801" s="17" t="n"/>
      <c r="M801" s="16" t="n"/>
      <c r="N801" s="16" t="n"/>
      <c r="O801" s="18" t="n"/>
      <c r="P801" s="18" t="n"/>
      <c r="Q801" s="16" t="n"/>
    </row>
    <row r="802">
      <c r="E802" s="15" t="n"/>
      <c r="F802" s="15" t="n"/>
      <c r="G802" s="15" t="n"/>
      <c r="H802" s="16" t="n"/>
      <c r="I802" s="16" t="n"/>
      <c r="J802" s="17" t="n"/>
      <c r="K802" s="17" t="n"/>
      <c r="L802" s="17" t="n"/>
      <c r="M802" s="16" t="n"/>
      <c r="N802" s="16" t="n"/>
      <c r="O802" s="18" t="n"/>
      <c r="P802" s="18" t="n"/>
      <c r="Q802" s="16" t="n"/>
    </row>
    <row r="803">
      <c r="E803" s="15" t="n"/>
      <c r="F803" s="15" t="n"/>
      <c r="G803" s="15" t="n"/>
      <c r="H803" s="16" t="n"/>
      <c r="I803" s="16" t="n"/>
      <c r="J803" s="17" t="n"/>
      <c r="K803" s="17" t="n"/>
      <c r="L803" s="17" t="n"/>
      <c r="M803" s="16" t="n"/>
      <c r="N803" s="16" t="n"/>
      <c r="O803" s="18" t="n"/>
      <c r="P803" s="18" t="n"/>
      <c r="Q803" s="16" t="n"/>
    </row>
    <row r="804">
      <c r="E804" s="15" t="n"/>
      <c r="F804" s="15" t="n"/>
      <c r="G804" s="15" t="n"/>
      <c r="H804" s="16" t="n"/>
      <c r="I804" s="16" t="n"/>
      <c r="J804" s="17" t="n"/>
      <c r="K804" s="17" t="n"/>
      <c r="L804" s="17" t="n"/>
      <c r="M804" s="16" t="n"/>
      <c r="N804" s="16" t="n"/>
      <c r="O804" s="18" t="n"/>
      <c r="P804" s="18" t="n"/>
      <c r="Q804" s="16" t="n"/>
    </row>
    <row r="805">
      <c r="E805" s="15" t="n"/>
      <c r="F805" s="15" t="n"/>
      <c r="G805" s="15" t="n"/>
      <c r="H805" s="16" t="n"/>
      <c r="I805" s="16" t="n"/>
      <c r="J805" s="17" t="n"/>
      <c r="K805" s="17" t="n"/>
      <c r="L805" s="17" t="n"/>
      <c r="M805" s="16" t="n"/>
      <c r="N805" s="16" t="n"/>
      <c r="O805" s="18" t="n"/>
      <c r="P805" s="18" t="n"/>
      <c r="Q805" s="16" t="n"/>
    </row>
    <row r="806">
      <c r="E806" s="15" t="n"/>
      <c r="F806" s="15" t="n"/>
      <c r="G806" s="15" t="n"/>
      <c r="H806" s="16" t="n"/>
      <c r="I806" s="16" t="n"/>
      <c r="J806" s="17" t="n"/>
      <c r="K806" s="17" t="n"/>
      <c r="L806" s="17" t="n"/>
      <c r="M806" s="16" t="n"/>
      <c r="N806" s="16" t="n"/>
      <c r="O806" s="18" t="n"/>
      <c r="P806" s="18" t="n"/>
      <c r="Q806" s="16" t="n"/>
    </row>
    <row r="807">
      <c r="E807" s="15" t="n"/>
      <c r="F807" s="15" t="n"/>
      <c r="G807" s="15" t="n"/>
      <c r="H807" s="16" t="n"/>
      <c r="I807" s="16" t="n"/>
      <c r="J807" s="17" t="n"/>
      <c r="K807" s="17" t="n"/>
      <c r="L807" s="17" t="n"/>
      <c r="M807" s="16" t="n"/>
      <c r="N807" s="16" t="n"/>
      <c r="O807" s="18" t="n"/>
      <c r="P807" s="18" t="n"/>
      <c r="Q807" s="16" t="n"/>
    </row>
    <row r="808">
      <c r="E808" s="15" t="n"/>
      <c r="F808" s="15" t="n"/>
      <c r="G808" s="15" t="n"/>
      <c r="H808" s="16" t="n"/>
      <c r="I808" s="16" t="n"/>
      <c r="J808" s="17" t="n"/>
      <c r="K808" s="17" t="n"/>
      <c r="L808" s="17" t="n"/>
      <c r="M808" s="16" t="n"/>
      <c r="N808" s="16" t="n"/>
      <c r="O808" s="18" t="n"/>
      <c r="P808" s="18" t="n"/>
      <c r="Q808" s="16" t="n"/>
    </row>
    <row r="809">
      <c r="E809" s="15" t="n"/>
      <c r="F809" s="15" t="n"/>
      <c r="G809" s="15" t="n"/>
      <c r="H809" s="16" t="n"/>
      <c r="I809" s="16" t="n"/>
      <c r="J809" s="17" t="n"/>
      <c r="K809" s="17" t="n"/>
      <c r="L809" s="17" t="n"/>
      <c r="M809" s="16" t="n"/>
      <c r="N809" s="16" t="n"/>
      <c r="O809" s="18" t="n"/>
      <c r="P809" s="18" t="n"/>
      <c r="Q809" s="16" t="n"/>
    </row>
    <row r="810">
      <c r="E810" s="15" t="n"/>
      <c r="F810" s="15" t="n"/>
      <c r="G810" s="15" t="n"/>
      <c r="H810" s="16" t="n"/>
      <c r="I810" s="16" t="n"/>
      <c r="J810" s="17" t="n"/>
      <c r="K810" s="17" t="n"/>
      <c r="L810" s="17" t="n"/>
      <c r="M810" s="16" t="n"/>
      <c r="N810" s="16" t="n"/>
      <c r="O810" s="18" t="n"/>
      <c r="P810" s="18" t="n"/>
      <c r="Q810" s="16" t="n"/>
    </row>
    <row r="811">
      <c r="E811" s="15" t="n"/>
      <c r="F811" s="15" t="n"/>
      <c r="G811" s="15" t="n"/>
      <c r="H811" s="16" t="n"/>
      <c r="I811" s="16" t="n"/>
      <c r="J811" s="17" t="n"/>
      <c r="K811" s="17" t="n"/>
      <c r="L811" s="17" t="n"/>
      <c r="M811" s="16" t="n"/>
      <c r="N811" s="16" t="n"/>
      <c r="O811" s="18" t="n"/>
      <c r="P811" s="18" t="n"/>
      <c r="Q811" s="16" t="n"/>
    </row>
    <row r="812">
      <c r="E812" s="15" t="n"/>
      <c r="F812" s="15" t="n"/>
      <c r="G812" s="15" t="n"/>
      <c r="H812" s="16" t="n"/>
      <c r="I812" s="16" t="n"/>
      <c r="J812" s="17" t="n"/>
      <c r="K812" s="17" t="n"/>
      <c r="L812" s="17" t="n"/>
      <c r="M812" s="16" t="n"/>
      <c r="N812" s="16" t="n"/>
      <c r="O812" s="18" t="n"/>
      <c r="P812" s="18" t="n"/>
      <c r="Q812" s="16" t="n"/>
    </row>
    <row r="813">
      <c r="E813" s="15" t="n"/>
      <c r="F813" s="15" t="n"/>
      <c r="G813" s="15" t="n"/>
      <c r="H813" s="16" t="n"/>
      <c r="I813" s="16" t="n"/>
      <c r="J813" s="17" t="n"/>
      <c r="K813" s="17" t="n"/>
      <c r="L813" s="17" t="n"/>
      <c r="M813" s="16" t="n"/>
      <c r="N813" s="16" t="n"/>
      <c r="O813" s="18" t="n"/>
      <c r="P813" s="18" t="n"/>
      <c r="Q813" s="16" t="n"/>
    </row>
    <row r="814">
      <c r="E814" s="15" t="n"/>
      <c r="F814" s="15" t="n"/>
      <c r="G814" s="15" t="n"/>
      <c r="H814" s="16" t="n"/>
      <c r="I814" s="16" t="n"/>
      <c r="J814" s="17" t="n"/>
      <c r="K814" s="17" t="n"/>
      <c r="L814" s="17" t="n"/>
      <c r="M814" s="16" t="n"/>
      <c r="N814" s="16" t="n"/>
      <c r="O814" s="18" t="n"/>
      <c r="P814" s="18" t="n"/>
      <c r="Q814" s="16" t="n"/>
    </row>
    <row r="815">
      <c r="E815" s="15" t="n"/>
      <c r="F815" s="15" t="n"/>
      <c r="G815" s="15" t="n"/>
      <c r="H815" s="16" t="n"/>
      <c r="I815" s="16" t="n"/>
      <c r="J815" s="17" t="n"/>
      <c r="K815" s="17" t="n"/>
      <c r="L815" s="17" t="n"/>
      <c r="M815" s="16" t="n"/>
      <c r="N815" s="16" t="n"/>
      <c r="O815" s="18" t="n"/>
      <c r="P815" s="18" t="n"/>
      <c r="Q815" s="16" t="n"/>
    </row>
    <row r="816">
      <c r="E816" s="15" t="n"/>
      <c r="F816" s="15" t="n"/>
      <c r="G816" s="15" t="n"/>
      <c r="H816" s="16" t="n"/>
      <c r="I816" s="16" t="n"/>
      <c r="J816" s="17" t="n"/>
      <c r="K816" s="17" t="n"/>
      <c r="L816" s="17" t="n"/>
      <c r="M816" s="16" t="n"/>
      <c r="N816" s="16" t="n"/>
      <c r="O816" s="18" t="n"/>
      <c r="P816" s="18" t="n"/>
      <c r="Q816" s="16" t="n"/>
    </row>
    <row r="817">
      <c r="E817" s="15" t="n"/>
      <c r="F817" s="15" t="n"/>
      <c r="G817" s="15" t="n"/>
      <c r="H817" s="16" t="n"/>
      <c r="I817" s="16" t="n"/>
      <c r="J817" s="17" t="n"/>
      <c r="K817" s="17" t="n"/>
      <c r="L817" s="17" t="n"/>
      <c r="M817" s="16" t="n"/>
      <c r="N817" s="16" t="n"/>
      <c r="O817" s="18" t="n"/>
      <c r="P817" s="18" t="n"/>
      <c r="Q817" s="16" t="n"/>
    </row>
    <row r="818">
      <c r="E818" s="15" t="n"/>
      <c r="F818" s="15" t="n"/>
      <c r="G818" s="15" t="n"/>
      <c r="H818" s="16" t="n"/>
      <c r="I818" s="16" t="n"/>
      <c r="J818" s="17" t="n"/>
      <c r="K818" s="17" t="n"/>
      <c r="L818" s="17" t="n"/>
      <c r="M818" s="16" t="n"/>
      <c r="N818" s="16" t="n"/>
      <c r="O818" s="18" t="n"/>
      <c r="P818" s="18" t="n"/>
      <c r="Q818" s="16" t="n"/>
    </row>
    <row r="819">
      <c r="E819" s="15" t="n"/>
      <c r="F819" s="15" t="n"/>
      <c r="G819" s="15" t="n"/>
      <c r="H819" s="16" t="n"/>
      <c r="I819" s="16" t="n"/>
      <c r="J819" s="17" t="n"/>
      <c r="K819" s="17" t="n"/>
      <c r="L819" s="17" t="n"/>
      <c r="M819" s="16" t="n"/>
      <c r="N819" s="16" t="n"/>
      <c r="O819" s="18" t="n"/>
      <c r="P819" s="18" t="n"/>
      <c r="Q819" s="16" t="n"/>
    </row>
    <row r="820">
      <c r="E820" s="15" t="n"/>
      <c r="F820" s="15" t="n"/>
      <c r="G820" s="15" t="n"/>
      <c r="H820" s="16" t="n"/>
      <c r="I820" s="16" t="n"/>
      <c r="J820" s="17" t="n"/>
      <c r="K820" s="17" t="n"/>
      <c r="L820" s="17" t="n"/>
      <c r="M820" s="16" t="n"/>
      <c r="N820" s="16" t="n"/>
      <c r="O820" s="18" t="n"/>
      <c r="P820" s="18" t="n"/>
      <c r="Q820" s="16" t="n"/>
    </row>
    <row r="821">
      <c r="E821" s="15" t="n"/>
      <c r="F821" s="15" t="n"/>
      <c r="G821" s="15" t="n"/>
      <c r="H821" s="16" t="n"/>
      <c r="I821" s="16" t="n"/>
      <c r="J821" s="17" t="n"/>
      <c r="K821" s="17" t="n"/>
      <c r="L821" s="17" t="n"/>
      <c r="M821" s="16" t="n"/>
      <c r="N821" s="16" t="n"/>
      <c r="O821" s="18" t="n"/>
      <c r="P821" s="18" t="n"/>
      <c r="Q821" s="16" t="n"/>
    </row>
    <row r="822">
      <c r="E822" s="15" t="n"/>
      <c r="F822" s="15" t="n"/>
      <c r="G822" s="15" t="n"/>
      <c r="H822" s="16" t="n"/>
      <c r="I822" s="16" t="n"/>
      <c r="J822" s="17" t="n"/>
      <c r="K822" s="17" t="n"/>
      <c r="L822" s="17" t="n"/>
      <c r="M822" s="16" t="n"/>
      <c r="N822" s="16" t="n"/>
      <c r="O822" s="18" t="n"/>
      <c r="P822" s="18" t="n"/>
      <c r="Q822" s="16" t="n"/>
    </row>
    <row r="823">
      <c r="E823" s="15" t="n"/>
      <c r="F823" s="15" t="n"/>
      <c r="G823" s="15" t="n"/>
      <c r="H823" s="16" t="n"/>
      <c r="I823" s="16" t="n"/>
      <c r="J823" s="17" t="n"/>
      <c r="K823" s="17" t="n"/>
      <c r="L823" s="17" t="n"/>
      <c r="M823" s="16" t="n"/>
      <c r="N823" s="16" t="n"/>
      <c r="O823" s="18" t="n"/>
      <c r="P823" s="18" t="n"/>
      <c r="Q823" s="16" t="n"/>
    </row>
    <row r="824">
      <c r="E824" s="15" t="n"/>
      <c r="F824" s="15" t="n"/>
      <c r="G824" s="15" t="n"/>
      <c r="H824" s="16" t="n"/>
      <c r="I824" s="16" t="n"/>
      <c r="J824" s="17" t="n"/>
      <c r="K824" s="17" t="n"/>
      <c r="L824" s="17" t="n"/>
      <c r="M824" s="16" t="n"/>
      <c r="N824" s="16" t="n"/>
      <c r="O824" s="18" t="n"/>
      <c r="P824" s="18" t="n"/>
      <c r="Q824" s="16" t="n"/>
    </row>
    <row r="825">
      <c r="E825" s="15" t="n"/>
      <c r="F825" s="15" t="n"/>
      <c r="G825" s="15" t="n"/>
      <c r="H825" s="16" t="n"/>
      <c r="I825" s="16" t="n"/>
      <c r="J825" s="17" t="n"/>
      <c r="K825" s="17" t="n"/>
      <c r="L825" s="17" t="n"/>
      <c r="M825" s="16" t="n"/>
      <c r="N825" s="16" t="n"/>
      <c r="O825" s="18" t="n"/>
      <c r="P825" s="18" t="n"/>
      <c r="Q825" s="16" t="n"/>
    </row>
    <row r="826">
      <c r="E826" s="15" t="n"/>
      <c r="F826" s="15" t="n"/>
      <c r="G826" s="15" t="n"/>
      <c r="H826" s="16" t="n"/>
      <c r="I826" s="16" t="n"/>
      <c r="J826" s="17" t="n"/>
      <c r="K826" s="17" t="n"/>
      <c r="L826" s="17" t="n"/>
      <c r="M826" s="16" t="n"/>
      <c r="N826" s="16" t="n"/>
      <c r="O826" s="18" t="n"/>
      <c r="P826" s="18" t="n"/>
      <c r="Q826" s="16" t="n"/>
    </row>
    <row r="827">
      <c r="E827" s="15" t="n"/>
      <c r="F827" s="15" t="n"/>
      <c r="G827" s="15" t="n"/>
      <c r="H827" s="16" t="n"/>
      <c r="I827" s="16" t="n"/>
      <c r="J827" s="17" t="n"/>
      <c r="K827" s="17" t="n"/>
      <c r="L827" s="17" t="n"/>
      <c r="M827" s="16" t="n"/>
      <c r="N827" s="16" t="n"/>
      <c r="O827" s="18" t="n"/>
      <c r="P827" s="18" t="n"/>
      <c r="Q827" s="16" t="n"/>
    </row>
    <row r="828">
      <c r="E828" s="15" t="n"/>
      <c r="F828" s="15" t="n"/>
      <c r="G828" s="15" t="n"/>
      <c r="H828" s="16" t="n"/>
      <c r="I828" s="16" t="n"/>
      <c r="J828" s="17" t="n"/>
      <c r="K828" s="17" t="n"/>
      <c r="L828" s="17" t="n"/>
      <c r="M828" s="16" t="n"/>
      <c r="N828" s="16" t="n"/>
      <c r="O828" s="18" t="n"/>
      <c r="P828" s="18" t="n"/>
      <c r="Q828" s="16" t="n"/>
    </row>
    <row r="829">
      <c r="E829" s="15" t="n"/>
      <c r="F829" s="15" t="n"/>
      <c r="G829" s="15" t="n"/>
      <c r="H829" s="16" t="n"/>
      <c r="I829" s="16" t="n"/>
      <c r="J829" s="17" t="n"/>
      <c r="K829" s="17" t="n"/>
      <c r="L829" s="17" t="n"/>
      <c r="M829" s="16" t="n"/>
      <c r="N829" s="16" t="n"/>
      <c r="O829" s="18" t="n"/>
      <c r="P829" s="18" t="n"/>
      <c r="Q829" s="16" t="n"/>
    </row>
    <row r="830">
      <c r="E830" s="15" t="n"/>
      <c r="F830" s="15" t="n"/>
      <c r="G830" s="15" t="n"/>
      <c r="H830" s="16" t="n"/>
      <c r="I830" s="16" t="n"/>
      <c r="J830" s="17" t="n"/>
      <c r="K830" s="17" t="n"/>
      <c r="L830" s="17" t="n"/>
      <c r="M830" s="16" t="n"/>
      <c r="N830" s="16" t="n"/>
      <c r="O830" s="18" t="n"/>
      <c r="P830" s="18" t="n"/>
      <c r="Q830" s="16" t="n"/>
    </row>
    <row r="831">
      <c r="E831" s="15" t="n"/>
      <c r="F831" s="15" t="n"/>
      <c r="G831" s="15" t="n"/>
      <c r="H831" s="16" t="n"/>
      <c r="I831" s="16" t="n"/>
      <c r="J831" s="17" t="n"/>
      <c r="K831" s="17" t="n"/>
      <c r="L831" s="17" t="n"/>
      <c r="M831" s="16" t="n"/>
      <c r="N831" s="16" t="n"/>
      <c r="O831" s="18" t="n"/>
      <c r="P831" s="18" t="n"/>
      <c r="Q831" s="16" t="n"/>
    </row>
    <row r="832">
      <c r="E832" s="15" t="n"/>
      <c r="F832" s="15" t="n"/>
      <c r="G832" s="15" t="n"/>
      <c r="H832" s="16" t="n"/>
      <c r="I832" s="16" t="n"/>
      <c r="J832" s="17" t="n"/>
      <c r="K832" s="17" t="n"/>
      <c r="L832" s="17" t="n"/>
      <c r="M832" s="16" t="n"/>
      <c r="N832" s="16" t="n"/>
      <c r="O832" s="18" t="n"/>
      <c r="P832" s="18" t="n"/>
      <c r="Q832" s="16" t="n"/>
    </row>
    <row r="833">
      <c r="E833" s="15" t="n"/>
      <c r="F833" s="15" t="n"/>
      <c r="G833" s="15" t="n"/>
      <c r="H833" s="16" t="n"/>
      <c r="I833" s="16" t="n"/>
      <c r="J833" s="17" t="n"/>
      <c r="K833" s="17" t="n"/>
      <c r="L833" s="17" t="n"/>
      <c r="M833" s="16" t="n"/>
      <c r="N833" s="16" t="n"/>
      <c r="O833" s="18" t="n"/>
      <c r="P833" s="18" t="n"/>
      <c r="Q833" s="16" t="n"/>
    </row>
    <row r="834">
      <c r="E834" s="15" t="n"/>
      <c r="F834" s="15" t="n"/>
      <c r="G834" s="15" t="n"/>
      <c r="H834" s="16" t="n"/>
      <c r="I834" s="16" t="n"/>
      <c r="J834" s="17" t="n"/>
      <c r="K834" s="17" t="n"/>
      <c r="L834" s="17" t="n"/>
      <c r="M834" s="16" t="n"/>
      <c r="N834" s="16" t="n"/>
      <c r="O834" s="18" t="n"/>
      <c r="P834" s="18" t="n"/>
      <c r="Q834" s="16" t="n"/>
    </row>
    <row r="835">
      <c r="E835" s="15" t="n"/>
      <c r="F835" s="15" t="n"/>
      <c r="G835" s="15" t="n"/>
      <c r="H835" s="16" t="n"/>
      <c r="I835" s="16" t="n"/>
      <c r="J835" s="17" t="n"/>
      <c r="K835" s="17" t="n"/>
      <c r="L835" s="17" t="n"/>
      <c r="M835" s="16" t="n"/>
      <c r="N835" s="16" t="n"/>
      <c r="O835" s="18" t="n"/>
      <c r="P835" s="18" t="n"/>
      <c r="Q835" s="16" t="n"/>
    </row>
    <row r="836">
      <c r="E836" s="15" t="n"/>
      <c r="F836" s="15" t="n"/>
      <c r="G836" s="15" t="n"/>
      <c r="H836" s="16" t="n"/>
      <c r="I836" s="16" t="n"/>
      <c r="J836" s="17" t="n"/>
      <c r="K836" s="17" t="n"/>
      <c r="L836" s="17" t="n"/>
      <c r="M836" s="16" t="n"/>
      <c r="N836" s="16" t="n"/>
      <c r="O836" s="18" t="n"/>
      <c r="P836" s="18" t="n"/>
      <c r="Q836" s="16" t="n"/>
    </row>
    <row r="837">
      <c r="E837" s="15" t="n"/>
      <c r="F837" s="15" t="n"/>
      <c r="G837" s="15" t="n"/>
      <c r="H837" s="16" t="n"/>
      <c r="I837" s="16" t="n"/>
      <c r="J837" s="17" t="n"/>
      <c r="K837" s="17" t="n"/>
      <c r="L837" s="17" t="n"/>
      <c r="M837" s="16" t="n"/>
      <c r="N837" s="16" t="n"/>
      <c r="O837" s="18" t="n"/>
      <c r="P837" s="18" t="n"/>
      <c r="Q837" s="16" t="n"/>
    </row>
    <row r="838">
      <c r="E838" s="15" t="n"/>
      <c r="F838" s="15" t="n"/>
      <c r="G838" s="15" t="n"/>
      <c r="H838" s="16" t="n"/>
      <c r="I838" s="16" t="n"/>
      <c r="J838" s="17" t="n"/>
      <c r="K838" s="17" t="n"/>
      <c r="L838" s="17" t="n"/>
      <c r="M838" s="16" t="n"/>
      <c r="N838" s="16" t="n"/>
      <c r="O838" s="18" t="n"/>
      <c r="P838" s="18" t="n"/>
      <c r="Q838" s="16" t="n"/>
    </row>
    <row r="839">
      <c r="E839" s="15" t="n"/>
      <c r="F839" s="15" t="n"/>
      <c r="G839" s="15" t="n"/>
      <c r="H839" s="16" t="n"/>
      <c r="I839" s="16" t="n"/>
      <c r="J839" s="17" t="n"/>
      <c r="K839" s="17" t="n"/>
      <c r="L839" s="17" t="n"/>
      <c r="M839" s="16" t="n"/>
      <c r="N839" s="16" t="n"/>
      <c r="O839" s="18" t="n"/>
      <c r="P839" s="18" t="n"/>
      <c r="Q839" s="16" t="n"/>
    </row>
    <row r="840">
      <c r="E840" s="15" t="n"/>
      <c r="F840" s="15" t="n"/>
      <c r="G840" s="15" t="n"/>
      <c r="H840" s="16" t="n"/>
      <c r="I840" s="16" t="n"/>
      <c r="J840" s="17" t="n"/>
      <c r="K840" s="17" t="n"/>
      <c r="L840" s="17" t="n"/>
      <c r="M840" s="16" t="n"/>
      <c r="N840" s="16" t="n"/>
      <c r="O840" s="18" t="n"/>
      <c r="P840" s="18" t="n"/>
      <c r="Q840" s="16" t="n"/>
    </row>
    <row r="841">
      <c r="E841" s="15" t="n"/>
      <c r="F841" s="15" t="n"/>
      <c r="G841" s="15" t="n"/>
      <c r="H841" s="16" t="n"/>
      <c r="I841" s="16" t="n"/>
      <c r="J841" s="17" t="n"/>
      <c r="K841" s="17" t="n"/>
      <c r="L841" s="17" t="n"/>
      <c r="M841" s="16" t="n"/>
      <c r="N841" s="16" t="n"/>
      <c r="O841" s="18" t="n"/>
      <c r="P841" s="18" t="n"/>
      <c r="Q841" s="16" t="n"/>
    </row>
    <row r="842">
      <c r="E842" s="15" t="n"/>
      <c r="F842" s="15" t="n"/>
      <c r="G842" s="15" t="n"/>
      <c r="H842" s="16" t="n"/>
      <c r="I842" s="16" t="n"/>
      <c r="J842" s="17" t="n"/>
      <c r="K842" s="17" t="n"/>
      <c r="L842" s="17" t="n"/>
      <c r="M842" s="16" t="n"/>
      <c r="N842" s="16" t="n"/>
      <c r="O842" s="18" t="n"/>
      <c r="P842" s="18" t="n"/>
      <c r="Q842" s="16" t="n"/>
    </row>
    <row r="843">
      <c r="E843" s="15" t="n"/>
      <c r="F843" s="15" t="n"/>
      <c r="G843" s="15" t="n"/>
      <c r="H843" s="16" t="n"/>
      <c r="I843" s="16" t="n"/>
      <c r="J843" s="17" t="n"/>
      <c r="K843" s="17" t="n"/>
      <c r="L843" s="17" t="n"/>
      <c r="M843" s="16" t="n"/>
      <c r="N843" s="16" t="n"/>
      <c r="O843" s="18" t="n"/>
      <c r="P843" s="18" t="n"/>
      <c r="Q843" s="16" t="n"/>
    </row>
    <row r="844">
      <c r="E844" s="15" t="n"/>
      <c r="F844" s="15" t="n"/>
      <c r="G844" s="15" t="n"/>
      <c r="H844" s="16" t="n"/>
      <c r="I844" s="16" t="n"/>
      <c r="J844" s="17" t="n"/>
      <c r="K844" s="17" t="n"/>
      <c r="L844" s="17" t="n"/>
      <c r="M844" s="16" t="n"/>
      <c r="N844" s="16" t="n"/>
      <c r="O844" s="18" t="n"/>
      <c r="P844" s="18" t="n"/>
      <c r="Q844" s="16" t="n"/>
    </row>
    <row r="845">
      <c r="E845" s="15" t="n"/>
      <c r="F845" s="15" t="n"/>
      <c r="G845" s="15" t="n"/>
      <c r="H845" s="16" t="n"/>
      <c r="I845" s="16" t="n"/>
      <c r="J845" s="17" t="n"/>
      <c r="K845" s="17" t="n"/>
      <c r="L845" s="17" t="n"/>
      <c r="M845" s="16" t="n"/>
      <c r="N845" s="16" t="n"/>
      <c r="O845" s="18" t="n"/>
      <c r="P845" s="18" t="n"/>
      <c r="Q845" s="16" t="n"/>
    </row>
    <row r="846">
      <c r="E846" s="15" t="n"/>
      <c r="F846" s="15" t="n"/>
      <c r="G846" s="15" t="n"/>
      <c r="H846" s="16" t="n"/>
      <c r="I846" s="16" t="n"/>
      <c r="J846" s="17" t="n"/>
      <c r="K846" s="17" t="n"/>
      <c r="L846" s="17" t="n"/>
      <c r="M846" s="16" t="n"/>
      <c r="N846" s="16" t="n"/>
      <c r="O846" s="18" t="n"/>
      <c r="P846" s="18" t="n"/>
      <c r="Q846" s="16" t="n"/>
    </row>
    <row r="847">
      <c r="E847" s="15" t="n"/>
      <c r="F847" s="15" t="n"/>
      <c r="G847" s="15" t="n"/>
      <c r="H847" s="16" t="n"/>
      <c r="I847" s="16" t="n"/>
      <c r="J847" s="17" t="n"/>
      <c r="K847" s="17" t="n"/>
      <c r="L847" s="17" t="n"/>
      <c r="M847" s="16" t="n"/>
      <c r="N847" s="16" t="n"/>
      <c r="O847" s="18" t="n"/>
      <c r="P847" s="18" t="n"/>
      <c r="Q847" s="16" t="n"/>
    </row>
    <row r="848">
      <c r="E848" s="15" t="n"/>
      <c r="F848" s="15" t="n"/>
      <c r="G848" s="15" t="n"/>
      <c r="H848" s="16" t="n"/>
      <c r="I848" s="16" t="n"/>
      <c r="J848" s="17" t="n"/>
      <c r="K848" s="17" t="n"/>
      <c r="L848" s="17" t="n"/>
      <c r="M848" s="16" t="n"/>
      <c r="N848" s="16" t="n"/>
      <c r="O848" s="18" t="n"/>
      <c r="P848" s="18" t="n"/>
      <c r="Q848" s="16" t="n"/>
    </row>
    <row r="849">
      <c r="E849" s="15" t="n"/>
      <c r="F849" s="15" t="n"/>
      <c r="G849" s="15" t="n"/>
      <c r="H849" s="16" t="n"/>
      <c r="I849" s="16" t="n"/>
      <c r="J849" s="17" t="n"/>
      <c r="K849" s="17" t="n"/>
      <c r="L849" s="17" t="n"/>
      <c r="M849" s="16" t="n"/>
      <c r="N849" s="16" t="n"/>
      <c r="O849" s="18" t="n"/>
      <c r="P849" s="18" t="n"/>
      <c r="Q849" s="16" t="n"/>
    </row>
    <row r="850">
      <c r="E850" s="15" t="n"/>
      <c r="F850" s="15" t="n"/>
      <c r="G850" s="15" t="n"/>
      <c r="H850" s="16" t="n"/>
      <c r="I850" s="16" t="n"/>
      <c r="J850" s="17" t="n"/>
      <c r="K850" s="17" t="n"/>
      <c r="L850" s="17" t="n"/>
      <c r="M850" s="16" t="n"/>
      <c r="N850" s="16" t="n"/>
      <c r="O850" s="18" t="n"/>
      <c r="P850" s="18" t="n"/>
      <c r="Q850" s="16" t="n"/>
    </row>
    <row r="851">
      <c r="E851" s="15" t="n"/>
      <c r="F851" s="15" t="n"/>
      <c r="G851" s="15" t="n"/>
      <c r="H851" s="16" t="n"/>
      <c r="I851" s="16" t="n"/>
      <c r="J851" s="17" t="n"/>
      <c r="K851" s="17" t="n"/>
      <c r="L851" s="17" t="n"/>
      <c r="M851" s="16" t="n"/>
      <c r="N851" s="16" t="n"/>
      <c r="O851" s="18" t="n"/>
      <c r="P851" s="18" t="n"/>
      <c r="Q851" s="16" t="n"/>
    </row>
    <row r="852">
      <c r="E852" s="15" t="n"/>
      <c r="F852" s="15" t="n"/>
      <c r="G852" s="15" t="n"/>
      <c r="H852" s="16" t="n"/>
      <c r="I852" s="16" t="n"/>
      <c r="J852" s="17" t="n"/>
      <c r="K852" s="17" t="n"/>
      <c r="L852" s="17" t="n"/>
      <c r="M852" s="16" t="n"/>
      <c r="N852" s="16" t="n"/>
      <c r="O852" s="18" t="n"/>
      <c r="P852" s="18" t="n"/>
      <c r="Q852" s="16" t="n"/>
    </row>
    <row r="853">
      <c r="E853" s="15" t="n"/>
      <c r="F853" s="15" t="n"/>
      <c r="G853" s="15" t="n"/>
      <c r="H853" s="16" t="n"/>
      <c r="I853" s="16" t="n"/>
      <c r="J853" s="17" t="n"/>
      <c r="K853" s="17" t="n"/>
      <c r="L853" s="17" t="n"/>
      <c r="M853" s="16" t="n"/>
      <c r="N853" s="16" t="n"/>
      <c r="O853" s="18" t="n"/>
      <c r="P853" s="18" t="n"/>
      <c r="Q853" s="16" t="n"/>
    </row>
    <row r="854">
      <c r="E854" s="15" t="n"/>
      <c r="F854" s="15" t="n"/>
      <c r="G854" s="15" t="n"/>
      <c r="H854" s="16" t="n"/>
      <c r="I854" s="16" t="n"/>
      <c r="J854" s="17" t="n"/>
      <c r="K854" s="17" t="n"/>
      <c r="L854" s="17" t="n"/>
      <c r="M854" s="16" t="n"/>
      <c r="N854" s="16" t="n"/>
      <c r="O854" s="18" t="n"/>
      <c r="P854" s="18" t="n"/>
      <c r="Q854" s="16" t="n"/>
    </row>
    <row r="855">
      <c r="E855" s="15" t="n"/>
      <c r="F855" s="15" t="n"/>
      <c r="G855" s="15" t="n"/>
      <c r="H855" s="16" t="n"/>
      <c r="I855" s="16" t="n"/>
      <c r="J855" s="17" t="n"/>
      <c r="K855" s="17" t="n"/>
      <c r="L855" s="17" t="n"/>
      <c r="M855" s="16" t="n"/>
      <c r="N855" s="16" t="n"/>
      <c r="O855" s="18" t="n"/>
      <c r="P855" s="18" t="n"/>
      <c r="Q855" s="16" t="n"/>
    </row>
    <row r="856">
      <c r="E856" s="15" t="n"/>
      <c r="F856" s="15" t="n"/>
      <c r="G856" s="15" t="n"/>
      <c r="H856" s="16" t="n"/>
      <c r="I856" s="16" t="n"/>
      <c r="J856" s="17" t="n"/>
      <c r="K856" s="17" t="n"/>
      <c r="L856" s="17" t="n"/>
      <c r="M856" s="16" t="n"/>
      <c r="N856" s="16" t="n"/>
      <c r="O856" s="18" t="n"/>
      <c r="P856" s="18" t="n"/>
      <c r="Q856" s="16" t="n"/>
    </row>
    <row r="857">
      <c r="E857" s="15" t="n"/>
      <c r="F857" s="15" t="n"/>
      <c r="G857" s="15" t="n"/>
      <c r="H857" s="16" t="n"/>
      <c r="I857" s="16" t="n"/>
      <c r="J857" s="17" t="n"/>
      <c r="K857" s="17" t="n"/>
      <c r="L857" s="17" t="n"/>
      <c r="M857" s="16" t="n"/>
      <c r="N857" s="16" t="n"/>
      <c r="O857" s="18" t="n"/>
      <c r="P857" s="18" t="n"/>
      <c r="Q857" s="16" t="n"/>
    </row>
    <row r="858">
      <c r="E858" s="15" t="n"/>
      <c r="F858" s="15" t="n"/>
      <c r="G858" s="15" t="n"/>
      <c r="H858" s="16" t="n"/>
      <c r="I858" s="16" t="n"/>
      <c r="J858" s="17" t="n"/>
      <c r="K858" s="17" t="n"/>
      <c r="L858" s="17" t="n"/>
      <c r="M858" s="16" t="n"/>
      <c r="N858" s="16" t="n"/>
      <c r="O858" s="18" t="n"/>
      <c r="P858" s="18" t="n"/>
      <c r="Q858" s="16" t="n"/>
    </row>
    <row r="859">
      <c r="E859" s="15" t="n"/>
      <c r="F859" s="15" t="n"/>
      <c r="G859" s="15" t="n"/>
      <c r="H859" s="16" t="n"/>
      <c r="I859" s="16" t="n"/>
      <c r="J859" s="17" t="n"/>
      <c r="K859" s="17" t="n"/>
      <c r="L859" s="17" t="n"/>
      <c r="M859" s="16" t="n"/>
      <c r="N859" s="16" t="n"/>
      <c r="O859" s="18" t="n"/>
      <c r="P859" s="18" t="n"/>
      <c r="Q859" s="16" t="n"/>
    </row>
    <row r="860">
      <c r="E860" s="15" t="n"/>
      <c r="F860" s="15" t="n"/>
      <c r="G860" s="15" t="n"/>
      <c r="H860" s="16" t="n"/>
      <c r="I860" s="16" t="n"/>
      <c r="J860" s="17" t="n"/>
      <c r="K860" s="17" t="n"/>
      <c r="L860" s="17" t="n"/>
      <c r="M860" s="16" t="n"/>
      <c r="N860" s="16" t="n"/>
      <c r="O860" s="18" t="n"/>
      <c r="P860" s="18" t="n"/>
      <c r="Q860" s="16" t="n"/>
    </row>
    <row r="861">
      <c r="E861" s="15" t="n"/>
      <c r="F861" s="15" t="n"/>
      <c r="G861" s="15" t="n"/>
      <c r="H861" s="16" t="n"/>
      <c r="I861" s="16" t="n"/>
      <c r="J861" s="17" t="n"/>
      <c r="K861" s="17" t="n"/>
      <c r="L861" s="17" t="n"/>
      <c r="M861" s="16" t="n"/>
      <c r="N861" s="16" t="n"/>
      <c r="O861" s="18" t="n"/>
      <c r="P861" s="18" t="n"/>
      <c r="Q861" s="16" t="n"/>
    </row>
    <row r="862">
      <c r="E862" s="15" t="n"/>
      <c r="F862" s="15" t="n"/>
      <c r="G862" s="15" t="n"/>
      <c r="H862" s="16" t="n"/>
      <c r="I862" s="16" t="n"/>
      <c r="J862" s="17" t="n"/>
      <c r="K862" s="17" t="n"/>
      <c r="L862" s="17" t="n"/>
      <c r="M862" s="16" t="n"/>
      <c r="N862" s="16" t="n"/>
      <c r="O862" s="18" t="n"/>
      <c r="P862" s="18" t="n"/>
      <c r="Q862" s="16" t="n"/>
    </row>
    <row r="863">
      <c r="E863" s="15" t="n"/>
      <c r="F863" s="15" t="n"/>
      <c r="G863" s="15" t="n"/>
      <c r="H863" s="16" t="n"/>
      <c r="I863" s="16" t="n"/>
      <c r="J863" s="17" t="n"/>
      <c r="K863" s="17" t="n"/>
      <c r="L863" s="17" t="n"/>
      <c r="M863" s="16" t="n"/>
      <c r="N863" s="16" t="n"/>
      <c r="O863" s="18" t="n"/>
      <c r="P863" s="18" t="n"/>
      <c r="Q863" s="16" t="n"/>
    </row>
    <row r="864">
      <c r="E864" s="15" t="n"/>
      <c r="F864" s="15" t="n"/>
      <c r="G864" s="15" t="n"/>
      <c r="H864" s="16" t="n"/>
      <c r="I864" s="16" t="n"/>
      <c r="J864" s="17" t="n"/>
      <c r="K864" s="17" t="n"/>
      <c r="L864" s="17" t="n"/>
      <c r="M864" s="16" t="n"/>
      <c r="N864" s="16" t="n"/>
      <c r="O864" s="18" t="n"/>
      <c r="P864" s="18" t="n"/>
      <c r="Q864" s="16" t="n"/>
    </row>
    <row r="865">
      <c r="E865" s="15" t="n"/>
      <c r="F865" s="15" t="n"/>
      <c r="G865" s="15" t="n"/>
      <c r="H865" s="16" t="n"/>
      <c r="I865" s="16" t="n"/>
      <c r="J865" s="17" t="n"/>
      <c r="K865" s="17" t="n"/>
      <c r="L865" s="17" t="n"/>
      <c r="M865" s="16" t="n"/>
      <c r="N865" s="16" t="n"/>
      <c r="O865" s="18" t="n"/>
      <c r="P865" s="18" t="n"/>
      <c r="Q865" s="16" t="n"/>
    </row>
    <row r="866">
      <c r="E866" s="15" t="n"/>
      <c r="F866" s="15" t="n"/>
      <c r="G866" s="15" t="n"/>
      <c r="H866" s="16" t="n"/>
      <c r="I866" s="16" t="n"/>
      <c r="J866" s="17" t="n"/>
      <c r="K866" s="17" t="n"/>
      <c r="L866" s="17" t="n"/>
      <c r="M866" s="16" t="n"/>
      <c r="N866" s="16" t="n"/>
      <c r="O866" s="18" t="n"/>
      <c r="P866" s="18" t="n"/>
      <c r="Q866" s="16" t="n"/>
    </row>
    <row r="867">
      <c r="E867" s="15" t="n"/>
      <c r="F867" s="15" t="n"/>
      <c r="G867" s="15" t="n"/>
      <c r="H867" s="16" t="n"/>
      <c r="I867" s="16" t="n"/>
      <c r="J867" s="17" t="n"/>
      <c r="K867" s="17" t="n"/>
      <c r="L867" s="17" t="n"/>
      <c r="M867" s="16" t="n"/>
      <c r="N867" s="16" t="n"/>
      <c r="O867" s="18" t="n"/>
      <c r="P867" s="18" t="n"/>
      <c r="Q867" s="16" t="n"/>
    </row>
    <row r="868">
      <c r="E868" s="15" t="n"/>
      <c r="F868" s="15" t="n"/>
      <c r="G868" s="15" t="n"/>
      <c r="H868" s="16" t="n"/>
      <c r="I868" s="16" t="n"/>
      <c r="J868" s="17" t="n"/>
      <c r="K868" s="17" t="n"/>
      <c r="L868" s="17" t="n"/>
      <c r="M868" s="16" t="n"/>
      <c r="N868" s="16" t="n"/>
      <c r="O868" s="18" t="n"/>
      <c r="P868" s="18" t="n"/>
      <c r="Q868" s="16" t="n"/>
    </row>
    <row r="869">
      <c r="E869" s="15" t="n"/>
      <c r="F869" s="15" t="n"/>
      <c r="G869" s="15" t="n"/>
      <c r="H869" s="16" t="n"/>
      <c r="I869" s="16" t="n"/>
      <c r="J869" s="17" t="n"/>
      <c r="K869" s="17" t="n"/>
      <c r="L869" s="17" t="n"/>
      <c r="M869" s="16" t="n"/>
      <c r="N869" s="16" t="n"/>
      <c r="O869" s="18" t="n"/>
      <c r="P869" s="18" t="n"/>
      <c r="Q869" s="16" t="n"/>
    </row>
    <row r="870">
      <c r="E870" s="15" t="n"/>
      <c r="F870" s="15" t="n"/>
      <c r="G870" s="15" t="n"/>
      <c r="H870" s="16" t="n"/>
      <c r="I870" s="16" t="n"/>
      <c r="J870" s="17" t="n"/>
      <c r="K870" s="17" t="n"/>
      <c r="L870" s="17" t="n"/>
      <c r="M870" s="16" t="n"/>
      <c r="N870" s="16" t="n"/>
      <c r="O870" s="18" t="n"/>
      <c r="P870" s="18" t="n"/>
      <c r="Q870" s="16" t="n"/>
    </row>
    <row r="871">
      <c r="E871" s="15" t="n"/>
      <c r="F871" s="15" t="n"/>
      <c r="G871" s="15" t="n"/>
      <c r="H871" s="16" t="n"/>
      <c r="I871" s="16" t="n"/>
      <c r="J871" s="17" t="n"/>
      <c r="K871" s="17" t="n"/>
      <c r="L871" s="17" t="n"/>
      <c r="M871" s="16" t="n"/>
      <c r="N871" s="16" t="n"/>
      <c r="O871" s="18" t="n"/>
      <c r="P871" s="18" t="n"/>
      <c r="Q871" s="16" t="n"/>
    </row>
    <row r="872">
      <c r="E872" s="15" t="n"/>
      <c r="F872" s="15" t="n"/>
      <c r="G872" s="15" t="n"/>
      <c r="H872" s="16" t="n"/>
      <c r="I872" s="16" t="n"/>
      <c r="J872" s="17" t="n"/>
      <c r="K872" s="17" t="n"/>
      <c r="L872" s="17" t="n"/>
      <c r="M872" s="16" t="n"/>
      <c r="N872" s="16" t="n"/>
      <c r="O872" s="18" t="n"/>
      <c r="P872" s="18" t="n"/>
      <c r="Q872" s="16" t="n"/>
    </row>
    <row r="873">
      <c r="E873" s="15" t="n"/>
      <c r="F873" s="15" t="n"/>
      <c r="G873" s="15" t="n"/>
      <c r="H873" s="16" t="n"/>
      <c r="I873" s="16" t="n"/>
      <c r="J873" s="17" t="n"/>
      <c r="K873" s="17" t="n"/>
      <c r="L873" s="17" t="n"/>
      <c r="M873" s="16" t="n"/>
      <c r="N873" s="16" t="n"/>
      <c r="O873" s="18" t="n"/>
      <c r="P873" s="18" t="n"/>
      <c r="Q873" s="16" t="n"/>
    </row>
    <row r="874">
      <c r="E874" s="15" t="n"/>
      <c r="F874" s="15" t="n"/>
      <c r="G874" s="15" t="n"/>
      <c r="H874" s="16" t="n"/>
      <c r="I874" s="16" t="n"/>
      <c r="J874" s="17" t="n"/>
      <c r="K874" s="17" t="n"/>
      <c r="L874" s="17" t="n"/>
      <c r="M874" s="16" t="n"/>
      <c r="N874" s="16" t="n"/>
      <c r="O874" s="18" t="n"/>
      <c r="P874" s="18" t="n"/>
      <c r="Q874" s="16" t="n"/>
    </row>
    <row r="875">
      <c r="E875" s="15" t="n"/>
      <c r="F875" s="15" t="n"/>
      <c r="G875" s="15" t="n"/>
      <c r="H875" s="16" t="n"/>
      <c r="I875" s="16" t="n"/>
      <c r="J875" s="17" t="n"/>
      <c r="K875" s="17" t="n"/>
      <c r="L875" s="17" t="n"/>
      <c r="M875" s="16" t="n"/>
      <c r="N875" s="16" t="n"/>
      <c r="O875" s="18" t="n"/>
      <c r="P875" s="18" t="n"/>
      <c r="Q875" s="16" t="n"/>
    </row>
    <row r="876">
      <c r="E876" s="15" t="n"/>
      <c r="F876" s="15" t="n"/>
      <c r="G876" s="15" t="n"/>
      <c r="H876" s="16" t="n"/>
      <c r="I876" s="16" t="n"/>
      <c r="J876" s="17" t="n"/>
      <c r="K876" s="17" t="n"/>
      <c r="L876" s="17" t="n"/>
      <c r="M876" s="16" t="n"/>
      <c r="N876" s="16" t="n"/>
      <c r="O876" s="18" t="n"/>
      <c r="P876" s="18" t="n"/>
      <c r="Q876" s="16" t="n"/>
    </row>
    <row r="877">
      <c r="E877" s="15" t="n"/>
      <c r="F877" s="15" t="n"/>
      <c r="G877" s="15" t="n"/>
      <c r="H877" s="16" t="n"/>
      <c r="I877" s="16" t="n"/>
      <c r="J877" s="17" t="n"/>
      <c r="K877" s="17" t="n"/>
      <c r="L877" s="17" t="n"/>
      <c r="M877" s="16" t="n"/>
      <c r="N877" s="16" t="n"/>
      <c r="O877" s="18" t="n"/>
      <c r="P877" s="18" t="n"/>
      <c r="Q877" s="16" t="n"/>
    </row>
    <row r="878">
      <c r="E878" s="15" t="n"/>
      <c r="F878" s="15" t="n"/>
      <c r="G878" s="15" t="n"/>
      <c r="H878" s="16" t="n"/>
      <c r="I878" s="16" t="n"/>
      <c r="J878" s="17" t="n"/>
      <c r="K878" s="17" t="n"/>
      <c r="L878" s="17" t="n"/>
      <c r="M878" s="16" t="n"/>
      <c r="N878" s="16" t="n"/>
      <c r="O878" s="18" t="n"/>
      <c r="P878" s="18" t="n"/>
      <c r="Q878" s="16" t="n"/>
    </row>
    <row r="879">
      <c r="E879" s="15" t="n"/>
      <c r="F879" s="15" t="n"/>
      <c r="G879" s="15" t="n"/>
      <c r="H879" s="16" t="n"/>
      <c r="I879" s="16" t="n"/>
      <c r="J879" s="17" t="n"/>
      <c r="K879" s="17" t="n"/>
      <c r="L879" s="17" t="n"/>
      <c r="M879" s="16" t="n"/>
      <c r="N879" s="16" t="n"/>
      <c r="O879" s="18" t="n"/>
      <c r="P879" s="18" t="n"/>
      <c r="Q879" s="16" t="n"/>
    </row>
    <row r="880">
      <c r="E880" s="15" t="n"/>
      <c r="F880" s="15" t="n"/>
      <c r="G880" s="15" t="n"/>
      <c r="H880" s="16" t="n"/>
      <c r="I880" s="16" t="n"/>
      <c r="J880" s="17" t="n"/>
      <c r="K880" s="17" t="n"/>
      <c r="L880" s="17" t="n"/>
      <c r="M880" s="16" t="n"/>
      <c r="N880" s="16" t="n"/>
      <c r="O880" s="18" t="n"/>
      <c r="P880" s="18" t="n"/>
      <c r="Q880" s="16" t="n"/>
    </row>
    <row r="881">
      <c r="E881" s="15" t="n"/>
      <c r="F881" s="15" t="n"/>
      <c r="G881" s="15" t="n"/>
      <c r="H881" s="16" t="n"/>
      <c r="I881" s="16" t="n"/>
      <c r="J881" s="17" t="n"/>
      <c r="K881" s="17" t="n"/>
      <c r="L881" s="17" t="n"/>
      <c r="M881" s="16" t="n"/>
      <c r="N881" s="16" t="n"/>
      <c r="O881" s="18" t="n"/>
      <c r="P881" s="18" t="n"/>
      <c r="Q881" s="16" t="n"/>
    </row>
    <row r="882">
      <c r="E882" s="15" t="n"/>
      <c r="F882" s="15" t="n"/>
      <c r="G882" s="15" t="n"/>
      <c r="H882" s="16" t="n"/>
      <c r="I882" s="16" t="n"/>
      <c r="J882" s="17" t="n"/>
      <c r="K882" s="17" t="n"/>
      <c r="L882" s="17" t="n"/>
      <c r="M882" s="16" t="n"/>
      <c r="N882" s="16" t="n"/>
      <c r="O882" s="18" t="n"/>
      <c r="P882" s="18" t="n"/>
      <c r="Q882" s="16" t="n"/>
    </row>
    <row r="883">
      <c r="E883" s="15" t="n"/>
      <c r="F883" s="15" t="n"/>
      <c r="G883" s="15" t="n"/>
      <c r="H883" s="16" t="n"/>
      <c r="I883" s="16" t="n"/>
      <c r="J883" s="17" t="n"/>
      <c r="K883" s="17" t="n"/>
      <c r="L883" s="17" t="n"/>
      <c r="M883" s="16" t="n"/>
      <c r="N883" s="16" t="n"/>
      <c r="O883" s="18" t="n"/>
      <c r="P883" s="18" t="n"/>
      <c r="Q883" s="16" t="n"/>
    </row>
    <row r="884">
      <c r="E884" s="15" t="n"/>
      <c r="F884" s="15" t="n"/>
      <c r="G884" s="15" t="n"/>
      <c r="H884" s="16" t="n"/>
      <c r="I884" s="16" t="n"/>
      <c r="J884" s="17" t="n"/>
      <c r="K884" s="17" t="n"/>
      <c r="L884" s="17" t="n"/>
      <c r="M884" s="16" t="n"/>
      <c r="N884" s="16" t="n"/>
      <c r="O884" s="18" t="n"/>
      <c r="P884" s="18" t="n"/>
      <c r="Q884" s="16" t="n"/>
    </row>
    <row r="885">
      <c r="E885" s="15" t="n"/>
      <c r="F885" s="15" t="n"/>
      <c r="G885" s="15" t="n"/>
      <c r="H885" s="16" t="n"/>
      <c r="I885" s="16" t="n"/>
      <c r="J885" s="17" t="n"/>
      <c r="K885" s="17" t="n"/>
      <c r="L885" s="17" t="n"/>
      <c r="M885" s="16" t="n"/>
      <c r="N885" s="16" t="n"/>
      <c r="O885" s="18" t="n"/>
      <c r="P885" s="18" t="n"/>
      <c r="Q885" s="16" t="n"/>
    </row>
    <row r="886">
      <c r="E886" s="15" t="n"/>
      <c r="F886" s="15" t="n"/>
      <c r="G886" s="15" t="n"/>
      <c r="H886" s="16" t="n"/>
      <c r="I886" s="16" t="n"/>
      <c r="J886" s="17" t="n"/>
      <c r="K886" s="17" t="n"/>
      <c r="L886" s="17" t="n"/>
      <c r="M886" s="16" t="n"/>
      <c r="N886" s="16" t="n"/>
      <c r="O886" s="18" t="n"/>
      <c r="P886" s="18" t="n"/>
      <c r="Q886" s="16" t="n"/>
    </row>
    <row r="887">
      <c r="E887" s="15" t="n"/>
      <c r="F887" s="15" t="n"/>
      <c r="G887" s="15" t="n"/>
      <c r="H887" s="16" t="n"/>
      <c r="I887" s="16" t="n"/>
      <c r="J887" s="17" t="n"/>
      <c r="K887" s="17" t="n"/>
      <c r="L887" s="17" t="n"/>
      <c r="M887" s="16" t="n"/>
      <c r="N887" s="16" t="n"/>
      <c r="O887" s="18" t="n"/>
      <c r="P887" s="18" t="n"/>
      <c r="Q887" s="16" t="n"/>
    </row>
    <row r="888">
      <c r="E888" s="15" t="n"/>
      <c r="F888" s="15" t="n"/>
      <c r="G888" s="15" t="n"/>
      <c r="H888" s="16" t="n"/>
      <c r="I888" s="16" t="n"/>
      <c r="J888" s="17" t="n"/>
      <c r="K888" s="17" t="n"/>
      <c r="L888" s="17" t="n"/>
      <c r="M888" s="16" t="n"/>
      <c r="N888" s="16" t="n"/>
      <c r="O888" s="18" t="n"/>
      <c r="P888" s="18" t="n"/>
      <c r="Q888" s="16" t="n"/>
    </row>
    <row r="889">
      <c r="E889" s="15" t="n"/>
      <c r="F889" s="15" t="n"/>
      <c r="G889" s="15" t="n"/>
      <c r="H889" s="16" t="n"/>
      <c r="I889" s="16" t="n"/>
      <c r="J889" s="17" t="n"/>
      <c r="K889" s="17" t="n"/>
      <c r="L889" s="17" t="n"/>
      <c r="M889" s="16" t="n"/>
      <c r="N889" s="16" t="n"/>
      <c r="O889" s="18" t="n"/>
      <c r="P889" s="18" t="n"/>
      <c r="Q889" s="16" t="n"/>
    </row>
    <row r="890">
      <c r="E890" s="15" t="n"/>
      <c r="F890" s="15" t="n"/>
      <c r="G890" s="15" t="n"/>
      <c r="H890" s="16" t="n"/>
      <c r="I890" s="16" t="n"/>
      <c r="J890" s="17" t="n"/>
      <c r="K890" s="17" t="n"/>
      <c r="L890" s="17" t="n"/>
      <c r="M890" s="16" t="n"/>
      <c r="N890" s="16" t="n"/>
      <c r="O890" s="18" t="n"/>
      <c r="P890" s="18" t="n"/>
      <c r="Q890" s="16" t="n"/>
    </row>
    <row r="891">
      <c r="E891" s="15" t="n"/>
      <c r="F891" s="15" t="n"/>
      <c r="G891" s="15" t="n"/>
      <c r="H891" s="16" t="n"/>
      <c r="I891" s="16" t="n"/>
      <c r="J891" s="17" t="n"/>
      <c r="K891" s="17" t="n"/>
      <c r="L891" s="17" t="n"/>
      <c r="M891" s="16" t="n"/>
      <c r="N891" s="16" t="n"/>
      <c r="O891" s="18" t="n"/>
      <c r="P891" s="18" t="n"/>
      <c r="Q891" s="16" t="n"/>
    </row>
    <row r="892">
      <c r="E892" s="15" t="n"/>
      <c r="F892" s="15" t="n"/>
      <c r="G892" s="15" t="n"/>
      <c r="H892" s="16" t="n"/>
      <c r="I892" s="16" t="n"/>
      <c r="J892" s="17" t="n"/>
      <c r="K892" s="17" t="n"/>
      <c r="L892" s="17" t="n"/>
      <c r="M892" s="16" t="n"/>
      <c r="N892" s="16" t="n"/>
      <c r="O892" s="18" t="n"/>
      <c r="P892" s="18" t="n"/>
      <c r="Q892" s="16" t="n"/>
    </row>
    <row r="893">
      <c r="E893" s="15" t="n"/>
      <c r="F893" s="15" t="n"/>
      <c r="G893" s="15" t="n"/>
      <c r="H893" s="16" t="n"/>
      <c r="I893" s="16" t="n"/>
      <c r="J893" s="17" t="n"/>
      <c r="K893" s="17" t="n"/>
      <c r="L893" s="17" t="n"/>
      <c r="M893" s="16" t="n"/>
      <c r="N893" s="16" t="n"/>
      <c r="O893" s="18" t="n"/>
      <c r="P893" s="18" t="n"/>
      <c r="Q893" s="16" t="n"/>
    </row>
    <row r="894">
      <c r="E894" s="15" t="n"/>
      <c r="F894" s="15" t="n"/>
      <c r="G894" s="15" t="n"/>
      <c r="H894" s="16" t="n"/>
      <c r="I894" s="16" t="n"/>
      <c r="J894" s="17" t="n"/>
      <c r="K894" s="17" t="n"/>
      <c r="L894" s="17" t="n"/>
      <c r="M894" s="16" t="n"/>
      <c r="N894" s="16" t="n"/>
      <c r="O894" s="18" t="n"/>
      <c r="P894" s="18" t="n"/>
      <c r="Q894" s="16" t="n"/>
    </row>
    <row r="895">
      <c r="E895" s="15" t="n"/>
      <c r="F895" s="15" t="n"/>
      <c r="G895" s="15" t="n"/>
      <c r="H895" s="16" t="n"/>
      <c r="I895" s="16" t="n"/>
      <c r="J895" s="17" t="n"/>
      <c r="K895" s="17" t="n"/>
      <c r="L895" s="17" t="n"/>
      <c r="M895" s="16" t="n"/>
      <c r="N895" s="16" t="n"/>
      <c r="O895" s="18" t="n"/>
      <c r="P895" s="18" t="n"/>
      <c r="Q895" s="16" t="n"/>
    </row>
    <row r="896">
      <c r="E896" s="15" t="n"/>
      <c r="F896" s="15" t="n"/>
      <c r="G896" s="15" t="n"/>
      <c r="H896" s="16" t="n"/>
      <c r="I896" s="16" t="n"/>
      <c r="J896" s="17" t="n"/>
      <c r="K896" s="17" t="n"/>
      <c r="L896" s="17" t="n"/>
      <c r="M896" s="16" t="n"/>
      <c r="N896" s="16" t="n"/>
      <c r="O896" s="18" t="n"/>
      <c r="P896" s="18" t="n"/>
      <c r="Q896" s="16" t="n"/>
    </row>
    <row r="897">
      <c r="E897" s="15" t="n"/>
      <c r="F897" s="15" t="n"/>
      <c r="G897" s="15" t="n"/>
      <c r="H897" s="16" t="n"/>
      <c r="I897" s="16" t="n"/>
      <c r="J897" s="17" t="n"/>
      <c r="K897" s="17" t="n"/>
      <c r="L897" s="17" t="n"/>
      <c r="M897" s="16" t="n"/>
      <c r="N897" s="16" t="n"/>
      <c r="O897" s="18" t="n"/>
      <c r="P897" s="18" t="n"/>
      <c r="Q897" s="16" t="n"/>
    </row>
    <row r="898">
      <c r="E898" s="15" t="n"/>
      <c r="F898" s="15" t="n"/>
      <c r="G898" s="15" t="n"/>
      <c r="H898" s="16" t="n"/>
      <c r="I898" s="16" t="n"/>
      <c r="J898" s="17" t="n"/>
      <c r="K898" s="17" t="n"/>
      <c r="L898" s="17" t="n"/>
      <c r="M898" s="16" t="n"/>
      <c r="N898" s="16" t="n"/>
      <c r="O898" s="18" t="n"/>
      <c r="P898" s="18" t="n"/>
      <c r="Q898" s="16" t="n"/>
    </row>
    <row r="899">
      <c r="E899" s="15" t="n"/>
      <c r="F899" s="15" t="n"/>
      <c r="G899" s="15" t="n"/>
      <c r="H899" s="16" t="n"/>
      <c r="I899" s="16" t="n"/>
      <c r="J899" s="17" t="n"/>
      <c r="K899" s="17" t="n"/>
      <c r="L899" s="17" t="n"/>
      <c r="M899" s="16" t="n"/>
      <c r="N899" s="16" t="n"/>
      <c r="O899" s="18" t="n"/>
      <c r="P899" s="18" t="n"/>
      <c r="Q899" s="16" t="n"/>
    </row>
    <row r="900">
      <c r="E900" s="15" t="n"/>
      <c r="F900" s="15" t="n"/>
      <c r="G900" s="15" t="n"/>
      <c r="H900" s="16" t="n"/>
      <c r="I900" s="16" t="n"/>
      <c r="J900" s="17" t="n"/>
      <c r="K900" s="17" t="n"/>
      <c r="L900" s="17" t="n"/>
      <c r="M900" s="16" t="n"/>
      <c r="N900" s="16" t="n"/>
      <c r="O900" s="18" t="n"/>
      <c r="P900" s="18" t="n"/>
      <c r="Q900" s="16" t="n"/>
    </row>
    <row r="901">
      <c r="E901" s="15" t="n"/>
      <c r="F901" s="15" t="n"/>
      <c r="G901" s="15" t="n"/>
      <c r="H901" s="16" t="n"/>
      <c r="I901" s="16" t="n"/>
      <c r="J901" s="17" t="n"/>
      <c r="K901" s="17" t="n"/>
      <c r="L901" s="17" t="n"/>
      <c r="M901" s="16" t="n"/>
      <c r="N901" s="16" t="n"/>
      <c r="O901" s="18" t="n"/>
      <c r="P901" s="18" t="n"/>
      <c r="Q901" s="16" t="n"/>
    </row>
    <row r="902">
      <c r="E902" s="15" t="n"/>
      <c r="F902" s="15" t="n"/>
      <c r="G902" s="15" t="n"/>
      <c r="H902" s="16" t="n"/>
      <c r="I902" s="16" t="n"/>
      <c r="J902" s="17" t="n"/>
      <c r="K902" s="17" t="n"/>
      <c r="L902" s="17" t="n"/>
      <c r="M902" s="16" t="n"/>
      <c r="N902" s="16" t="n"/>
      <c r="O902" s="18" t="n"/>
      <c r="P902" s="18" t="n"/>
      <c r="Q902" s="16" t="n"/>
    </row>
    <row r="903">
      <c r="E903" s="15" t="n"/>
      <c r="F903" s="15" t="n"/>
      <c r="G903" s="15" t="n"/>
      <c r="H903" s="16" t="n"/>
      <c r="I903" s="16" t="n"/>
      <c r="J903" s="17" t="n"/>
      <c r="K903" s="17" t="n"/>
      <c r="L903" s="17" t="n"/>
      <c r="M903" s="16" t="n"/>
      <c r="N903" s="16" t="n"/>
      <c r="O903" s="18" t="n"/>
      <c r="P903" s="18" t="n"/>
      <c r="Q903" s="16" t="n"/>
    </row>
    <row r="904">
      <c r="E904" s="15" t="n"/>
      <c r="F904" s="15" t="n"/>
      <c r="G904" s="15" t="n"/>
      <c r="H904" s="16" t="n"/>
      <c r="I904" s="16" t="n"/>
      <c r="J904" s="17" t="n"/>
      <c r="K904" s="17" t="n"/>
      <c r="L904" s="17" t="n"/>
      <c r="M904" s="16" t="n"/>
      <c r="N904" s="16" t="n"/>
      <c r="O904" s="18" t="n"/>
      <c r="P904" s="18" t="n"/>
      <c r="Q904" s="16" t="n"/>
    </row>
    <row r="905">
      <c r="E905" s="15" t="n"/>
      <c r="F905" s="15" t="n"/>
      <c r="G905" s="15" t="n"/>
      <c r="H905" s="16" t="n"/>
      <c r="I905" s="16" t="n"/>
      <c r="J905" s="17" t="n"/>
      <c r="K905" s="17" t="n"/>
      <c r="L905" s="17" t="n"/>
      <c r="M905" s="16" t="n"/>
      <c r="N905" s="16" t="n"/>
      <c r="O905" s="18" t="n"/>
      <c r="P905" s="18" t="n"/>
      <c r="Q905" s="16" t="n"/>
    </row>
    <row r="906">
      <c r="E906" s="15" t="n"/>
      <c r="F906" s="15" t="n"/>
      <c r="G906" s="15" t="n"/>
      <c r="H906" s="16" t="n"/>
      <c r="I906" s="16" t="n"/>
      <c r="J906" s="17" t="n"/>
      <c r="K906" s="17" t="n"/>
      <c r="L906" s="17" t="n"/>
      <c r="M906" s="16" t="n"/>
      <c r="N906" s="16" t="n"/>
      <c r="O906" s="18" t="n"/>
      <c r="P906" s="18" t="n"/>
      <c r="Q906" s="16" t="n"/>
    </row>
    <row r="907">
      <c r="E907" s="15" t="n"/>
      <c r="F907" s="15" t="n"/>
      <c r="G907" s="15" t="n"/>
      <c r="H907" s="16" t="n"/>
      <c r="I907" s="16" t="n"/>
      <c r="J907" s="17" t="n"/>
      <c r="K907" s="17" t="n"/>
      <c r="L907" s="17" t="n"/>
      <c r="M907" s="16" t="n"/>
      <c r="N907" s="16" t="n"/>
      <c r="O907" s="18" t="n"/>
      <c r="P907" s="18" t="n"/>
      <c r="Q907" s="16" t="n"/>
    </row>
    <row r="908">
      <c r="E908" s="15" t="n"/>
      <c r="F908" s="15" t="n"/>
      <c r="G908" s="15" t="n"/>
      <c r="H908" s="16" t="n"/>
      <c r="I908" s="16" t="n"/>
      <c r="J908" s="17" t="n"/>
      <c r="K908" s="17" t="n"/>
      <c r="L908" s="17" t="n"/>
      <c r="M908" s="16" t="n"/>
      <c r="N908" s="16" t="n"/>
      <c r="O908" s="18" t="n"/>
      <c r="P908" s="18" t="n"/>
      <c r="Q908" s="16" t="n"/>
    </row>
    <row r="909">
      <c r="E909" s="15" t="n"/>
      <c r="F909" s="15" t="n"/>
      <c r="G909" s="15" t="n"/>
      <c r="H909" s="16" t="n"/>
      <c r="I909" s="16" t="n"/>
      <c r="J909" s="17" t="n"/>
      <c r="K909" s="17" t="n"/>
      <c r="L909" s="17" t="n"/>
      <c r="M909" s="16" t="n"/>
      <c r="N909" s="16" t="n"/>
      <c r="O909" s="18" t="n"/>
      <c r="P909" s="18" t="n"/>
      <c r="Q909" s="16" t="n"/>
    </row>
    <row r="910">
      <c r="E910" s="15" t="n"/>
      <c r="F910" s="15" t="n"/>
      <c r="G910" s="15" t="n"/>
      <c r="H910" s="16" t="n"/>
      <c r="I910" s="16" t="n"/>
      <c r="J910" s="17" t="n"/>
      <c r="K910" s="17" t="n"/>
      <c r="L910" s="17" t="n"/>
      <c r="M910" s="16" t="n"/>
      <c r="N910" s="16" t="n"/>
      <c r="O910" s="18" t="n"/>
      <c r="P910" s="18" t="n"/>
      <c r="Q910" s="16" t="n"/>
    </row>
    <row r="911">
      <c r="E911" s="15" t="n"/>
      <c r="F911" s="15" t="n"/>
      <c r="G911" s="15" t="n"/>
      <c r="H911" s="16" t="n"/>
      <c r="I911" s="16" t="n"/>
      <c r="J911" s="17" t="n"/>
      <c r="K911" s="17" t="n"/>
      <c r="L911" s="17" t="n"/>
      <c r="M911" s="16" t="n"/>
      <c r="N911" s="16" t="n"/>
      <c r="O911" s="18" t="n"/>
      <c r="P911" s="18" t="n"/>
      <c r="Q911" s="16" t="n"/>
    </row>
    <row r="912">
      <c r="E912" s="15" t="n"/>
      <c r="F912" s="15" t="n"/>
      <c r="G912" s="15" t="n"/>
      <c r="H912" s="16" t="n"/>
      <c r="I912" s="16" t="n"/>
      <c r="J912" s="17" t="n"/>
      <c r="K912" s="17" t="n"/>
      <c r="L912" s="17" t="n"/>
      <c r="M912" s="16" t="n"/>
      <c r="N912" s="16" t="n"/>
      <c r="O912" s="18" t="n"/>
      <c r="P912" s="18" t="n"/>
      <c r="Q912" s="16" t="n"/>
    </row>
    <row r="913">
      <c r="E913" s="15" t="n"/>
      <c r="F913" s="15" t="n"/>
      <c r="G913" s="15" t="n"/>
      <c r="H913" s="16" t="n"/>
      <c r="I913" s="16" t="n"/>
      <c r="J913" s="17" t="n"/>
      <c r="K913" s="17" t="n"/>
      <c r="L913" s="17" t="n"/>
      <c r="M913" s="16" t="n"/>
      <c r="N913" s="16" t="n"/>
      <c r="O913" s="18" t="n"/>
      <c r="P913" s="18" t="n"/>
      <c r="Q913" s="16" t="n"/>
    </row>
    <row r="914">
      <c r="E914" s="15" t="n"/>
      <c r="F914" s="15" t="n"/>
      <c r="G914" s="15" t="n"/>
      <c r="H914" s="16" t="n"/>
      <c r="I914" s="16" t="n"/>
      <c r="J914" s="17" t="n"/>
      <c r="K914" s="17" t="n"/>
      <c r="L914" s="17" t="n"/>
      <c r="M914" s="16" t="n"/>
      <c r="N914" s="16" t="n"/>
      <c r="O914" s="18" t="n"/>
      <c r="P914" s="18" t="n"/>
      <c r="Q914" s="16" t="n"/>
    </row>
    <row r="915">
      <c r="E915" s="15" t="n"/>
      <c r="F915" s="15" t="n"/>
      <c r="G915" s="15" t="n"/>
      <c r="H915" s="16" t="n"/>
      <c r="I915" s="16" t="n"/>
      <c r="J915" s="17" t="n"/>
      <c r="K915" s="17" t="n"/>
      <c r="L915" s="17" t="n"/>
      <c r="M915" s="16" t="n"/>
      <c r="N915" s="16" t="n"/>
      <c r="O915" s="18" t="n"/>
      <c r="P915" s="18" t="n"/>
      <c r="Q915" s="16" t="n"/>
    </row>
    <row r="916">
      <c r="E916" s="15" t="n"/>
      <c r="F916" s="15" t="n"/>
      <c r="G916" s="15" t="n"/>
      <c r="H916" s="16" t="n"/>
      <c r="I916" s="16" t="n"/>
      <c r="J916" s="17" t="n"/>
      <c r="K916" s="17" t="n"/>
      <c r="L916" s="17" t="n"/>
      <c r="M916" s="16" t="n"/>
      <c r="N916" s="16" t="n"/>
      <c r="O916" s="18" t="n"/>
      <c r="P916" s="18" t="n"/>
      <c r="Q916" s="16" t="n"/>
    </row>
    <row r="917">
      <c r="E917" s="15" t="n"/>
      <c r="F917" s="15" t="n"/>
      <c r="G917" s="15" t="n"/>
      <c r="H917" s="16" t="n"/>
      <c r="I917" s="16" t="n"/>
      <c r="J917" s="17" t="n"/>
      <c r="K917" s="17" t="n"/>
      <c r="L917" s="17" t="n"/>
      <c r="M917" s="16" t="n"/>
      <c r="N917" s="16" t="n"/>
      <c r="O917" s="18" t="n"/>
      <c r="P917" s="18" t="n"/>
      <c r="Q917" s="16" t="n"/>
    </row>
    <row r="918">
      <c r="E918" s="15" t="n"/>
      <c r="F918" s="15" t="n"/>
      <c r="G918" s="15" t="n"/>
      <c r="H918" s="16" t="n"/>
      <c r="I918" s="16" t="n"/>
      <c r="J918" s="17" t="n"/>
      <c r="K918" s="17" t="n"/>
      <c r="L918" s="17" t="n"/>
      <c r="M918" s="16" t="n"/>
      <c r="N918" s="16" t="n"/>
      <c r="O918" s="18" t="n"/>
      <c r="P918" s="18" t="n"/>
      <c r="Q918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M8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1.75" customWidth="1" style="21" min="1" max="1"/>
    <col width="14.75" customWidth="1" style="21" min="2" max="2"/>
    <col width="9.630000000000001" customWidth="1" style="21" min="3" max="3"/>
    <col width="9.75" customWidth="1" style="21" min="4" max="4"/>
    <col width="30.75" customWidth="1" style="21" min="5" max="5"/>
    <col width="13.75" customWidth="1" style="21" min="6" max="6"/>
    <col width="18.13" customWidth="1" style="21" min="7" max="7"/>
    <col width="12.88" customWidth="1" style="21" min="8" max="9"/>
    <col width="30.63" customWidth="1" style="21" min="10" max="10"/>
    <col width="13.63" customWidth="1" style="21" min="11" max="11"/>
    <col width="18" customWidth="1" style="21" min="12" max="12"/>
    <col width="13.13" customWidth="1" style="21" min="13" max="13"/>
    <col width="10.88" customWidth="1" style="21" min="14" max="14"/>
    <col width="15.88" customWidth="1" style="21" min="15" max="15"/>
    <col width="20.38" customWidth="1" style="21" min="16" max="16"/>
    <col width="15.13" customWidth="1" style="21" min="17" max="17"/>
    <col width="25.88" customWidth="1" style="21" min="18" max="18"/>
    <col width="17.13" customWidth="1" style="21" min="19" max="19"/>
    <col width="8.75" customWidth="1" style="21" min="20" max="24"/>
    <col width="21.5" customWidth="1" style="21" min="25" max="25"/>
    <col width="14.38" customWidth="1" style="21" min="26" max="26"/>
    <col width="22.13" customWidth="1" style="21" min="27" max="27"/>
    <col width="19" customWidth="1" style="21" min="28" max="28"/>
    <col width="13.88" customWidth="1" style="21" min="29" max="29"/>
    <col width="14.75" customWidth="1" style="21" min="30" max="30"/>
    <col width="14.63" customWidth="1" style="21" min="31" max="31"/>
    <col width="13.38" customWidth="1" style="21" min="32" max="32"/>
    <col width="18.25" customWidth="1" style="21" min="33" max="33"/>
    <col width="14.25" customWidth="1" style="21" min="34" max="34"/>
    <col width="14.75" customWidth="1" style="21" min="35" max="35"/>
    <col width="14.63" customWidth="1" style="21" min="36" max="36"/>
    <col width="13.38" customWidth="1" style="21" min="37" max="37"/>
    <col width="18.25" customWidth="1" style="21" min="38" max="38"/>
    <col width="14.25" customWidth="1" style="21" min="39" max="39"/>
  </cols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match_type</t>
        </is>
      </c>
      <c r="D1" s="1" t="inlineStr">
        <is>
          <t>q_threshold</t>
        </is>
      </c>
      <c r="E1" s="15" t="inlineStr">
        <is>
          <t>known_drugs_available_in_tahoe_count</t>
        </is>
      </c>
      <c r="F1" s="15" t="inlineStr">
        <is>
          <t>tahoe_hits_count</t>
        </is>
      </c>
      <c r="G1" s="15" t="inlineStr">
        <is>
          <t>tahoe_in_known_count</t>
        </is>
      </c>
      <c r="H1" s="8" t="inlineStr">
        <is>
          <t>Tahoe Precision</t>
        </is>
      </c>
      <c r="I1" s="8" t="inlineStr">
        <is>
          <t>Tahoe Recall</t>
        </is>
      </c>
      <c r="J1" s="4" t="inlineStr">
        <is>
          <t>known_drugs_available_in_cmap_count</t>
        </is>
      </c>
      <c r="K1" s="17" t="inlineStr">
        <is>
          <t>cmap_hits_count</t>
        </is>
      </c>
      <c r="L1" s="17" t="inlineStr">
        <is>
          <t>cmap_in_known_count</t>
        </is>
      </c>
      <c r="M1" s="8" t="inlineStr">
        <is>
          <t>CMAP Precision</t>
        </is>
      </c>
      <c r="N1" s="8" t="inlineStr">
        <is>
          <t>CMAP Recall</t>
        </is>
      </c>
      <c r="O1" s="18" t="inlineStr">
        <is>
          <t>common_hits_count</t>
        </is>
      </c>
      <c r="P1" s="7" t="inlineStr">
        <is>
          <t>common_in_known_count</t>
        </is>
      </c>
      <c r="Q1" s="8" t="inlineStr">
        <is>
          <t>Common Precision</t>
        </is>
      </c>
      <c r="R1" s="9" t="inlineStr">
        <is>
          <t>known_drugs_in_database_count</t>
        </is>
      </c>
      <c r="S1" s="9" t="inlineStr">
        <is>
          <t>total_in_known_count</t>
        </is>
      </c>
      <c r="T1" s="1" t="inlineStr">
        <is>
          <t>phase_0.5</t>
        </is>
      </c>
      <c r="U1" s="1" t="inlineStr">
        <is>
          <t>phase_1.0</t>
        </is>
      </c>
      <c r="V1" s="9" t="inlineStr">
        <is>
          <t>phase_2.0</t>
        </is>
      </c>
      <c r="W1" s="1" t="inlineStr">
        <is>
          <t>phase_3.0</t>
        </is>
      </c>
      <c r="X1" s="1" t="inlineStr">
        <is>
          <t>phase_4.0</t>
        </is>
      </c>
      <c r="Y1" s="1" t="inlineStr">
        <is>
          <t>status_Active, not recruiting</t>
        </is>
      </c>
      <c r="Z1" s="1" t="inlineStr">
        <is>
          <t>status_Completed</t>
        </is>
      </c>
      <c r="AA1" s="1" t="inlineStr">
        <is>
          <t>status_Enrolling by invitation</t>
        </is>
      </c>
      <c r="AB1" s="1" t="inlineStr">
        <is>
          <t>status_Not yet recruiting</t>
        </is>
      </c>
      <c r="AC1" s="1" t="inlineStr">
        <is>
          <t>status_Recruiting</t>
        </is>
      </c>
      <c r="AD1" s="1" t="inlineStr">
        <is>
          <t>status_Suspended</t>
        </is>
      </c>
      <c r="AE1" s="1" t="inlineStr">
        <is>
          <t>status_Terminated</t>
        </is>
      </c>
      <c r="AF1" s="1" t="inlineStr">
        <is>
          <t>status_Unknown</t>
        </is>
      </c>
      <c r="AG1" s="1" t="inlineStr">
        <is>
          <t>status_Unknown status</t>
        </is>
      </c>
      <c r="AH1" s="1" t="inlineStr">
        <is>
          <t>status_Withdrawn</t>
        </is>
      </c>
      <c r="AI1" s="1" t="inlineStr">
        <is>
          <t>status_Suspended</t>
        </is>
      </c>
      <c r="AJ1" s="1" t="inlineStr">
        <is>
          <t>status_Terminated</t>
        </is>
      </c>
      <c r="AK1" s="1" t="inlineStr">
        <is>
          <t>status_Unknown</t>
        </is>
      </c>
      <c r="AL1" s="1" t="inlineStr">
        <is>
          <t>status_Unknown status</t>
        </is>
      </c>
      <c r="AM1" s="1" t="inlineStr">
        <is>
          <t>status_Withdrawn</t>
        </is>
      </c>
    </row>
    <row r="2">
      <c r="A2" s="1" t="inlineStr">
        <is>
          <t>NASH</t>
        </is>
      </c>
      <c r="B2" s="1" t="inlineStr">
        <is>
          <t>EFO_1001249</t>
        </is>
      </c>
      <c r="C2" s="1" t="inlineStr">
        <is>
          <t>synonym</t>
        </is>
      </c>
      <c r="D2" s="1" t="n">
        <v>0.05</v>
      </c>
      <c r="E2" s="15" t="n">
        <v>6</v>
      </c>
      <c r="F2" s="15" t="n">
        <v>379</v>
      </c>
      <c r="G2" s="15" t="n">
        <v>6</v>
      </c>
      <c r="H2" s="16">
        <f>G2/F2</f>
        <v/>
      </c>
      <c r="I2" s="16">
        <f>G2/E2</f>
        <v/>
      </c>
      <c r="J2" s="17" t="n">
        <v>11</v>
      </c>
      <c r="K2" s="17" t="n">
        <v>761</v>
      </c>
      <c r="L2" s="17" t="n">
        <v>10</v>
      </c>
      <c r="M2" s="16">
        <f>L2/K2</f>
        <v/>
      </c>
      <c r="N2" s="16">
        <f>L2/J2</f>
        <v/>
      </c>
      <c r="O2" s="18" t="n">
        <v>33</v>
      </c>
      <c r="P2" s="18" t="n">
        <v>5</v>
      </c>
      <c r="Q2" s="16">
        <f>P2/O2</f>
        <v/>
      </c>
      <c r="R2" s="1" t="n">
        <v>486</v>
      </c>
      <c r="S2" s="1" t="n">
        <v>11</v>
      </c>
      <c r="T2" s="1" t="n">
        <v>0</v>
      </c>
      <c r="U2" s="1" t="n">
        <v>6</v>
      </c>
      <c r="V2" s="1" t="n">
        <v>8</v>
      </c>
      <c r="W2" s="1" t="n">
        <v>3</v>
      </c>
      <c r="X2" s="1" t="n">
        <v>0</v>
      </c>
      <c r="Y2" s="1" t="n">
        <v>2</v>
      </c>
      <c r="Z2" s="1" t="n">
        <v>11</v>
      </c>
      <c r="AA2" s="1" t="n">
        <v>0</v>
      </c>
      <c r="AB2" s="1" t="n">
        <v>0</v>
      </c>
      <c r="AC2" s="1" t="n">
        <v>1</v>
      </c>
      <c r="AD2" s="1" t="n">
        <v>0</v>
      </c>
      <c r="AE2" s="1" t="n">
        <v>0</v>
      </c>
      <c r="AF2" s="1" t="n">
        <v>0</v>
      </c>
      <c r="AG2" s="1" t="n">
        <v>2</v>
      </c>
      <c r="AH2" s="1" t="n">
        <v>1</v>
      </c>
      <c r="AI2" s="1" t="n">
        <v>0</v>
      </c>
      <c r="AJ2" s="1" t="n">
        <v>6</v>
      </c>
      <c r="AK2" s="1" t="n">
        <v>0</v>
      </c>
      <c r="AL2" s="1" t="n">
        <v>5</v>
      </c>
      <c r="AM2" s="1" t="n">
        <v>6</v>
      </c>
    </row>
    <row r="3">
      <c r="A3" s="1" t="inlineStr">
        <is>
          <t>Squamous cell carcinoma of mouth</t>
        </is>
      </c>
      <c r="B3" s="1" t="inlineStr">
        <is>
          <t>EFO_0000199</t>
        </is>
      </c>
      <c r="C3" s="1" t="inlineStr">
        <is>
          <t>synonym</t>
        </is>
      </c>
      <c r="D3" s="1" t="n">
        <v>0.05</v>
      </c>
      <c r="E3" s="15" t="n">
        <v>8</v>
      </c>
      <c r="F3" s="15" t="n">
        <v>379</v>
      </c>
      <c r="G3" s="15" t="n">
        <v>8</v>
      </c>
      <c r="H3" s="16">
        <f>G3/F3</f>
        <v/>
      </c>
      <c r="I3" s="16">
        <f>G3/E3</f>
        <v/>
      </c>
      <c r="J3" s="17" t="n">
        <v>7</v>
      </c>
      <c r="K3" s="17" t="n">
        <v>1140</v>
      </c>
      <c r="L3" s="17" t="n">
        <v>7</v>
      </c>
      <c r="M3" s="16">
        <f>L3/K3</f>
        <v/>
      </c>
      <c r="N3" s="16">
        <f>L3/J3</f>
        <v/>
      </c>
      <c r="O3" s="18" t="n">
        <v>54</v>
      </c>
      <c r="P3" s="18" t="n">
        <v>3</v>
      </c>
      <c r="Q3" s="16">
        <f>P3/O3</f>
        <v/>
      </c>
      <c r="R3" s="1" t="n">
        <v>401</v>
      </c>
      <c r="S3" s="1" t="n">
        <v>12</v>
      </c>
      <c r="T3" s="1" t="n">
        <v>1</v>
      </c>
      <c r="U3" s="1" t="n">
        <v>1</v>
      </c>
      <c r="V3" s="1" t="n">
        <v>13</v>
      </c>
      <c r="W3" s="1" t="n">
        <v>4</v>
      </c>
      <c r="X3" s="1" t="n">
        <v>0</v>
      </c>
      <c r="Y3" s="1" t="n">
        <v>4</v>
      </c>
      <c r="Z3" s="1" t="n">
        <v>7</v>
      </c>
      <c r="AA3" s="1" t="n">
        <v>0</v>
      </c>
      <c r="AB3" s="1" t="n">
        <v>1</v>
      </c>
      <c r="AC3" s="1" t="n">
        <v>6</v>
      </c>
      <c r="AD3" s="1" t="n">
        <v>0</v>
      </c>
      <c r="AE3" s="1" t="n">
        <v>0</v>
      </c>
      <c r="AF3" s="1" t="n">
        <v>0</v>
      </c>
      <c r="AG3" s="1" t="n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</row>
    <row r="4">
      <c r="A4" s="1" t="inlineStr">
        <is>
          <t>monoclonal gammopathy of uncertain significance</t>
        </is>
      </c>
      <c r="B4" s="1" t="inlineStr">
        <is>
          <t>EFO_0000203</t>
        </is>
      </c>
      <c r="C4" s="1" t="inlineStr">
        <is>
          <t>synonym</t>
        </is>
      </c>
      <c r="D4" s="1" t="n">
        <v>0.05</v>
      </c>
      <c r="E4" s="15" t="n">
        <v>1</v>
      </c>
      <c r="F4" s="15" t="n">
        <v>292</v>
      </c>
      <c r="G4" s="15" t="n">
        <v>1</v>
      </c>
      <c r="H4" s="16">
        <f>G4/F4</f>
        <v/>
      </c>
      <c r="I4" s="16">
        <f>G4/E4</f>
        <v/>
      </c>
      <c r="J4" s="17" t="n">
        <v>1</v>
      </c>
      <c r="K4" s="17" t="n">
        <v>258</v>
      </c>
      <c r="L4" s="17" t="n">
        <v>1</v>
      </c>
      <c r="M4" s="16">
        <f>L4/K4</f>
        <v/>
      </c>
      <c r="N4" s="16">
        <f>L4/J4</f>
        <v/>
      </c>
      <c r="O4" s="18" t="n">
        <v>11</v>
      </c>
      <c r="P4" s="18" t="n">
        <v>1</v>
      </c>
      <c r="Q4" s="16">
        <f>P4/O4</f>
        <v/>
      </c>
      <c r="R4" s="1" t="n">
        <v>33</v>
      </c>
      <c r="S4" s="1" t="n">
        <v>1</v>
      </c>
      <c r="T4" s="1" t="n">
        <v>0</v>
      </c>
      <c r="U4" s="1" t="n">
        <v>0</v>
      </c>
      <c r="V4" s="1" t="n">
        <v>1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</row>
    <row r="5">
      <c r="A5" s="1" t="inlineStr">
        <is>
          <t>nasopharynx carcinoma</t>
        </is>
      </c>
      <c r="B5" s="1" t="inlineStr">
        <is>
          <t>MONDO_0015459</t>
        </is>
      </c>
      <c r="C5" s="1" t="inlineStr">
        <is>
          <t>synonym</t>
        </is>
      </c>
      <c r="D5" s="1" t="n">
        <v>0.05</v>
      </c>
      <c r="E5" s="15" t="n">
        <v>16</v>
      </c>
      <c r="F5" s="15" t="n">
        <v>153</v>
      </c>
      <c r="G5" s="15" t="n">
        <v>6</v>
      </c>
      <c r="H5" s="16">
        <f>G5/F5</f>
        <v/>
      </c>
      <c r="I5" s="16">
        <f>G5/E5</f>
        <v/>
      </c>
      <c r="J5" s="17" t="n">
        <v>7</v>
      </c>
      <c r="K5" s="17" t="n">
        <v>604</v>
      </c>
      <c r="L5" s="17" t="n">
        <v>5</v>
      </c>
      <c r="M5" s="16">
        <f>L5/K5</f>
        <v/>
      </c>
      <c r="N5" s="16">
        <f>L5/J5</f>
        <v/>
      </c>
      <c r="O5" s="18" t="n">
        <v>6</v>
      </c>
      <c r="P5" s="18" t="n">
        <v>1</v>
      </c>
      <c r="Q5" s="16">
        <f>P5/O5</f>
        <v/>
      </c>
      <c r="R5" s="1" t="n">
        <v>540</v>
      </c>
      <c r="S5" s="1" t="n">
        <v>10</v>
      </c>
      <c r="T5" s="1" t="n">
        <v>0</v>
      </c>
      <c r="U5" s="1" t="n">
        <v>4</v>
      </c>
      <c r="V5" s="1" t="n">
        <v>12</v>
      </c>
      <c r="W5" s="1" t="n">
        <v>3</v>
      </c>
      <c r="X5" s="1" t="n">
        <v>0</v>
      </c>
      <c r="Y5" s="1" t="n">
        <v>3</v>
      </c>
      <c r="Z5" s="1" t="n">
        <v>4</v>
      </c>
      <c r="AA5" s="1" t="n">
        <v>0</v>
      </c>
      <c r="AB5" s="1" t="n">
        <v>6</v>
      </c>
      <c r="AC5" s="1" t="n">
        <v>2</v>
      </c>
      <c r="AD5" s="1" t="n">
        <v>0</v>
      </c>
      <c r="AE5" s="1" t="n">
        <v>1</v>
      </c>
      <c r="AF5" s="1" t="n">
        <v>0</v>
      </c>
      <c r="AG5" s="1" t="n">
        <v>2</v>
      </c>
      <c r="AH5" s="1" t="n">
        <v>1</v>
      </c>
      <c r="AI5" s="1" t="n">
        <v>0</v>
      </c>
      <c r="AJ5" s="1" t="n">
        <v>5</v>
      </c>
      <c r="AK5" s="1" t="n">
        <v>3</v>
      </c>
      <c r="AL5" s="1" t="n">
        <v>2</v>
      </c>
      <c r="AM5" s="1" t="n">
        <v>2</v>
      </c>
    </row>
    <row r="6">
      <c r="A6" s="1" t="inlineStr">
        <is>
          <t>Nicotine addiction</t>
        </is>
      </c>
      <c r="B6" s="1" t="inlineStr">
        <is>
          <t>EFO_0003768</t>
        </is>
      </c>
      <c r="C6" s="1" t="inlineStr">
        <is>
          <t>synonym</t>
        </is>
      </c>
      <c r="D6" s="1" t="n">
        <v>0.05</v>
      </c>
      <c r="E6" s="15" t="n">
        <v>9</v>
      </c>
      <c r="F6" s="15" t="n">
        <v>239</v>
      </c>
      <c r="G6" s="15" t="n">
        <v>5</v>
      </c>
      <c r="H6" s="16">
        <f>G6/F6</f>
        <v/>
      </c>
      <c r="I6" s="16">
        <f>G6/E6</f>
        <v/>
      </c>
      <c r="J6" s="17" t="n">
        <v>27</v>
      </c>
      <c r="K6" s="17" t="n">
        <v>710</v>
      </c>
      <c r="L6" s="17" t="n">
        <v>13</v>
      </c>
      <c r="M6" s="16">
        <f>L6/K6</f>
        <v/>
      </c>
      <c r="N6" s="16">
        <f>L6/J6</f>
        <v/>
      </c>
      <c r="O6" s="18" t="n">
        <v>18</v>
      </c>
      <c r="P6" s="18" t="n">
        <v>1</v>
      </c>
      <c r="Q6" s="16">
        <f>P6/O6</f>
        <v/>
      </c>
      <c r="R6" s="1" t="n">
        <v>785</v>
      </c>
      <c r="S6" s="1" t="n">
        <v>17</v>
      </c>
      <c r="T6" s="1" t="n">
        <v>4</v>
      </c>
      <c r="U6" s="1" t="n">
        <v>7</v>
      </c>
      <c r="V6" s="1" t="n">
        <v>11</v>
      </c>
      <c r="W6" s="1" t="n">
        <v>5</v>
      </c>
      <c r="X6" s="1" t="n">
        <v>0</v>
      </c>
      <c r="Y6" s="1" t="n">
        <v>0</v>
      </c>
      <c r="Z6" s="1" t="n">
        <v>19</v>
      </c>
      <c r="AA6" s="1" t="n">
        <v>0</v>
      </c>
      <c r="AB6" s="1" t="n">
        <v>0</v>
      </c>
      <c r="AC6" s="1" t="n">
        <v>2</v>
      </c>
      <c r="AD6" s="1" t="n">
        <v>0</v>
      </c>
      <c r="AE6" s="1" t="n">
        <v>3</v>
      </c>
      <c r="AF6" s="1" t="n">
        <v>1</v>
      </c>
      <c r="AG6" s="1" t="n">
        <v>2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</row>
    <row r="7">
      <c r="A7" s="1" t="inlineStr">
        <is>
          <t>pancreatic cancer</t>
        </is>
      </c>
      <c r="B7" s="1" t="inlineStr">
        <is>
          <t>EFO_1000359</t>
        </is>
      </c>
      <c r="C7" s="1" t="inlineStr">
        <is>
          <t>synonym</t>
        </is>
      </c>
      <c r="D7" s="1" t="n">
        <v>0.05</v>
      </c>
      <c r="E7" s="15" t="n">
        <v>11</v>
      </c>
      <c r="F7" s="15" t="n">
        <v>69</v>
      </c>
      <c r="G7" s="15" t="n">
        <v>4</v>
      </c>
      <c r="H7" s="16">
        <f>G7/F7</f>
        <v/>
      </c>
      <c r="I7" s="16">
        <f>G7/E7</f>
        <v/>
      </c>
      <c r="J7" s="17" t="n">
        <v>7</v>
      </c>
      <c r="K7" s="17" t="n">
        <v>763</v>
      </c>
      <c r="L7" s="17" t="n">
        <v>1</v>
      </c>
      <c r="M7" s="16">
        <f>L7/K7</f>
        <v/>
      </c>
      <c r="N7" s="16">
        <f>L7/J7</f>
        <v/>
      </c>
      <c r="O7" s="18" t="n">
        <v>1</v>
      </c>
      <c r="P7" s="18" t="n">
        <v>1</v>
      </c>
      <c r="Q7" s="16">
        <f>P7/O7</f>
        <v/>
      </c>
      <c r="R7" s="1" t="n">
        <v>357</v>
      </c>
      <c r="S7" s="1" t="n">
        <v>4</v>
      </c>
      <c r="T7" s="1" t="n">
        <v>0</v>
      </c>
      <c r="U7" s="1" t="n">
        <v>6</v>
      </c>
      <c r="V7" s="1" t="n">
        <v>10</v>
      </c>
      <c r="W7" s="1" t="n">
        <v>2</v>
      </c>
      <c r="X7" s="1" t="n">
        <v>0</v>
      </c>
      <c r="Y7" s="1" t="n">
        <v>4</v>
      </c>
      <c r="Z7" s="1" t="n">
        <v>4</v>
      </c>
      <c r="AA7" s="1" t="n">
        <v>0</v>
      </c>
      <c r="AB7" s="1" t="n">
        <v>4</v>
      </c>
      <c r="AC7" s="1" t="n">
        <v>5</v>
      </c>
      <c r="AD7" s="1" t="n">
        <v>0</v>
      </c>
      <c r="AE7" s="1" t="n">
        <v>0</v>
      </c>
      <c r="AF7" s="1" t="n">
        <v>0</v>
      </c>
      <c r="AG7" s="1" t="n">
        <v>1</v>
      </c>
      <c r="AH7" s="1" t="n">
        <v>0</v>
      </c>
      <c r="AI7" s="1" t="n">
        <v>0</v>
      </c>
      <c r="AJ7" s="1" t="n">
        <v>2</v>
      </c>
      <c r="AK7" s="1" t="n">
        <v>0</v>
      </c>
      <c r="AL7" s="1" t="n">
        <v>0</v>
      </c>
      <c r="AM7" s="1" t="n">
        <v>1</v>
      </c>
    </row>
    <row r="8">
      <c r="A8" s="1" t="inlineStr">
        <is>
          <t>Parkinson's disease</t>
        </is>
      </c>
      <c r="B8" s="1" t="inlineStr">
        <is>
          <t>MONDO_0005180</t>
        </is>
      </c>
      <c r="C8" s="1" t="inlineStr">
        <is>
          <t>synonym</t>
        </is>
      </c>
      <c r="D8" s="1" t="n">
        <v>0.05</v>
      </c>
      <c r="E8" s="15" t="n">
        <v>11</v>
      </c>
      <c r="F8" s="15" t="n">
        <v>249</v>
      </c>
      <c r="G8" s="15" t="n">
        <v>7</v>
      </c>
      <c r="H8" s="16">
        <f>G8/F8</f>
        <v/>
      </c>
      <c r="I8" s="16">
        <f>G8/E8</f>
        <v/>
      </c>
      <c r="J8" s="17" t="n">
        <v>42</v>
      </c>
      <c r="K8" s="17" t="n">
        <v>313</v>
      </c>
      <c r="L8" s="17" t="n">
        <v>15</v>
      </c>
      <c r="M8" s="16">
        <f>L8/K8</f>
        <v/>
      </c>
      <c r="N8" s="16">
        <f>L8/J8</f>
        <v/>
      </c>
      <c r="O8" s="18" t="n">
        <v>10</v>
      </c>
      <c r="P8" s="18" t="n">
        <v>1</v>
      </c>
      <c r="Q8" s="16">
        <f>P8/O8</f>
        <v/>
      </c>
      <c r="R8" s="1" t="n">
        <v>1445</v>
      </c>
      <c r="S8" s="1" t="n">
        <v>21</v>
      </c>
      <c r="T8" s="1" t="n">
        <v>1</v>
      </c>
      <c r="U8" s="1" t="n">
        <v>7</v>
      </c>
      <c r="V8" s="1" t="n">
        <v>20</v>
      </c>
      <c r="W8" s="1" t="n">
        <v>5</v>
      </c>
      <c r="X8" s="1" t="n">
        <v>11</v>
      </c>
      <c r="Y8" s="1" t="n">
        <v>1</v>
      </c>
      <c r="Z8" s="1" t="n">
        <v>17</v>
      </c>
      <c r="AA8" s="1" t="n">
        <v>0</v>
      </c>
      <c r="AB8" s="1" t="n">
        <v>1</v>
      </c>
      <c r="AC8" s="1" t="n">
        <v>11</v>
      </c>
      <c r="AD8" s="1" t="n">
        <v>1</v>
      </c>
      <c r="AE8" s="1" t="n">
        <v>4</v>
      </c>
      <c r="AF8" s="1" t="n">
        <v>4</v>
      </c>
      <c r="AG8" s="1" t="n">
        <v>3</v>
      </c>
      <c r="AH8" s="1" t="n">
        <v>2</v>
      </c>
      <c r="AI8" s="1" t="n">
        <v>0</v>
      </c>
      <c r="AJ8" s="1" t="n">
        <v>2</v>
      </c>
      <c r="AK8" s="1" t="n">
        <v>5</v>
      </c>
      <c r="AL8" s="1" t="n">
        <v>3</v>
      </c>
      <c r="AM8" s="1" t="n">
        <v>0</v>
      </c>
    </row>
    <row r="9">
      <c r="A9" s="1" t="inlineStr">
        <is>
          <t>stomach cancer</t>
        </is>
      </c>
      <c r="B9" s="1" t="inlineStr">
        <is>
          <t>EFO_0003897</t>
        </is>
      </c>
      <c r="C9" s="1" t="inlineStr">
        <is>
          <t>synonym</t>
        </is>
      </c>
      <c r="D9" s="1" t="n">
        <v>0.05</v>
      </c>
      <c r="E9" s="15" t="n">
        <v>12</v>
      </c>
      <c r="F9" s="15" t="n">
        <v>118</v>
      </c>
      <c r="G9" s="15" t="n">
        <v>3</v>
      </c>
      <c r="H9" s="16">
        <f>G9/F9</f>
        <v/>
      </c>
      <c r="I9" s="16">
        <f>G9/E9</f>
        <v/>
      </c>
      <c r="J9" s="17" t="n">
        <v>6</v>
      </c>
      <c r="K9" s="17" t="n">
        <v>172</v>
      </c>
      <c r="L9" s="17" t="n">
        <v>1</v>
      </c>
      <c r="M9" s="16">
        <f>L9/K9</f>
        <v/>
      </c>
      <c r="N9" s="16">
        <f>L9/J9</f>
        <v/>
      </c>
      <c r="O9" s="18" t="n">
        <v>5</v>
      </c>
      <c r="P9" s="18" t="n">
        <v>1</v>
      </c>
      <c r="Q9" s="16">
        <f>P9/O9</f>
        <v/>
      </c>
      <c r="R9" s="1" t="n">
        <v>486</v>
      </c>
      <c r="S9" s="1" t="n">
        <v>3</v>
      </c>
      <c r="T9" s="1" t="n">
        <v>0</v>
      </c>
      <c r="U9" s="1" t="n">
        <v>4</v>
      </c>
      <c r="V9" s="1" t="n">
        <v>12</v>
      </c>
      <c r="W9" s="1" t="n">
        <v>5</v>
      </c>
      <c r="X9" s="1" t="n">
        <v>1</v>
      </c>
      <c r="Y9" s="1" t="n">
        <v>2</v>
      </c>
      <c r="Z9" s="1" t="n">
        <v>7</v>
      </c>
      <c r="AA9" s="1" t="n">
        <v>0</v>
      </c>
      <c r="AB9" s="1" t="n">
        <v>2</v>
      </c>
      <c r="AC9" s="1" t="n">
        <v>3</v>
      </c>
      <c r="AD9" s="1" t="n">
        <v>0</v>
      </c>
      <c r="AE9" s="1" t="n">
        <v>1</v>
      </c>
      <c r="AF9" s="1" t="n">
        <v>1</v>
      </c>
      <c r="AG9" s="1" t="n">
        <v>6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1</v>
      </c>
    </row>
    <row r="10">
      <c r="A10" s="1" t="inlineStr">
        <is>
          <t>acute T cell leukemia</t>
        </is>
      </c>
      <c r="B10" s="1" t="inlineStr">
        <is>
          <t>EFO_0000209</t>
        </is>
      </c>
      <c r="C10" s="1" t="inlineStr">
        <is>
          <t>synonym</t>
        </is>
      </c>
      <c r="D10" s="1" t="n">
        <v>0.05</v>
      </c>
      <c r="E10" s="15" t="n">
        <v>9</v>
      </c>
      <c r="F10" s="15" t="n">
        <v>114</v>
      </c>
      <c r="G10" s="15" t="n">
        <v>3</v>
      </c>
      <c r="H10" s="16">
        <f>G10/F10</f>
        <v/>
      </c>
      <c r="I10" s="16">
        <f>G10/E10</f>
        <v/>
      </c>
      <c r="J10" s="17" t="n">
        <v>12</v>
      </c>
      <c r="K10" s="17" t="n">
        <v>0</v>
      </c>
      <c r="L10" s="17" t="n">
        <v>0</v>
      </c>
      <c r="M10" s="16">
        <f>L10/K10</f>
        <v/>
      </c>
      <c r="N10" s="16">
        <f>L10/J10</f>
        <v/>
      </c>
      <c r="O10" s="18" t="n">
        <v>0</v>
      </c>
      <c r="P10" s="18" t="n">
        <v>0</v>
      </c>
      <c r="Q10" s="16">
        <f>P10/O10</f>
        <v/>
      </c>
      <c r="R10" s="1" t="n">
        <v>576</v>
      </c>
      <c r="S10" s="1" t="n">
        <v>3</v>
      </c>
      <c r="T10" s="1" t="n">
        <v>0</v>
      </c>
      <c r="U10" s="1" t="n">
        <v>1</v>
      </c>
      <c r="V10" s="1" t="n">
        <v>5</v>
      </c>
      <c r="W10" s="1" t="n">
        <v>0</v>
      </c>
      <c r="X10" s="1" t="n">
        <v>0</v>
      </c>
      <c r="Y10" s="1" t="n">
        <v>1</v>
      </c>
      <c r="Z10" s="1" t="n">
        <v>3</v>
      </c>
      <c r="AA10" s="1" t="n">
        <v>0</v>
      </c>
      <c r="AB10" s="1" t="n">
        <v>0</v>
      </c>
      <c r="AC10" s="1" t="n">
        <v>1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1</v>
      </c>
      <c r="AI10" s="1" t="n">
        <v>0</v>
      </c>
      <c r="AJ10" s="1" t="n">
        <v>4</v>
      </c>
      <c r="AK10" s="1" t="n">
        <v>15</v>
      </c>
      <c r="AL10" s="1" t="n">
        <v>6</v>
      </c>
      <c r="AM10" s="1" t="n">
        <v>1</v>
      </c>
    </row>
    <row r="11">
      <c r="A11" s="1" t="inlineStr">
        <is>
          <t>adenosquamous cell lung carcinoma</t>
        </is>
      </c>
      <c r="B11" s="1" t="inlineStr">
        <is>
          <t>EFO_0000233</t>
        </is>
      </c>
      <c r="C11" s="1" t="inlineStr">
        <is>
          <t>synonym</t>
        </is>
      </c>
      <c r="D11" s="1" t="n">
        <v>0.05</v>
      </c>
      <c r="E11" s="15" t="n">
        <v>6</v>
      </c>
      <c r="F11" s="15" t="n">
        <v>370</v>
      </c>
      <c r="G11" s="15" t="n">
        <v>6</v>
      </c>
      <c r="H11" s="16">
        <f>G11/F11</f>
        <v/>
      </c>
      <c r="I11" s="16">
        <f>G11/E11</f>
        <v/>
      </c>
      <c r="J11" s="17" t="n">
        <v>4</v>
      </c>
      <c r="K11" s="17" t="n">
        <v>19</v>
      </c>
      <c r="L11" s="17" t="n">
        <v>1</v>
      </c>
      <c r="M11" s="16">
        <f>L11/K11</f>
        <v/>
      </c>
      <c r="N11" s="16">
        <f>L11/J11</f>
        <v/>
      </c>
      <c r="O11" s="18" t="n">
        <v>0</v>
      </c>
      <c r="P11" s="18" t="n">
        <v>0</v>
      </c>
      <c r="Q11" s="16">
        <f>P11/O11</f>
        <v/>
      </c>
      <c r="R11" s="1" t="n">
        <v>261</v>
      </c>
      <c r="S11" s="1" t="n">
        <v>7</v>
      </c>
      <c r="T11" s="1" t="n">
        <v>0</v>
      </c>
      <c r="U11" s="1" t="n">
        <v>2</v>
      </c>
      <c r="V11" s="1" t="n">
        <v>7</v>
      </c>
      <c r="W11" s="1" t="n">
        <v>2</v>
      </c>
      <c r="X11" s="1" t="n">
        <v>0</v>
      </c>
      <c r="Y11" s="1" t="n">
        <v>3</v>
      </c>
      <c r="Z11" s="1" t="n">
        <v>8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</row>
    <row r="12">
      <c r="A12" s="1" t="inlineStr">
        <is>
          <t>alcoholic hepatitis</t>
        </is>
      </c>
      <c r="B12" s="1" t="inlineStr">
        <is>
          <t>EFO_1001345</t>
        </is>
      </c>
      <c r="C12" s="1" t="inlineStr">
        <is>
          <t>synonym</t>
        </is>
      </c>
      <c r="D12" s="1" t="n">
        <v>0.05</v>
      </c>
      <c r="E12" s="15" t="n">
        <v>1</v>
      </c>
      <c r="F12" s="15" t="n">
        <v>251</v>
      </c>
      <c r="G12" s="15" t="n">
        <v>0</v>
      </c>
      <c r="H12" s="16">
        <f>G12/F12</f>
        <v/>
      </c>
      <c r="I12" s="16">
        <f>G12/E12</f>
        <v/>
      </c>
      <c r="J12" s="17" t="n">
        <v>4</v>
      </c>
      <c r="K12" s="17" t="n">
        <v>6</v>
      </c>
      <c r="L12" s="17" t="n">
        <v>0</v>
      </c>
      <c r="M12" s="16">
        <f>L12/K12</f>
        <v/>
      </c>
      <c r="N12" s="16">
        <f>L12/J12</f>
        <v/>
      </c>
      <c r="O12" s="18" t="n">
        <v>0</v>
      </c>
      <c r="P12" s="18" t="n">
        <v>0</v>
      </c>
      <c r="Q12" s="16">
        <f>P12/O12</f>
        <v/>
      </c>
      <c r="R12" s="1" t="n">
        <v>142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3</v>
      </c>
      <c r="AK12" s="1" t="n">
        <v>0</v>
      </c>
      <c r="AL12" s="1" t="n">
        <v>0</v>
      </c>
      <c r="AM12" s="1" t="n">
        <v>2</v>
      </c>
    </row>
    <row r="13">
      <c r="A13" s="1" t="inlineStr">
        <is>
          <t>Alzheimer's disease</t>
        </is>
      </c>
      <c r="B13" s="1" t="inlineStr">
        <is>
          <t>MONDO_0004975</t>
        </is>
      </c>
      <c r="C13" s="1" t="inlineStr">
        <is>
          <t>synonym</t>
        </is>
      </c>
      <c r="D13" s="1" t="n">
        <v>0.05</v>
      </c>
      <c r="E13" s="15" t="n">
        <v>13</v>
      </c>
      <c r="F13" s="15" t="n">
        <v>283</v>
      </c>
      <c r="G13" s="15" t="n">
        <v>7</v>
      </c>
      <c r="H13" s="16">
        <f>G13/F13</f>
        <v/>
      </c>
      <c r="I13" s="16">
        <f>G13/E13</f>
        <v/>
      </c>
      <c r="J13" s="17" t="n">
        <v>37</v>
      </c>
      <c r="K13" s="17" t="n">
        <v>40</v>
      </c>
      <c r="L13" s="17" t="n">
        <v>1</v>
      </c>
      <c r="M13" s="16">
        <f>L13/K13</f>
        <v/>
      </c>
      <c r="N13" s="16">
        <f>L13/J13</f>
        <v/>
      </c>
      <c r="O13" s="18" t="n">
        <v>1</v>
      </c>
      <c r="P13" s="18" t="n">
        <v>0</v>
      </c>
      <c r="Q13" s="16">
        <f>P13/O13</f>
        <v/>
      </c>
      <c r="R13" s="1" t="n">
        <v>1595</v>
      </c>
      <c r="S13" s="1" t="n">
        <v>8</v>
      </c>
      <c r="T13" s="1" t="n">
        <v>2</v>
      </c>
      <c r="U13" s="1" t="n">
        <v>3</v>
      </c>
      <c r="V13" s="1" t="n">
        <v>4</v>
      </c>
      <c r="W13" s="1" t="n">
        <v>6</v>
      </c>
      <c r="X13" s="1" t="n">
        <v>0</v>
      </c>
      <c r="Y13" s="1" t="n">
        <v>0</v>
      </c>
      <c r="Z13" s="1" t="n">
        <v>9</v>
      </c>
      <c r="AA13" s="1" t="n">
        <v>1</v>
      </c>
      <c r="AB13" s="1" t="n">
        <v>0</v>
      </c>
      <c r="AC13" s="1" t="n">
        <v>0</v>
      </c>
      <c r="AD13" s="1" t="n">
        <v>0</v>
      </c>
      <c r="AE13" s="1" t="n">
        <v>3</v>
      </c>
      <c r="AF13" s="1" t="n">
        <v>0</v>
      </c>
      <c r="AG13" s="1" t="n">
        <v>1</v>
      </c>
      <c r="AH13" s="1" t="n">
        <v>1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</row>
    <row r="14">
      <c r="A14" s="1" t="inlineStr">
        <is>
          <t>anaplastic thyroid carcinoma</t>
        </is>
      </c>
      <c r="B14" s="1" t="inlineStr">
        <is>
          <t>EFO_1000595</t>
        </is>
      </c>
      <c r="C14" s="1" t="inlineStr">
        <is>
          <t>synonym</t>
        </is>
      </c>
      <c r="D14" s="1" t="n">
        <v>0.05</v>
      </c>
      <c r="E14" s="15" t="n">
        <v>6</v>
      </c>
      <c r="F14" s="15" t="n">
        <v>272</v>
      </c>
      <c r="G14" s="15" t="n">
        <v>6</v>
      </c>
      <c r="H14" s="16">
        <f>G14/F14</f>
        <v/>
      </c>
      <c r="I14" s="16">
        <f>G14/E14</f>
        <v/>
      </c>
      <c r="J14" s="17" t="n">
        <v>2</v>
      </c>
      <c r="K14" s="17" t="n">
        <v>8</v>
      </c>
      <c r="L14" s="17" t="n">
        <v>0</v>
      </c>
      <c r="M14" s="16">
        <f>L14/K14</f>
        <v/>
      </c>
      <c r="N14" s="16">
        <f>L14/J14</f>
        <v/>
      </c>
      <c r="O14" s="18" t="n">
        <v>1</v>
      </c>
      <c r="P14" s="18" t="n">
        <v>0</v>
      </c>
      <c r="Q14" s="16">
        <f>P14/O14</f>
        <v/>
      </c>
      <c r="R14" s="1" t="n">
        <v>113</v>
      </c>
      <c r="S14" s="1" t="n">
        <v>6</v>
      </c>
      <c r="T14" s="1" t="n">
        <v>2</v>
      </c>
      <c r="U14" s="1" t="n">
        <v>0</v>
      </c>
      <c r="V14" s="1" t="n">
        <v>4</v>
      </c>
      <c r="W14" s="1" t="n">
        <v>0</v>
      </c>
      <c r="X14" s="1" t="n">
        <v>0</v>
      </c>
      <c r="Y14" s="1" t="n">
        <v>2</v>
      </c>
      <c r="Z14" s="1" t="n">
        <v>2</v>
      </c>
      <c r="AA14" s="1" t="n">
        <v>0</v>
      </c>
      <c r="AB14" s="1" t="n">
        <v>0</v>
      </c>
      <c r="AC14" s="1" t="n">
        <v>2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</row>
    <row r="15">
      <c r="A15" s="1" t="inlineStr">
        <is>
          <t>anterior horn cell disease</t>
        </is>
      </c>
      <c r="B15" s="1" t="inlineStr">
        <is>
          <t>EFO_0003782</t>
        </is>
      </c>
      <c r="C15" s="1" t="inlineStr">
        <is>
          <t>synonym</t>
        </is>
      </c>
      <c r="D15" s="1" t="n">
        <v>0.05</v>
      </c>
      <c r="E15" s="15" t="n">
        <v>0</v>
      </c>
      <c r="F15" s="15" t="n">
        <v>242</v>
      </c>
      <c r="G15" s="15" t="n">
        <v>0</v>
      </c>
      <c r="H15" s="16">
        <f>G15/F15</f>
        <v/>
      </c>
      <c r="I15" s="16">
        <f>G15/E15</f>
        <v/>
      </c>
      <c r="J15" s="17" t="n">
        <v>0</v>
      </c>
      <c r="K15" s="17" t="n">
        <v>47</v>
      </c>
      <c r="L15" s="17" t="n">
        <v>0</v>
      </c>
      <c r="M15" s="16">
        <f>L15/K15</f>
        <v/>
      </c>
      <c r="N15" s="16">
        <f>L15/J15</f>
        <v/>
      </c>
      <c r="O15" s="18" t="n">
        <v>0</v>
      </c>
      <c r="P15" s="18" t="n">
        <v>0</v>
      </c>
      <c r="Q15" s="16">
        <f>P15/O15</f>
        <v/>
      </c>
      <c r="R15" s="1" t="n">
        <v>38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1</v>
      </c>
      <c r="AJ15" s="1" t="n">
        <v>11</v>
      </c>
      <c r="AK15" s="1" t="n">
        <v>0</v>
      </c>
      <c r="AL15" s="1" t="n">
        <v>3</v>
      </c>
      <c r="AM15" s="1" t="n">
        <v>4</v>
      </c>
    </row>
    <row r="16">
      <c r="A16" s="1" t="inlineStr">
        <is>
          <t>atopic dermatitis</t>
        </is>
      </c>
      <c r="B16" s="1" t="inlineStr">
        <is>
          <t>EFO_0000274</t>
        </is>
      </c>
      <c r="C16" s="1" t="inlineStr">
        <is>
          <t>synonym</t>
        </is>
      </c>
      <c r="D16" s="1" t="n">
        <v>0.05</v>
      </c>
      <c r="E16" s="15" t="n">
        <v>10</v>
      </c>
      <c r="F16" s="15" t="n">
        <v>354</v>
      </c>
      <c r="G16" s="15" t="n">
        <v>9</v>
      </c>
      <c r="H16" s="16">
        <f>G16/F16</f>
        <v/>
      </c>
      <c r="I16" s="16">
        <f>G16/E16</f>
        <v/>
      </c>
      <c r="J16" s="17" t="n">
        <v>24</v>
      </c>
      <c r="K16" s="17" t="n">
        <v>1</v>
      </c>
      <c r="L16" s="17" t="n">
        <v>0</v>
      </c>
      <c r="M16" s="16">
        <f>L16/K16</f>
        <v/>
      </c>
      <c r="N16" s="16">
        <f>L16/J16</f>
        <v/>
      </c>
      <c r="O16" s="18" t="n">
        <v>0</v>
      </c>
      <c r="P16" s="18" t="n">
        <v>0</v>
      </c>
      <c r="Q16" s="16">
        <f>P16/O16</f>
        <v/>
      </c>
      <c r="R16" s="1" t="n">
        <v>1175</v>
      </c>
      <c r="S16" s="1" t="n">
        <v>9</v>
      </c>
      <c r="T16" s="1" t="n">
        <v>1</v>
      </c>
      <c r="U16" s="1" t="n">
        <v>5</v>
      </c>
      <c r="V16" s="1" t="n">
        <v>2</v>
      </c>
      <c r="W16" s="1" t="n">
        <v>3</v>
      </c>
      <c r="X16" s="1" t="n">
        <v>2</v>
      </c>
      <c r="Y16" s="1" t="n">
        <v>0</v>
      </c>
      <c r="Z16" s="1" t="n">
        <v>6</v>
      </c>
      <c r="AA16" s="1" t="n">
        <v>0</v>
      </c>
      <c r="AB16" s="1" t="n">
        <v>2</v>
      </c>
      <c r="AC16" s="1" t="n">
        <v>1</v>
      </c>
      <c r="AD16" s="1" t="n">
        <v>0</v>
      </c>
      <c r="AE16" s="1" t="n">
        <v>1</v>
      </c>
      <c r="AF16" s="1" t="n">
        <v>2</v>
      </c>
      <c r="AG16" s="1" t="n">
        <v>0</v>
      </c>
      <c r="AH16" s="1" t="n">
        <v>1</v>
      </c>
      <c r="AI16" s="1" t="n">
        <v>3</v>
      </c>
      <c r="AJ16" s="1" t="n">
        <v>9</v>
      </c>
      <c r="AK16" s="1" t="n">
        <v>2</v>
      </c>
      <c r="AL16" s="1" t="n">
        <v>8</v>
      </c>
      <c r="AM16" s="1" t="n">
        <v>5</v>
      </c>
    </row>
    <row r="17">
      <c r="A17" s="1" t="inlineStr">
        <is>
          <t>autistic disorder</t>
        </is>
      </c>
      <c r="B17" s="1" t="inlineStr">
        <is>
          <t>EFO_0003758</t>
        </is>
      </c>
      <c r="C17" s="1" t="inlineStr">
        <is>
          <t>synonym</t>
        </is>
      </c>
      <c r="D17" s="1" t="n">
        <v>0.05</v>
      </c>
      <c r="E17" s="15" t="n">
        <v>5</v>
      </c>
      <c r="F17" s="15" t="n">
        <v>379</v>
      </c>
      <c r="G17" s="15" t="n">
        <v>5</v>
      </c>
      <c r="H17" s="16">
        <f>G17/F17</f>
        <v/>
      </c>
      <c r="I17" s="16">
        <f>G17/E17</f>
        <v/>
      </c>
      <c r="J17" s="17" t="n">
        <v>17</v>
      </c>
      <c r="K17" s="17" t="n">
        <v>0</v>
      </c>
      <c r="L17" s="17" t="n">
        <v>0</v>
      </c>
      <c r="M17" s="16">
        <f>L17/K17</f>
        <v/>
      </c>
      <c r="N17" s="16">
        <f>L17/J17</f>
        <v/>
      </c>
      <c r="O17" s="18" t="n">
        <v>0</v>
      </c>
      <c r="P17" s="18" t="n">
        <v>0</v>
      </c>
      <c r="Q17" s="16">
        <f>P17/O17</f>
        <v/>
      </c>
      <c r="R17" s="1" t="n">
        <v>475</v>
      </c>
      <c r="S17" s="1" t="n">
        <v>5</v>
      </c>
      <c r="T17" s="1" t="n">
        <v>1</v>
      </c>
      <c r="U17" s="1" t="n">
        <v>0</v>
      </c>
      <c r="V17" s="1" t="n">
        <v>3</v>
      </c>
      <c r="W17" s="1" t="n">
        <v>1</v>
      </c>
      <c r="X17" s="1" t="n">
        <v>0</v>
      </c>
      <c r="Y17" s="1" t="n">
        <v>0</v>
      </c>
      <c r="Z17" s="1" t="n">
        <v>3</v>
      </c>
      <c r="AA17" s="1" t="n">
        <v>0</v>
      </c>
      <c r="AB17" s="1" t="n">
        <v>0</v>
      </c>
      <c r="AC17" s="1" t="n">
        <v>2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</row>
    <row r="18">
      <c r="A18" s="1" t="inlineStr">
        <is>
          <t>bacterial infectious disease</t>
        </is>
      </c>
      <c r="B18" s="1" t="inlineStr">
        <is>
          <t>EFO_0000771</t>
        </is>
      </c>
      <c r="C18" s="1" t="inlineStr">
        <is>
          <t>synonym</t>
        </is>
      </c>
      <c r="D18" s="1" t="n">
        <v>0.05</v>
      </c>
      <c r="E18" s="15" t="n">
        <v>1</v>
      </c>
      <c r="F18" s="15" t="n">
        <v>118</v>
      </c>
      <c r="G18" s="15" t="n">
        <v>0</v>
      </c>
      <c r="H18" s="16">
        <f>G18/F18</f>
        <v/>
      </c>
      <c r="I18" s="16">
        <f>G18/E18</f>
        <v/>
      </c>
      <c r="J18" s="17" t="n">
        <v>1</v>
      </c>
      <c r="K18" s="17" t="n">
        <v>4</v>
      </c>
      <c r="L18" s="17" t="n">
        <v>0</v>
      </c>
      <c r="M18" s="16">
        <f>L18/K18</f>
        <v/>
      </c>
      <c r="N18" s="16">
        <f>L18/J18</f>
        <v/>
      </c>
      <c r="O18" s="18" t="n">
        <v>0</v>
      </c>
      <c r="P18" s="18" t="n">
        <v>0</v>
      </c>
      <c r="Q18" s="16">
        <f>P18/O18</f>
        <v/>
      </c>
      <c r="R18" s="1" t="n">
        <v>41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</row>
    <row r="19">
      <c r="A19" s="1" t="inlineStr">
        <is>
          <t>cervix carcinoma</t>
        </is>
      </c>
      <c r="B19" s="1" t="inlineStr">
        <is>
          <t>EFO_0001061</t>
        </is>
      </c>
      <c r="C19" s="1" t="inlineStr">
        <is>
          <t>synonym</t>
        </is>
      </c>
      <c r="D19" s="1" t="n">
        <v>0.05</v>
      </c>
      <c r="E19" s="15" t="n">
        <v>5</v>
      </c>
      <c r="F19" s="15" t="n">
        <v>0</v>
      </c>
      <c r="G19" s="15" t="n">
        <v>0</v>
      </c>
      <c r="H19" s="16">
        <f>G19/F19</f>
        <v/>
      </c>
      <c r="I19" s="16">
        <f>G19/E19</f>
        <v/>
      </c>
      <c r="J19" s="17" t="n">
        <v>3</v>
      </c>
      <c r="K19" s="17" t="n">
        <v>0</v>
      </c>
      <c r="L19" s="17" t="n">
        <v>0</v>
      </c>
      <c r="M19" s="16">
        <f>L19/K19</f>
        <v/>
      </c>
      <c r="N19" s="16">
        <f>L19/J19</f>
        <v/>
      </c>
      <c r="O19" s="18" t="n">
        <v>0</v>
      </c>
      <c r="P19" s="18" t="n">
        <v>0</v>
      </c>
      <c r="Q19" s="16">
        <f>P19/O19</f>
        <v/>
      </c>
      <c r="R19" s="1" t="n">
        <v>293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</row>
    <row r="20">
      <c r="A20" s="1" t="inlineStr">
        <is>
          <t>childhood type dermatomyositis</t>
        </is>
      </c>
      <c r="B20" s="1" t="inlineStr">
        <is>
          <t>EFO_0000557</t>
        </is>
      </c>
      <c r="C20" s="1" t="inlineStr">
        <is>
          <t>synonym</t>
        </is>
      </c>
      <c r="D20" s="1" t="n">
        <v>0.05</v>
      </c>
      <c r="E20" s="15" t="n">
        <v>2</v>
      </c>
      <c r="F20" s="15" t="n">
        <v>370</v>
      </c>
      <c r="G20" s="15" t="n">
        <v>2</v>
      </c>
      <c r="H20" s="16">
        <f>G20/F20</f>
        <v/>
      </c>
      <c r="I20" s="16">
        <f>G20/E20</f>
        <v/>
      </c>
      <c r="J20" s="17" t="n">
        <v>4</v>
      </c>
      <c r="K20" s="17" t="n">
        <v>7</v>
      </c>
      <c r="L20" s="17" t="n">
        <v>0</v>
      </c>
      <c r="M20" s="16">
        <f>L20/K20</f>
        <v/>
      </c>
      <c r="N20" s="16">
        <f>L20/J20</f>
        <v/>
      </c>
      <c r="O20" s="18" t="n">
        <v>0</v>
      </c>
      <c r="P20" s="18" t="n">
        <v>0</v>
      </c>
      <c r="Q20" s="16">
        <f>P20/O20</f>
        <v/>
      </c>
      <c r="R20" s="1" t="n">
        <v>160</v>
      </c>
      <c r="S20" s="1" t="n">
        <v>2</v>
      </c>
      <c r="T20" s="1" t="n">
        <v>0</v>
      </c>
      <c r="U20" s="1" t="n">
        <v>0</v>
      </c>
      <c r="V20" s="1" t="n">
        <v>0</v>
      </c>
      <c r="W20" s="1" t="n">
        <v>2</v>
      </c>
      <c r="X20" s="1" t="n">
        <v>0</v>
      </c>
      <c r="Y20" s="1" t="n">
        <v>0</v>
      </c>
      <c r="Z20" s="1" t="n">
        <v>2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</row>
    <row r="21">
      <c r="A21" s="1" t="inlineStr">
        <is>
          <t>chronic myeloid leukemia</t>
        </is>
      </c>
      <c r="B21" s="1" t="inlineStr">
        <is>
          <t>EFO_0000339</t>
        </is>
      </c>
      <c r="C21" s="1" t="inlineStr">
        <is>
          <t>synonym</t>
        </is>
      </c>
      <c r="D21" s="1" t="n">
        <v>0.05</v>
      </c>
      <c r="E21" s="15" t="n">
        <v>23</v>
      </c>
      <c r="F21" s="15" t="n">
        <v>259</v>
      </c>
      <c r="G21" s="15" t="n">
        <v>17</v>
      </c>
      <c r="H21" s="16">
        <f>G21/F21</f>
        <v/>
      </c>
      <c r="I21" s="16">
        <f>G21/E21</f>
        <v/>
      </c>
      <c r="J21" s="17" t="n">
        <v>16</v>
      </c>
      <c r="K21" s="17" t="n">
        <v>61</v>
      </c>
      <c r="L21" s="17" t="n">
        <v>3</v>
      </c>
      <c r="M21" s="16">
        <f>L21/K21</f>
        <v/>
      </c>
      <c r="N21" s="16">
        <f>L21/J21</f>
        <v/>
      </c>
      <c r="O21" s="18" t="n">
        <v>2</v>
      </c>
      <c r="P21" s="18" t="n">
        <v>0</v>
      </c>
      <c r="Q21" s="16">
        <f>P21/O21</f>
        <v/>
      </c>
      <c r="R21" s="1" t="n">
        <v>794</v>
      </c>
      <c r="S21" s="1" t="n">
        <v>20</v>
      </c>
      <c r="T21" s="1" t="n">
        <v>0</v>
      </c>
      <c r="U21" s="1" t="n">
        <v>17</v>
      </c>
      <c r="V21" s="1" t="n">
        <v>18</v>
      </c>
      <c r="W21" s="1" t="n">
        <v>9</v>
      </c>
      <c r="X21" s="1" t="n">
        <v>1</v>
      </c>
      <c r="Y21" s="1" t="n">
        <v>6</v>
      </c>
      <c r="Z21" s="1" t="n">
        <v>16</v>
      </c>
      <c r="AA21" s="1" t="n">
        <v>0</v>
      </c>
      <c r="AB21" s="1" t="n">
        <v>2</v>
      </c>
      <c r="AC21" s="1" t="n">
        <v>5</v>
      </c>
      <c r="AD21" s="1" t="n">
        <v>0</v>
      </c>
      <c r="AE21" s="1" t="n">
        <v>10</v>
      </c>
      <c r="AF21" s="1" t="n">
        <v>1</v>
      </c>
      <c r="AG21" s="1" t="n">
        <v>3</v>
      </c>
      <c r="AH21" s="1" t="n">
        <v>2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</row>
    <row r="22">
      <c r="A22" s="1" t="inlineStr">
        <is>
          <t>colon cancer</t>
        </is>
      </c>
      <c r="B22" s="1" t="inlineStr">
        <is>
          <t>EFO_1001950</t>
        </is>
      </c>
      <c r="C22" s="1" t="inlineStr">
        <is>
          <t>synonym</t>
        </is>
      </c>
      <c r="D22" s="1" t="n">
        <v>0.05</v>
      </c>
      <c r="E22" s="15" t="n">
        <v>5</v>
      </c>
      <c r="F22" s="15" t="n">
        <v>224</v>
      </c>
      <c r="G22" s="15" t="n">
        <v>4</v>
      </c>
      <c r="H22" s="16">
        <f>G22/F22</f>
        <v/>
      </c>
      <c r="I22" s="16">
        <f>G22/E22</f>
        <v/>
      </c>
      <c r="J22" s="17" t="n">
        <v>2</v>
      </c>
      <c r="K22" s="17" t="n">
        <v>94</v>
      </c>
      <c r="L22" s="17" t="n">
        <v>0</v>
      </c>
      <c r="M22" s="16">
        <f>L22/K22</f>
        <v/>
      </c>
      <c r="N22" s="16">
        <f>L22/J22</f>
        <v/>
      </c>
      <c r="O22" s="18" t="n">
        <v>4</v>
      </c>
      <c r="P22" s="18" t="n">
        <v>0</v>
      </c>
      <c r="Q22" s="16">
        <f>P22/O22</f>
        <v/>
      </c>
      <c r="R22" s="1" t="n">
        <v>159</v>
      </c>
      <c r="S22" s="1" t="n">
        <v>4</v>
      </c>
      <c r="T22" s="1" t="n">
        <v>0</v>
      </c>
      <c r="U22" s="1" t="n">
        <v>0</v>
      </c>
      <c r="V22" s="1" t="n">
        <v>4</v>
      </c>
      <c r="W22" s="1" t="n">
        <v>0</v>
      </c>
      <c r="X22" s="1" t="n">
        <v>0</v>
      </c>
      <c r="Y22" s="1" t="n">
        <v>1</v>
      </c>
      <c r="Z22" s="1" t="n">
        <v>0</v>
      </c>
      <c r="AA22" s="1" t="n">
        <v>0</v>
      </c>
      <c r="AB22" s="1" t="n">
        <v>0</v>
      </c>
      <c r="AC22" s="1" t="n">
        <v>3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</row>
    <row r="23">
      <c r="A23" s="1" t="inlineStr">
        <is>
          <t>ductal carcinoma in situ</t>
        </is>
      </c>
      <c r="B23" s="1" t="inlineStr">
        <is>
          <t>EFO_0000432</t>
        </is>
      </c>
      <c r="C23" s="1" t="inlineStr">
        <is>
          <t>synonym</t>
        </is>
      </c>
      <c r="D23" s="1" t="n">
        <v>0.05</v>
      </c>
      <c r="E23" s="15" t="n">
        <v>8</v>
      </c>
      <c r="F23" s="15" t="n">
        <v>215</v>
      </c>
      <c r="G23" s="15" t="n">
        <v>4</v>
      </c>
      <c r="H23" s="16">
        <f>G23/F23</f>
        <v/>
      </c>
      <c r="I23" s="16">
        <f>G23/E23</f>
        <v/>
      </c>
      <c r="J23" s="17" t="n">
        <v>10</v>
      </c>
      <c r="K23" s="17" t="n">
        <v>90</v>
      </c>
      <c r="L23" s="17" t="n">
        <v>4</v>
      </c>
      <c r="M23" s="16">
        <f>L23/K23</f>
        <v/>
      </c>
      <c r="N23" s="16">
        <f>L23/J23</f>
        <v/>
      </c>
      <c r="O23" s="18" t="n">
        <v>0</v>
      </c>
      <c r="P23" s="18" t="n">
        <v>0</v>
      </c>
      <c r="Q23" s="16">
        <f>P23/O23</f>
        <v/>
      </c>
      <c r="R23" s="1" t="n">
        <v>425</v>
      </c>
      <c r="S23" s="1" t="n">
        <v>8</v>
      </c>
      <c r="T23" s="1" t="n">
        <v>1</v>
      </c>
      <c r="U23" s="1" t="n">
        <v>2</v>
      </c>
      <c r="V23" s="1" t="n">
        <v>5</v>
      </c>
      <c r="W23" s="1" t="n">
        <v>1</v>
      </c>
      <c r="X23" s="1" t="n">
        <v>0</v>
      </c>
      <c r="Y23" s="1" t="n">
        <v>2</v>
      </c>
      <c r="Z23" s="1" t="n">
        <v>0</v>
      </c>
      <c r="AA23" s="1" t="n">
        <v>0</v>
      </c>
      <c r="AB23" s="1" t="n">
        <v>0</v>
      </c>
      <c r="AC23" s="1" t="n">
        <v>3</v>
      </c>
      <c r="AD23" s="1" t="n">
        <v>0</v>
      </c>
      <c r="AE23" s="1" t="n">
        <v>3</v>
      </c>
      <c r="AF23" s="1" t="n">
        <v>0</v>
      </c>
      <c r="AG23" s="1" t="n">
        <v>0</v>
      </c>
      <c r="AH23" s="1" t="n">
        <v>1</v>
      </c>
      <c r="AI23" s="1" t="n">
        <v>0</v>
      </c>
      <c r="AJ23" s="1" t="n">
        <v>0</v>
      </c>
      <c r="AK23" s="1" t="n">
        <v>1</v>
      </c>
      <c r="AL23" s="1" t="n">
        <v>0</v>
      </c>
      <c r="AM23" s="1" t="n">
        <v>0</v>
      </c>
    </row>
    <row r="24">
      <c r="A24" s="1" t="inlineStr">
        <is>
          <t>Eczema</t>
        </is>
      </c>
      <c r="B24" s="1" t="inlineStr">
        <is>
          <t>EFO_0000274</t>
        </is>
      </c>
      <c r="C24" s="1" t="inlineStr">
        <is>
          <t>synonym</t>
        </is>
      </c>
      <c r="D24" s="1" t="n">
        <v>0.05</v>
      </c>
      <c r="E24" s="15" t="n">
        <v>10</v>
      </c>
      <c r="F24" s="15" t="n">
        <v>374</v>
      </c>
      <c r="G24" s="15" t="n">
        <v>10</v>
      </c>
      <c r="H24" s="16">
        <f>G24/F24</f>
        <v/>
      </c>
      <c r="I24" s="16">
        <f>G24/E24</f>
        <v/>
      </c>
      <c r="J24" s="17" t="n">
        <v>24</v>
      </c>
      <c r="K24" s="17" t="n">
        <v>35</v>
      </c>
      <c r="L24" s="17" t="n">
        <v>0</v>
      </c>
      <c r="M24" s="16">
        <f>L24/K24</f>
        <v/>
      </c>
      <c r="N24" s="16">
        <f>L24/J24</f>
        <v/>
      </c>
      <c r="O24" s="18" t="n">
        <v>2</v>
      </c>
      <c r="P24" s="18" t="n">
        <v>0</v>
      </c>
      <c r="Q24" s="16">
        <f>P24/O24</f>
        <v/>
      </c>
      <c r="R24" s="1" t="n">
        <v>1175</v>
      </c>
      <c r="S24" s="1" t="n">
        <v>10</v>
      </c>
      <c r="T24" s="1" t="n">
        <v>2</v>
      </c>
      <c r="U24" s="1" t="n">
        <v>6</v>
      </c>
      <c r="V24" s="1" t="n">
        <v>2</v>
      </c>
      <c r="W24" s="1" t="n">
        <v>3</v>
      </c>
      <c r="X24" s="1" t="n">
        <v>2</v>
      </c>
      <c r="Y24" s="1" t="n">
        <v>1</v>
      </c>
      <c r="Z24" s="1" t="n">
        <v>7</v>
      </c>
      <c r="AA24" s="1" t="n">
        <v>0</v>
      </c>
      <c r="AB24" s="1" t="n">
        <v>2</v>
      </c>
      <c r="AC24" s="1" t="n">
        <v>1</v>
      </c>
      <c r="AD24" s="1" t="n">
        <v>0</v>
      </c>
      <c r="AE24" s="1" t="n">
        <v>1</v>
      </c>
      <c r="AF24" s="1" t="n">
        <v>2</v>
      </c>
      <c r="AG24" s="1" t="n">
        <v>0</v>
      </c>
      <c r="AH24" s="1" t="n">
        <v>1</v>
      </c>
      <c r="AI24" s="1" t="n">
        <v>0</v>
      </c>
      <c r="AJ24" s="1" t="n">
        <v>3</v>
      </c>
      <c r="AK24" s="1" t="n">
        <v>0</v>
      </c>
      <c r="AL24" s="1" t="n">
        <v>1</v>
      </c>
      <c r="AM24" s="1" t="n">
        <v>1</v>
      </c>
    </row>
    <row r="25">
      <c r="A25" s="1" t="inlineStr">
        <is>
          <t>endometriosis of ovary</t>
        </is>
      </c>
      <c r="B25" s="1" t="inlineStr">
        <is>
          <t>EFO_1000418</t>
        </is>
      </c>
      <c r="C25" s="1" t="inlineStr">
        <is>
          <t>synonym</t>
        </is>
      </c>
      <c r="D25" s="1" t="n">
        <v>0.05</v>
      </c>
      <c r="E25" s="15" t="n">
        <v>0</v>
      </c>
      <c r="F25" s="15" t="n">
        <v>161</v>
      </c>
      <c r="G25" s="15" t="n">
        <v>0</v>
      </c>
      <c r="H25" s="16">
        <f>G25/F25</f>
        <v/>
      </c>
      <c r="I25" s="16">
        <f>G25/E25</f>
        <v/>
      </c>
      <c r="J25" s="17" t="n">
        <v>0</v>
      </c>
      <c r="K25" s="17" t="n">
        <v>5</v>
      </c>
      <c r="L25" s="17" t="n">
        <v>0</v>
      </c>
      <c r="M25" s="16">
        <f>L25/K25</f>
        <v/>
      </c>
      <c r="N25" s="16">
        <f>L25/J25</f>
        <v/>
      </c>
      <c r="O25" s="18" t="n">
        <v>0</v>
      </c>
      <c r="P25" s="18" t="n">
        <v>0</v>
      </c>
      <c r="Q25" s="16">
        <f>P25/O25</f>
        <v/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0</v>
      </c>
      <c r="AL25" s="1" t="n">
        <v>0</v>
      </c>
      <c r="AM25" s="1" t="n">
        <v>0</v>
      </c>
    </row>
    <row r="26">
      <c r="A26" s="1" t="inlineStr">
        <is>
          <t>esophagus adenocarcinoma</t>
        </is>
      </c>
      <c r="B26" s="1" t="inlineStr">
        <is>
          <t>EFO_0000478</t>
        </is>
      </c>
      <c r="C26" s="1" t="inlineStr">
        <is>
          <t>synonym</t>
        </is>
      </c>
      <c r="D26" s="1" t="n">
        <v>0.05</v>
      </c>
      <c r="E26" s="15" t="n">
        <v>6</v>
      </c>
      <c r="F26" s="15" t="n">
        <v>280</v>
      </c>
      <c r="G26" s="15" t="n">
        <v>5</v>
      </c>
      <c r="H26" s="16">
        <f>G26/F26</f>
        <v/>
      </c>
      <c r="I26" s="16">
        <f>G26/E26</f>
        <v/>
      </c>
      <c r="J26" s="17" t="n">
        <v>3</v>
      </c>
      <c r="K26" s="17" t="n">
        <v>114</v>
      </c>
      <c r="L26" s="17" t="n">
        <v>0</v>
      </c>
      <c r="M26" s="16">
        <f>L26/K26</f>
        <v/>
      </c>
      <c r="N26" s="16">
        <f>L26/J26</f>
        <v/>
      </c>
      <c r="O26" s="18" t="n">
        <v>4</v>
      </c>
      <c r="P26" s="18" t="n">
        <v>0</v>
      </c>
      <c r="Q26" s="16">
        <f>P26/O26</f>
        <v/>
      </c>
      <c r="R26" s="1" t="n">
        <v>382</v>
      </c>
      <c r="S26" s="1" t="n">
        <v>5</v>
      </c>
      <c r="T26" s="1" t="n">
        <v>0</v>
      </c>
      <c r="U26" s="1" t="n">
        <v>6</v>
      </c>
      <c r="V26" s="1" t="n">
        <v>5</v>
      </c>
      <c r="W26" s="1" t="n">
        <v>1</v>
      </c>
      <c r="X26" s="1" t="n">
        <v>0</v>
      </c>
      <c r="Y26" s="1" t="n">
        <v>1</v>
      </c>
      <c r="Z26" s="1" t="n">
        <v>1</v>
      </c>
      <c r="AA26" s="1" t="n">
        <v>0</v>
      </c>
      <c r="AB26" s="1" t="n">
        <v>3</v>
      </c>
      <c r="AC26" s="1" t="n">
        <v>2</v>
      </c>
      <c r="AD26" s="1" t="n">
        <v>0</v>
      </c>
      <c r="AE26" s="1" t="n">
        <v>4</v>
      </c>
      <c r="AF26" s="1" t="n">
        <v>0</v>
      </c>
      <c r="AG26" s="1" t="n">
        <v>0</v>
      </c>
      <c r="AH26" s="1" t="n">
        <v>1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</row>
    <row r="27">
      <c r="A27" s="1" t="inlineStr">
        <is>
          <t>esophagus squamous cell carcinoma</t>
        </is>
      </c>
      <c r="B27" s="1" t="inlineStr">
        <is>
          <t>EFO_0005922</t>
        </is>
      </c>
      <c r="C27" s="1" t="inlineStr">
        <is>
          <t>synonym</t>
        </is>
      </c>
      <c r="D27" s="1" t="n">
        <v>0.05</v>
      </c>
      <c r="E27" s="15" t="n">
        <v>12</v>
      </c>
      <c r="F27" s="15" t="n">
        <v>201</v>
      </c>
      <c r="G27" s="15" t="n">
        <v>3</v>
      </c>
      <c r="H27" s="16">
        <f>G27/F27</f>
        <v/>
      </c>
      <c r="I27" s="16">
        <f>G27/E27</f>
        <v/>
      </c>
      <c r="J27" s="17" t="n">
        <v>7</v>
      </c>
      <c r="K27" s="17" t="n">
        <v>134</v>
      </c>
      <c r="L27" s="17" t="n">
        <v>0</v>
      </c>
      <c r="M27" s="16">
        <f>L27/K27</f>
        <v/>
      </c>
      <c r="N27" s="16">
        <f>L27/J27</f>
        <v/>
      </c>
      <c r="O27" s="18" t="n">
        <v>3</v>
      </c>
      <c r="P27" s="18" t="n">
        <v>0</v>
      </c>
      <c r="Q27" s="16">
        <f>P27/O27</f>
        <v/>
      </c>
      <c r="R27" s="1" t="n">
        <v>512</v>
      </c>
      <c r="S27" s="1" t="n">
        <v>3</v>
      </c>
      <c r="T27" s="1" t="n">
        <v>1</v>
      </c>
      <c r="U27" s="1" t="n">
        <v>8</v>
      </c>
      <c r="V27" s="1" t="n">
        <v>12</v>
      </c>
      <c r="W27" s="1" t="n">
        <v>7</v>
      </c>
      <c r="X27" s="1" t="n">
        <v>0</v>
      </c>
      <c r="Y27" s="1" t="n">
        <v>4</v>
      </c>
      <c r="Z27" s="1" t="n">
        <v>6</v>
      </c>
      <c r="AA27" s="1" t="n">
        <v>1</v>
      </c>
      <c r="AB27" s="1" t="n">
        <v>3</v>
      </c>
      <c r="AC27" s="1" t="n">
        <v>7</v>
      </c>
      <c r="AD27" s="1" t="n">
        <v>1</v>
      </c>
      <c r="AE27" s="1" t="n">
        <v>2</v>
      </c>
      <c r="AF27" s="1" t="n">
        <v>0</v>
      </c>
      <c r="AG27" s="1" t="n">
        <v>2</v>
      </c>
      <c r="AH27" s="1" t="n">
        <v>2</v>
      </c>
      <c r="AI27" s="1" t="n">
        <v>0</v>
      </c>
      <c r="AJ27" s="1" t="n">
        <v>2</v>
      </c>
      <c r="AK27" s="1" t="n">
        <v>4</v>
      </c>
      <c r="AL27" s="1" t="n">
        <v>0</v>
      </c>
      <c r="AM27" s="1" t="n">
        <v>1</v>
      </c>
    </row>
    <row r="28">
      <c r="A28" s="1" t="inlineStr">
        <is>
          <t>hemorrhagic thrombocythemia</t>
        </is>
      </c>
      <c r="B28" s="1" t="inlineStr">
        <is>
          <t>EFO_0000479</t>
        </is>
      </c>
      <c r="C28" s="1" t="inlineStr">
        <is>
          <t>synonym</t>
        </is>
      </c>
      <c r="D28" s="1" t="n">
        <v>0.05</v>
      </c>
      <c r="E28" s="15" t="n">
        <v>3</v>
      </c>
      <c r="F28" s="15" t="n">
        <v>41</v>
      </c>
      <c r="G28" s="15" t="n">
        <v>0</v>
      </c>
      <c r="H28" s="16">
        <f>G28/F28</f>
        <v/>
      </c>
      <c r="I28" s="16">
        <f>G28/E28</f>
        <v/>
      </c>
      <c r="J28" s="17" t="n">
        <v>4</v>
      </c>
      <c r="K28" s="17" t="n">
        <v>11</v>
      </c>
      <c r="L28" s="17" t="n">
        <v>0</v>
      </c>
      <c r="M28" s="16">
        <f>L28/K28</f>
        <v/>
      </c>
      <c r="N28" s="16">
        <f>L28/J28</f>
        <v/>
      </c>
      <c r="O28" s="18" t="n">
        <v>0</v>
      </c>
      <c r="P28" s="18" t="n">
        <v>0</v>
      </c>
      <c r="Q28" s="16">
        <f>P28/O28</f>
        <v/>
      </c>
      <c r="R28" s="1" t="n">
        <v>207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</row>
    <row r="29">
      <c r="A29" s="1" t="inlineStr">
        <is>
          <t>hepatitis C</t>
        </is>
      </c>
      <c r="B29" s="1" t="inlineStr">
        <is>
          <t>EFO_0003047</t>
        </is>
      </c>
      <c r="C29" s="1" t="inlineStr">
        <is>
          <t>synonym</t>
        </is>
      </c>
      <c r="D29" s="1" t="n">
        <v>0.05</v>
      </c>
      <c r="E29" s="15" t="n">
        <v>7</v>
      </c>
      <c r="F29" s="15" t="n">
        <v>36</v>
      </c>
      <c r="G29" s="15" t="n">
        <v>0</v>
      </c>
      <c r="H29" s="16">
        <f>G29/F29</f>
        <v/>
      </c>
      <c r="I29" s="16">
        <f>G29/E29</f>
        <v/>
      </c>
      <c r="J29" s="17" t="n">
        <v>15</v>
      </c>
      <c r="K29" s="17" t="n">
        <v>62</v>
      </c>
      <c r="L29" s="17" t="n">
        <v>2</v>
      </c>
      <c r="M29" s="16">
        <f>L29/K29</f>
        <v/>
      </c>
      <c r="N29" s="16">
        <f>L29/J29</f>
        <v/>
      </c>
      <c r="O29" s="18" t="n">
        <v>0</v>
      </c>
      <c r="P29" s="18" t="n">
        <v>0</v>
      </c>
      <c r="Q29" s="16">
        <f>P29/O29</f>
        <v/>
      </c>
      <c r="R29" s="1" t="n">
        <v>648</v>
      </c>
      <c r="S29" s="1" t="n">
        <v>2</v>
      </c>
      <c r="T29" s="1" t="n">
        <v>0</v>
      </c>
      <c r="U29" s="1" t="n">
        <v>1</v>
      </c>
      <c r="V29" s="1" t="n">
        <v>1</v>
      </c>
      <c r="W29" s="1" t="n">
        <v>0</v>
      </c>
      <c r="X29" s="1" t="n">
        <v>0</v>
      </c>
      <c r="Y29" s="1" t="n">
        <v>0</v>
      </c>
      <c r="Z29" s="1" t="n">
        <v>1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1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</row>
    <row r="30">
      <c r="A30" s="1" t="inlineStr">
        <is>
          <t>hepatitis C virus related hepatocellular carcinoma</t>
        </is>
      </c>
      <c r="B30" s="1" t="inlineStr">
        <is>
          <t>EFO_0008504</t>
        </is>
      </c>
      <c r="C30" s="1" t="inlineStr">
        <is>
          <t>synonym</t>
        </is>
      </c>
      <c r="D30" s="1" t="n">
        <v>0.05</v>
      </c>
      <c r="E30" s="15" t="n">
        <v>0</v>
      </c>
      <c r="F30" s="15" t="n">
        <v>321</v>
      </c>
      <c r="G30" s="15" t="n">
        <v>0</v>
      </c>
      <c r="H30" s="16">
        <f>G30/F30</f>
        <v/>
      </c>
      <c r="I30" s="16">
        <f>G30/E30</f>
        <v/>
      </c>
      <c r="J30" s="17" t="n">
        <v>0</v>
      </c>
      <c r="K30" s="17" t="n">
        <v>114</v>
      </c>
      <c r="L30" s="17" t="n">
        <v>0</v>
      </c>
      <c r="M30" s="16">
        <f>L30/K30</f>
        <v/>
      </c>
      <c r="N30" s="16">
        <f>L30/J30</f>
        <v/>
      </c>
      <c r="O30" s="18" t="n">
        <v>5</v>
      </c>
      <c r="P30" s="18" t="n">
        <v>0</v>
      </c>
      <c r="Q30" s="16">
        <f>P30/O30</f>
        <v/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</row>
    <row r="31">
      <c r="A31" s="1" t="inlineStr">
        <is>
          <t>HIV encephalitis</t>
        </is>
      </c>
      <c r="B31" s="1" t="inlineStr">
        <is>
          <t>EFO_0002608</t>
        </is>
      </c>
      <c r="C31" s="1" t="inlineStr">
        <is>
          <t>synonym</t>
        </is>
      </c>
      <c r="D31" s="1" t="n">
        <v>0.05</v>
      </c>
      <c r="E31" s="15" t="n">
        <v>0</v>
      </c>
      <c r="F31" s="15" t="n">
        <v>274</v>
      </c>
      <c r="G31" s="15" t="n">
        <v>0</v>
      </c>
      <c r="H31" s="16">
        <f>G31/F31</f>
        <v/>
      </c>
      <c r="I31" s="16">
        <f>G31/E31</f>
        <v/>
      </c>
      <c r="J31" s="17" t="n">
        <v>0</v>
      </c>
      <c r="K31" s="17" t="n">
        <v>1</v>
      </c>
      <c r="L31" s="17" t="n">
        <v>0</v>
      </c>
      <c r="M31" s="16">
        <f>L31/K31</f>
        <v/>
      </c>
      <c r="N31" s="16">
        <f>L31/J31</f>
        <v/>
      </c>
      <c r="O31" s="18" t="n">
        <v>0</v>
      </c>
      <c r="P31" s="18" t="n">
        <v>0</v>
      </c>
      <c r="Q31" s="16">
        <f>P31/O31</f>
        <v/>
      </c>
      <c r="R31" s="1" t="n">
        <v>5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</row>
    <row r="32">
      <c r="A32" s="1" t="inlineStr">
        <is>
          <t>Human immunodeficiency virus infectious disease</t>
        </is>
      </c>
      <c r="B32" s="1" t="inlineStr">
        <is>
          <t>EFO_0000764</t>
        </is>
      </c>
      <c r="C32" s="1" t="inlineStr">
        <is>
          <t>synonym</t>
        </is>
      </c>
      <c r="D32" s="1" t="n">
        <v>0.05</v>
      </c>
      <c r="E32" s="15" t="n">
        <v>19</v>
      </c>
      <c r="F32" s="15" t="n">
        <v>104</v>
      </c>
      <c r="G32" s="15" t="n">
        <v>3</v>
      </c>
      <c r="H32" s="16">
        <f>G32/F32</f>
        <v/>
      </c>
      <c r="I32" s="16">
        <f>G32/E32</f>
        <v/>
      </c>
      <c r="J32" s="17" t="n">
        <v>46</v>
      </c>
      <c r="K32" s="17" t="n">
        <v>128</v>
      </c>
      <c r="L32" s="17" t="n">
        <v>8</v>
      </c>
      <c r="M32" s="16">
        <f>L32/K32</f>
        <v/>
      </c>
      <c r="N32" s="16">
        <f>L32/J32</f>
        <v/>
      </c>
      <c r="O32" s="18" t="n">
        <v>2</v>
      </c>
      <c r="P32" s="18" t="n">
        <v>0</v>
      </c>
      <c r="Q32" s="16">
        <f>P32/O32</f>
        <v/>
      </c>
      <c r="R32" s="1" t="n">
        <v>2224</v>
      </c>
      <c r="S32" s="1" t="n">
        <v>11</v>
      </c>
      <c r="T32" s="1" t="n">
        <v>0</v>
      </c>
      <c r="U32" s="1" t="n">
        <v>12</v>
      </c>
      <c r="V32" s="1" t="n">
        <v>10</v>
      </c>
      <c r="W32" s="1" t="n">
        <v>2</v>
      </c>
      <c r="X32" s="1" t="n">
        <v>0</v>
      </c>
      <c r="Y32" s="1" t="n">
        <v>0</v>
      </c>
      <c r="Z32" s="1" t="n">
        <v>15</v>
      </c>
      <c r="AA32" s="1" t="n">
        <v>0</v>
      </c>
      <c r="AB32" s="1" t="n">
        <v>0</v>
      </c>
      <c r="AC32" s="1" t="n">
        <v>1</v>
      </c>
      <c r="AD32" s="1" t="n">
        <v>0</v>
      </c>
      <c r="AE32" s="1" t="n">
        <v>6</v>
      </c>
      <c r="AF32" s="1" t="n">
        <v>0</v>
      </c>
      <c r="AG32" s="1" t="n">
        <v>1</v>
      </c>
      <c r="AH32" s="1" t="n">
        <v>1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</row>
    <row r="33">
      <c r="A33" s="1" t="inlineStr">
        <is>
          <t>Huntington's disease</t>
        </is>
      </c>
      <c r="B33" s="1" t="inlineStr">
        <is>
          <t>MONDO_0007739</t>
        </is>
      </c>
      <c r="C33" s="1" t="inlineStr">
        <is>
          <t>synonym</t>
        </is>
      </c>
      <c r="D33" s="1" t="n">
        <v>0.05</v>
      </c>
      <c r="E33" s="15" t="n">
        <v>2</v>
      </c>
      <c r="F33" s="15" t="n">
        <v>0</v>
      </c>
      <c r="G33" s="15" t="n">
        <v>0</v>
      </c>
      <c r="H33" s="16">
        <f>G33/F33</f>
        <v/>
      </c>
      <c r="I33" s="16">
        <f>G33/E33</f>
        <v/>
      </c>
      <c r="J33" s="17" t="n">
        <v>11</v>
      </c>
      <c r="K33" s="17" t="n">
        <v>0</v>
      </c>
      <c r="L33" s="17" t="n">
        <v>0</v>
      </c>
      <c r="M33" s="16">
        <f>L33/K33</f>
        <v/>
      </c>
      <c r="N33" s="16">
        <f>L33/J33</f>
        <v/>
      </c>
      <c r="O33" s="18" t="n">
        <v>0</v>
      </c>
      <c r="P33" s="18" t="n">
        <v>0</v>
      </c>
      <c r="Q33" s="16">
        <f>P33/O33</f>
        <v/>
      </c>
      <c r="R33" s="1" t="n">
        <v>240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20</v>
      </c>
      <c r="AK33" s="1" t="n">
        <v>1</v>
      </c>
      <c r="AL33" s="1" t="n">
        <v>12</v>
      </c>
      <c r="AM33" s="1" t="n">
        <v>9</v>
      </c>
    </row>
    <row r="34">
      <c r="A34" s="1" t="inlineStr">
        <is>
          <t>intracranial aneurysm</t>
        </is>
      </c>
      <c r="B34" s="1" t="inlineStr">
        <is>
          <t>EFO_0003870</t>
        </is>
      </c>
      <c r="C34" s="1" t="inlineStr">
        <is>
          <t>synonym</t>
        </is>
      </c>
      <c r="D34" s="1" t="n">
        <v>0.05</v>
      </c>
      <c r="E34" s="15" t="n">
        <v>3</v>
      </c>
      <c r="F34" s="15" t="n">
        <v>329</v>
      </c>
      <c r="G34" s="15" t="n">
        <v>3</v>
      </c>
      <c r="H34" s="16">
        <f>G34/F34</f>
        <v/>
      </c>
      <c r="I34" s="16">
        <f>G34/E34</f>
        <v/>
      </c>
      <c r="J34" s="17" t="n">
        <v>4</v>
      </c>
      <c r="K34" s="17" t="n">
        <v>1</v>
      </c>
      <c r="L34" s="17" t="n">
        <v>0</v>
      </c>
      <c r="M34" s="16">
        <f>L34/K34</f>
        <v/>
      </c>
      <c r="N34" s="16">
        <f>L34/J34</f>
        <v/>
      </c>
      <c r="O34" s="18" t="n">
        <v>0</v>
      </c>
      <c r="P34" s="18" t="n">
        <v>0</v>
      </c>
      <c r="Q34" s="16">
        <f>P34/O34</f>
        <v/>
      </c>
      <c r="R34" s="1" t="n">
        <v>122</v>
      </c>
      <c r="S34" s="1" t="n">
        <v>3</v>
      </c>
      <c r="T34" s="1" t="n">
        <v>0</v>
      </c>
      <c r="U34" s="1" t="n">
        <v>0</v>
      </c>
      <c r="V34" s="1" t="n">
        <v>1</v>
      </c>
      <c r="W34" s="1" t="n">
        <v>4</v>
      </c>
      <c r="X34" s="1" t="n">
        <v>0</v>
      </c>
      <c r="Y34" s="1" t="n">
        <v>0</v>
      </c>
      <c r="Z34" s="1" t="n">
        <v>2</v>
      </c>
      <c r="AA34" s="1" t="n">
        <v>0</v>
      </c>
      <c r="AB34" s="1" t="n">
        <v>1</v>
      </c>
      <c r="AC34" s="1" t="n">
        <v>1</v>
      </c>
      <c r="AD34" s="1" t="n">
        <v>0</v>
      </c>
      <c r="AE34" s="1" t="n">
        <v>0</v>
      </c>
      <c r="AF34" s="1" t="n">
        <v>0</v>
      </c>
      <c r="AG34" s="1" t="n">
        <v>1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</row>
    <row r="35">
      <c r="A35" s="1" t="inlineStr">
        <is>
          <t>invasive ductal carcinoma</t>
        </is>
      </c>
      <c r="B35" s="1" t="inlineStr">
        <is>
          <t>EFO_0000186</t>
        </is>
      </c>
      <c r="C35" s="1" t="inlineStr">
        <is>
          <t>synonym</t>
        </is>
      </c>
      <c r="D35" s="1" t="n">
        <v>0.05</v>
      </c>
      <c r="E35" s="15" t="n">
        <v>4</v>
      </c>
      <c r="F35" s="15" t="n">
        <v>239</v>
      </c>
      <c r="G35" s="15" t="n">
        <v>2</v>
      </c>
      <c r="H35" s="16">
        <f>G35/F35</f>
        <v/>
      </c>
      <c r="I35" s="16">
        <f>G35/E35</f>
        <v/>
      </c>
      <c r="J35" s="17" t="n">
        <v>4</v>
      </c>
      <c r="K35" s="17" t="n">
        <v>177</v>
      </c>
      <c r="L35" s="17" t="n">
        <v>2</v>
      </c>
      <c r="M35" s="16">
        <f>L35/K35</f>
        <v/>
      </c>
      <c r="N35" s="16">
        <f>L35/J35</f>
        <v/>
      </c>
      <c r="O35" s="18" t="n">
        <v>6</v>
      </c>
      <c r="P35" s="18" t="n">
        <v>0</v>
      </c>
      <c r="Q35" s="16">
        <f>P35/O35</f>
        <v/>
      </c>
      <c r="R35" s="1" t="n">
        <v>106</v>
      </c>
      <c r="S35" s="1" t="n">
        <v>4</v>
      </c>
      <c r="T35" s="1" t="n">
        <v>0</v>
      </c>
      <c r="U35" s="1" t="n">
        <v>2</v>
      </c>
      <c r="V35" s="1" t="n">
        <v>0</v>
      </c>
      <c r="W35" s="1" t="n">
        <v>3</v>
      </c>
      <c r="X35" s="1" t="n">
        <v>0</v>
      </c>
      <c r="Y35" s="1" t="n">
        <v>4</v>
      </c>
      <c r="Z35" s="1" t="n">
        <v>1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2</v>
      </c>
      <c r="AK35" s="1" t="n">
        <v>3</v>
      </c>
      <c r="AL35" s="1" t="n">
        <v>2</v>
      </c>
      <c r="AM35" s="1" t="n">
        <v>1</v>
      </c>
    </row>
    <row r="36">
      <c r="A36" s="1" t="inlineStr">
        <is>
          <t>juvenile rheumatoid arthritis</t>
        </is>
      </c>
      <c r="B36" s="1" t="inlineStr">
        <is>
          <t>EFO_0002609</t>
        </is>
      </c>
      <c r="C36" s="1" t="inlineStr">
        <is>
          <t>synonym</t>
        </is>
      </c>
      <c r="D36" s="1" t="n">
        <v>0.05</v>
      </c>
      <c r="E36" s="15" t="n">
        <v>8</v>
      </c>
      <c r="F36" s="15" t="n">
        <v>0</v>
      </c>
      <c r="G36" s="15" t="n">
        <v>0</v>
      </c>
      <c r="H36" s="16">
        <f>G36/F36</f>
        <v/>
      </c>
      <c r="I36" s="16">
        <f>G36/E36</f>
        <v/>
      </c>
      <c r="J36" s="17" t="n">
        <v>13</v>
      </c>
      <c r="K36" s="17" t="n">
        <v>0</v>
      </c>
      <c r="L36" s="17" t="n">
        <v>0</v>
      </c>
      <c r="M36" s="16">
        <f>L36/K36</f>
        <v/>
      </c>
      <c r="N36" s="16">
        <f>L36/J36</f>
        <v/>
      </c>
      <c r="O36" s="18" t="n">
        <v>0</v>
      </c>
      <c r="P36" s="18" t="n">
        <v>0</v>
      </c>
      <c r="Q36" s="16">
        <f>P36/O36</f>
        <v/>
      </c>
      <c r="R36" s="1" t="n">
        <v>893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</row>
    <row r="37">
      <c r="A37" s="1" t="inlineStr">
        <is>
          <t>liver cirrhosis</t>
        </is>
      </c>
      <c r="B37" s="1" t="inlineStr">
        <is>
          <t>EFO_0001422</t>
        </is>
      </c>
      <c r="C37" s="1" t="inlineStr">
        <is>
          <t>synonym</t>
        </is>
      </c>
      <c r="D37" s="1" t="n">
        <v>0.05</v>
      </c>
      <c r="E37" s="15" t="n">
        <v>10</v>
      </c>
      <c r="F37" s="15" t="n">
        <v>21</v>
      </c>
      <c r="G37" s="15" t="n">
        <v>1</v>
      </c>
      <c r="H37" s="16">
        <f>G37/F37</f>
        <v/>
      </c>
      <c r="I37" s="16">
        <f>G37/E37</f>
        <v/>
      </c>
      <c r="J37" s="17" t="n">
        <v>20</v>
      </c>
      <c r="K37" s="17" t="n">
        <v>49</v>
      </c>
      <c r="L37" s="17" t="n">
        <v>1</v>
      </c>
      <c r="M37" s="16">
        <f>L37/K37</f>
        <v/>
      </c>
      <c r="N37" s="16">
        <f>L37/J37</f>
        <v/>
      </c>
      <c r="O37" s="18" t="n">
        <v>1</v>
      </c>
      <c r="P37" s="18" t="n">
        <v>0</v>
      </c>
      <c r="Q37" s="16">
        <f>P37/O37</f>
        <v/>
      </c>
      <c r="R37" s="1" t="n">
        <v>727</v>
      </c>
      <c r="S37" s="1" t="n">
        <v>2</v>
      </c>
      <c r="T37" s="1" t="n">
        <v>0</v>
      </c>
      <c r="U37" s="1" t="n">
        <v>0</v>
      </c>
      <c r="V37" s="1" t="n">
        <v>1</v>
      </c>
      <c r="W37" s="1" t="n">
        <v>0</v>
      </c>
      <c r="X37" s="1" t="n">
        <v>1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1</v>
      </c>
      <c r="AD37" s="1" t="n">
        <v>0</v>
      </c>
      <c r="AE37" s="1" t="n">
        <v>0</v>
      </c>
      <c r="AF37" s="1" t="n">
        <v>1</v>
      </c>
      <c r="AG37" s="1" t="n">
        <v>0</v>
      </c>
      <c r="AH37" s="1" t="n">
        <v>0</v>
      </c>
      <c r="AI37" s="1" t="n">
        <v>0</v>
      </c>
      <c r="AJ37" s="1" t="n">
        <v>4</v>
      </c>
      <c r="AK37" s="1" t="n">
        <v>0</v>
      </c>
      <c r="AL37" s="1" t="n">
        <v>5</v>
      </c>
      <c r="AM37" s="1" t="n">
        <v>5</v>
      </c>
    </row>
    <row r="38">
      <c r="A38" s="1" t="inlineStr">
        <is>
          <t>lung large cell carcinoma</t>
        </is>
      </c>
      <c r="B38" s="1" t="inlineStr">
        <is>
          <t>EFO_0003050</t>
        </is>
      </c>
      <c r="C38" s="1" t="inlineStr">
        <is>
          <t>synonym</t>
        </is>
      </c>
      <c r="D38" s="1" t="n">
        <v>0.05</v>
      </c>
      <c r="E38" s="15" t="n">
        <v>6</v>
      </c>
      <c r="F38" s="15" t="n">
        <v>344</v>
      </c>
      <c r="G38" s="15" t="n">
        <v>5</v>
      </c>
      <c r="H38" s="16">
        <f>G38/F38</f>
        <v/>
      </c>
      <c r="I38" s="16">
        <f>G38/E38</f>
        <v/>
      </c>
      <c r="J38" s="17" t="n">
        <v>3</v>
      </c>
      <c r="K38" s="17" t="n">
        <v>14</v>
      </c>
      <c r="L38" s="17" t="n">
        <v>0</v>
      </c>
      <c r="M38" s="16">
        <f>L38/K38</f>
        <v/>
      </c>
      <c r="N38" s="16">
        <f>L38/J38</f>
        <v/>
      </c>
      <c r="O38" s="18" t="n">
        <v>0</v>
      </c>
      <c r="P38" s="18" t="n">
        <v>0</v>
      </c>
      <c r="Q38" s="16">
        <f>P38/O38</f>
        <v/>
      </c>
      <c r="R38" s="1" t="n">
        <v>250</v>
      </c>
      <c r="S38" s="1" t="n">
        <v>5</v>
      </c>
      <c r="T38" s="1" t="n">
        <v>0</v>
      </c>
      <c r="U38" s="1" t="n">
        <v>1</v>
      </c>
      <c r="V38" s="1" t="n">
        <v>6</v>
      </c>
      <c r="W38" s="1" t="n">
        <v>2</v>
      </c>
      <c r="X38" s="1" t="n">
        <v>0</v>
      </c>
      <c r="Y38" s="1" t="n">
        <v>3</v>
      </c>
      <c r="Z38" s="1" t="n">
        <v>3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3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</row>
    <row r="39">
      <c r="A39" s="1" t="inlineStr">
        <is>
          <t>lung small cell carcinoma</t>
        </is>
      </c>
      <c r="B39" s="1" t="inlineStr">
        <is>
          <t>EFO_0000702</t>
        </is>
      </c>
      <c r="C39" s="1" t="inlineStr">
        <is>
          <t>synonym</t>
        </is>
      </c>
      <c r="D39" s="1" t="n">
        <v>0.05</v>
      </c>
      <c r="E39" s="15" t="n">
        <v>31</v>
      </c>
      <c r="F39" s="15" t="n">
        <v>109</v>
      </c>
      <c r="G39" s="15" t="n">
        <v>7</v>
      </c>
      <c r="H39" s="16">
        <f>G39/F39</f>
        <v/>
      </c>
      <c r="I39" s="16">
        <f>G39/E39</f>
        <v/>
      </c>
      <c r="J39" s="17" t="n">
        <v>18</v>
      </c>
      <c r="K39" s="17" t="n">
        <v>18</v>
      </c>
      <c r="L39" s="17" t="n">
        <v>0</v>
      </c>
      <c r="M39" s="16">
        <f>L39/K39</f>
        <v/>
      </c>
      <c r="N39" s="16">
        <f>L39/J39</f>
        <v/>
      </c>
      <c r="O39" s="18" t="n">
        <v>0</v>
      </c>
      <c r="P39" s="18" t="n">
        <v>0</v>
      </c>
      <c r="Q39" s="16">
        <f>P39/O39</f>
        <v/>
      </c>
      <c r="R39" s="1" t="n">
        <v>1215</v>
      </c>
      <c r="S39" s="1" t="n">
        <v>7</v>
      </c>
      <c r="T39" s="1" t="n">
        <v>0</v>
      </c>
      <c r="U39" s="1" t="n">
        <v>10</v>
      </c>
      <c r="V39" s="1" t="n">
        <v>13</v>
      </c>
      <c r="W39" s="1" t="n">
        <v>5</v>
      </c>
      <c r="X39" s="1" t="n">
        <v>0</v>
      </c>
      <c r="Y39" s="1" t="n">
        <v>1</v>
      </c>
      <c r="Z39" s="1" t="n">
        <v>7</v>
      </c>
      <c r="AA39" s="1" t="n">
        <v>0</v>
      </c>
      <c r="AB39" s="1" t="n">
        <v>4</v>
      </c>
      <c r="AC39" s="1" t="n">
        <v>7</v>
      </c>
      <c r="AD39" s="1" t="n">
        <v>0</v>
      </c>
      <c r="AE39" s="1" t="n">
        <v>4</v>
      </c>
      <c r="AF39" s="1" t="n">
        <v>0</v>
      </c>
      <c r="AG39" s="1" t="n">
        <v>3</v>
      </c>
      <c r="AH39" s="1" t="n">
        <v>2</v>
      </c>
      <c r="AI39" s="1" t="n">
        <v>4</v>
      </c>
      <c r="AJ39" s="1" t="n">
        <v>18</v>
      </c>
      <c r="AK39" s="1" t="n">
        <v>6</v>
      </c>
      <c r="AL39" s="1" t="n">
        <v>12</v>
      </c>
      <c r="AM39" s="1" t="n">
        <v>9</v>
      </c>
    </row>
    <row r="40">
      <c r="A40" s="1" t="inlineStr">
        <is>
          <t>lung squamous cell carcinoma</t>
        </is>
      </c>
      <c r="B40" s="1" t="inlineStr">
        <is>
          <t>EFO_0000708</t>
        </is>
      </c>
      <c r="C40" s="1" t="inlineStr">
        <is>
          <t>synonym</t>
        </is>
      </c>
      <c r="D40" s="1" t="n">
        <v>0.05</v>
      </c>
      <c r="E40" s="15" t="n">
        <v>14</v>
      </c>
      <c r="F40" s="15" t="n">
        <v>361</v>
      </c>
      <c r="G40" s="15" t="n">
        <v>13</v>
      </c>
      <c r="H40" s="16">
        <f>G40/F40</f>
        <v/>
      </c>
      <c r="I40" s="16">
        <f>G40/E40</f>
        <v/>
      </c>
      <c r="J40" s="17" t="n">
        <v>6</v>
      </c>
      <c r="K40" s="17" t="n">
        <v>25</v>
      </c>
      <c r="L40" s="17" t="n">
        <v>0</v>
      </c>
      <c r="M40" s="16">
        <f>L40/K40</f>
        <v/>
      </c>
      <c r="N40" s="16">
        <f>L40/J40</f>
        <v/>
      </c>
      <c r="O40" s="18" t="n">
        <v>0</v>
      </c>
      <c r="P40" s="18" t="n">
        <v>0</v>
      </c>
      <c r="Q40" s="16">
        <f>P40/O40</f>
        <v/>
      </c>
      <c r="R40" s="1" t="n">
        <v>391</v>
      </c>
      <c r="S40" s="1" t="n">
        <v>13</v>
      </c>
      <c r="T40" s="1" t="n">
        <v>0</v>
      </c>
      <c r="U40" s="1" t="n">
        <v>9</v>
      </c>
      <c r="V40" s="1" t="n">
        <v>17</v>
      </c>
      <c r="W40" s="1" t="n">
        <v>4</v>
      </c>
      <c r="X40" s="1" t="n">
        <v>0</v>
      </c>
      <c r="Y40" s="1" t="n">
        <v>3</v>
      </c>
      <c r="Z40" s="1" t="n">
        <v>10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6</v>
      </c>
      <c r="AF40" s="1" t="n">
        <v>0</v>
      </c>
      <c r="AG40" s="1" t="n">
        <v>5</v>
      </c>
      <c r="AH40" s="1" t="n">
        <v>6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</row>
    <row r="41">
      <c r="A41" s="1" t="inlineStr">
        <is>
          <t>mental depression</t>
        </is>
      </c>
      <c r="B41" s="1" t="inlineStr">
        <is>
          <t>MONDO_0002050</t>
        </is>
      </c>
      <c r="C41" s="1" t="inlineStr">
        <is>
          <t>synonym</t>
        </is>
      </c>
      <c r="D41" s="1" t="n">
        <v>0.05</v>
      </c>
      <c r="E41" s="15" t="n">
        <v>13</v>
      </c>
      <c r="F41" s="15" t="n">
        <v>184</v>
      </c>
      <c r="G41" s="15" t="n">
        <v>1</v>
      </c>
      <c r="H41" s="16">
        <f>G41/F41</f>
        <v/>
      </c>
      <c r="I41" s="16">
        <f>G41/E41</f>
        <v/>
      </c>
      <c r="J41" s="17" t="n">
        <v>69</v>
      </c>
      <c r="K41" s="17" t="n">
        <v>15</v>
      </c>
      <c r="L41" s="17" t="n">
        <v>1</v>
      </c>
      <c r="M41" s="16">
        <f>L41/K41</f>
        <v/>
      </c>
      <c r="N41" s="16">
        <f>L41/J41</f>
        <v/>
      </c>
      <c r="O41" s="18" t="n">
        <v>1</v>
      </c>
      <c r="P41" s="18" t="n">
        <v>0</v>
      </c>
      <c r="Q41" s="16">
        <f>P41/O41</f>
        <v/>
      </c>
      <c r="R41" s="1" t="n">
        <v>2252</v>
      </c>
      <c r="S41" s="1" t="n">
        <v>2</v>
      </c>
      <c r="T41" s="1" t="n">
        <v>0</v>
      </c>
      <c r="U41" s="1" t="n">
        <v>1</v>
      </c>
      <c r="V41" s="1" t="n">
        <v>0</v>
      </c>
      <c r="W41" s="1" t="n">
        <v>2</v>
      </c>
      <c r="X41" s="1" t="n">
        <v>2</v>
      </c>
      <c r="Y41" s="1" t="n">
        <v>0</v>
      </c>
      <c r="Z41" s="1" t="n">
        <v>3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1</v>
      </c>
      <c r="AF41" s="1" t="n">
        <v>0</v>
      </c>
      <c r="AG41" s="1" t="n">
        <v>1</v>
      </c>
      <c r="AH41" s="1" t="n">
        <v>0</v>
      </c>
      <c r="AI41" s="1" t="n">
        <v>0</v>
      </c>
      <c r="AJ41" s="1" t="n">
        <v>1</v>
      </c>
      <c r="AK41" s="1" t="n">
        <v>1</v>
      </c>
      <c r="AL41" s="1" t="n">
        <v>1</v>
      </c>
      <c r="AM41" s="1" t="n">
        <v>0</v>
      </c>
    </row>
    <row r="42">
      <c r="A42" s="1" t="inlineStr">
        <is>
          <t>parasitic protozoa infectious disease</t>
        </is>
      </c>
      <c r="B42" s="1" t="inlineStr">
        <is>
          <t>MONDO_0002428</t>
        </is>
      </c>
      <c r="C42" s="1" t="inlineStr">
        <is>
          <t>synonym</t>
        </is>
      </c>
      <c r="D42" s="1" t="n">
        <v>0.05</v>
      </c>
      <c r="E42" s="15" t="n">
        <v>0</v>
      </c>
      <c r="F42" s="15" t="n">
        <v>72</v>
      </c>
      <c r="G42" s="15" t="n">
        <v>0</v>
      </c>
      <c r="H42" s="16">
        <f>G42/F42</f>
        <v/>
      </c>
      <c r="I42" s="16">
        <f>G42/E42</f>
        <v/>
      </c>
      <c r="J42" s="17" t="n">
        <v>0</v>
      </c>
      <c r="K42" s="17" t="n">
        <v>658</v>
      </c>
      <c r="L42" s="17" t="n">
        <v>0</v>
      </c>
      <c r="M42" s="16">
        <f>L42/K42</f>
        <v/>
      </c>
      <c r="N42" s="16">
        <f>L42/J42</f>
        <v/>
      </c>
      <c r="O42" s="18" t="n">
        <v>4</v>
      </c>
      <c r="P42" s="18" t="n">
        <v>0</v>
      </c>
      <c r="Q42" s="16">
        <f>P42/O42</f>
        <v/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1</v>
      </c>
      <c r="AK42" s="1" t="n">
        <v>0</v>
      </c>
      <c r="AL42" s="1" t="n">
        <v>0</v>
      </c>
      <c r="AM42" s="1" t="n">
        <v>0</v>
      </c>
    </row>
    <row r="43">
      <c r="A43" s="1" t="inlineStr">
        <is>
          <t>Premature aging</t>
        </is>
      </c>
      <c r="B43" s="1" t="inlineStr">
        <is>
          <t>MONDO_0019303</t>
        </is>
      </c>
      <c r="C43" s="1" t="inlineStr">
        <is>
          <t>synonym</t>
        </is>
      </c>
      <c r="D43" s="1" t="n">
        <v>0.05</v>
      </c>
      <c r="E43" s="15" t="n">
        <v>0</v>
      </c>
      <c r="F43" s="15" t="n">
        <v>205</v>
      </c>
      <c r="G43" s="15" t="n">
        <v>0</v>
      </c>
      <c r="H43" s="16">
        <f>G43/F43</f>
        <v/>
      </c>
      <c r="I43" s="16">
        <f>G43/E43</f>
        <v/>
      </c>
      <c r="J43" s="17" t="n">
        <v>0</v>
      </c>
      <c r="K43" s="17" t="n">
        <v>272</v>
      </c>
      <c r="L43" s="17" t="n">
        <v>0</v>
      </c>
      <c r="M43" s="16">
        <f>L43/K43</f>
        <v/>
      </c>
      <c r="N43" s="16">
        <f>L43/J43</f>
        <v/>
      </c>
      <c r="O43" s="18" t="n">
        <v>2</v>
      </c>
      <c r="P43" s="18" t="n">
        <v>0</v>
      </c>
      <c r="Q43" s="16">
        <f>P43/O43</f>
        <v/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2</v>
      </c>
      <c r="AK43" s="1" t="n">
        <v>0</v>
      </c>
      <c r="AL43" s="1" t="n">
        <v>0</v>
      </c>
      <c r="AM43" s="1" t="n">
        <v>0</v>
      </c>
    </row>
    <row r="44">
      <c r="A44" s="1" t="inlineStr">
        <is>
          <t>primary open angle glaucoma</t>
        </is>
      </c>
      <c r="B44" s="1" t="inlineStr">
        <is>
          <t>EFO_0004190</t>
        </is>
      </c>
      <c r="C44" s="1" t="inlineStr">
        <is>
          <t>synonym</t>
        </is>
      </c>
      <c r="D44" s="1" t="n">
        <v>0.05</v>
      </c>
      <c r="E44" s="15" t="n">
        <v>3</v>
      </c>
      <c r="F44" s="15" t="n">
        <v>98</v>
      </c>
      <c r="G44" s="15" t="n">
        <v>0</v>
      </c>
      <c r="H44" s="16">
        <f>G44/F44</f>
        <v/>
      </c>
      <c r="I44" s="16">
        <f>G44/E44</f>
        <v/>
      </c>
      <c r="J44" s="17" t="n">
        <v>8</v>
      </c>
      <c r="K44" s="17" t="n">
        <v>292</v>
      </c>
      <c r="L44" s="17" t="n">
        <v>1</v>
      </c>
      <c r="M44" s="16">
        <f>L44/K44</f>
        <v/>
      </c>
      <c r="N44" s="16">
        <f>L44/J44</f>
        <v/>
      </c>
      <c r="O44" s="18" t="n">
        <v>2</v>
      </c>
      <c r="P44" s="18" t="n">
        <v>0</v>
      </c>
      <c r="Q44" s="16">
        <f>P44/O44</f>
        <v/>
      </c>
      <c r="R44" s="1" t="n">
        <v>215</v>
      </c>
      <c r="S44" s="1" t="n">
        <v>1</v>
      </c>
      <c r="T44" s="1" t="n">
        <v>0</v>
      </c>
      <c r="U44" s="1" t="n">
        <v>0</v>
      </c>
      <c r="V44" s="1" t="n">
        <v>0</v>
      </c>
      <c r="W44" s="1" t="n">
        <v>1</v>
      </c>
      <c r="X44" s="1" t="n">
        <v>2</v>
      </c>
      <c r="Y44" s="1" t="n">
        <v>0</v>
      </c>
      <c r="Z44" s="1" t="n">
        <v>1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1</v>
      </c>
      <c r="AG44" s="1" t="n">
        <v>0</v>
      </c>
      <c r="AH44" s="1" t="n">
        <v>1</v>
      </c>
      <c r="AI44" s="1" t="n">
        <v>0</v>
      </c>
      <c r="AJ44" s="1" t="n">
        <v>4</v>
      </c>
      <c r="AK44" s="1" t="n">
        <v>3</v>
      </c>
      <c r="AL44" s="1" t="n">
        <v>0</v>
      </c>
      <c r="AM44" s="1" t="n">
        <v>1</v>
      </c>
    </row>
    <row r="45">
      <c r="A45" s="1" t="inlineStr">
        <is>
          <t>prolactinoma</t>
        </is>
      </c>
      <c r="B45" s="1" t="inlineStr">
        <is>
          <t>EFO_1000496</t>
        </is>
      </c>
      <c r="C45" s="1" t="inlineStr">
        <is>
          <t>synonym</t>
        </is>
      </c>
      <c r="D45" s="1" t="n">
        <v>0.05</v>
      </c>
      <c r="E45" s="15" t="n">
        <v>0</v>
      </c>
      <c r="F45" s="15" t="n">
        <v>0</v>
      </c>
      <c r="G45" s="15" t="n">
        <v>0</v>
      </c>
      <c r="H45" s="16">
        <f>G45/F45</f>
        <v/>
      </c>
      <c r="I45" s="16">
        <f>G45/E45</f>
        <v/>
      </c>
      <c r="J45" s="17" t="n">
        <v>0</v>
      </c>
      <c r="K45" s="17" t="n">
        <v>1</v>
      </c>
      <c r="L45" s="17" t="n">
        <v>0</v>
      </c>
      <c r="M45" s="16">
        <f>L45/K45</f>
        <v/>
      </c>
      <c r="N45" s="16">
        <f>L45/J45</f>
        <v/>
      </c>
      <c r="O45" s="18" t="n">
        <v>0</v>
      </c>
      <c r="P45" s="18" t="n">
        <v>0</v>
      </c>
      <c r="Q45" s="16">
        <f>P45/O45</f>
        <v/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1</v>
      </c>
      <c r="AL45" s="1" t="n">
        <v>0</v>
      </c>
      <c r="AM45" s="1" t="n">
        <v>0</v>
      </c>
    </row>
    <row r="46">
      <c r="A46" s="1" t="inlineStr">
        <is>
          <t>Setleis syndrome</t>
        </is>
      </c>
      <c r="B46" s="1" t="inlineStr">
        <is>
          <t>MONDO_0013996</t>
        </is>
      </c>
      <c r="C46" s="1" t="inlineStr">
        <is>
          <t>synonym</t>
        </is>
      </c>
      <c r="D46" s="1" t="n">
        <v>0.05</v>
      </c>
      <c r="E46" s="15" t="n">
        <v>0</v>
      </c>
      <c r="F46" s="15" t="n">
        <v>149</v>
      </c>
      <c r="G46" s="15" t="n">
        <v>0</v>
      </c>
      <c r="H46" s="16">
        <f>G46/F46</f>
        <v/>
      </c>
      <c r="I46" s="16">
        <f>G46/E46</f>
        <v/>
      </c>
      <c r="J46" s="17" t="n">
        <v>0</v>
      </c>
      <c r="K46" s="17" t="n">
        <v>304</v>
      </c>
      <c r="L46" s="17" t="n">
        <v>0</v>
      </c>
      <c r="M46" s="16">
        <f>L46/K46</f>
        <v/>
      </c>
      <c r="N46" s="16">
        <f>L46/J46</f>
        <v/>
      </c>
      <c r="O46" s="18" t="n">
        <v>5</v>
      </c>
      <c r="P46" s="18" t="n">
        <v>0</v>
      </c>
      <c r="Q46" s="16">
        <f>P46/O46</f>
        <v/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</row>
    <row r="47">
      <c r="A47" s="1" t="inlineStr">
        <is>
          <t>Sjogren's syndrome</t>
        </is>
      </c>
      <c r="B47" s="1" t="inlineStr">
        <is>
          <t>EFO_0000699</t>
        </is>
      </c>
      <c r="C47" s="1" t="inlineStr">
        <is>
          <t>synonym</t>
        </is>
      </c>
      <c r="D47" s="1" t="n">
        <v>0.05</v>
      </c>
      <c r="E47" s="15" t="n">
        <v>4</v>
      </c>
      <c r="F47" s="15" t="n">
        <v>315</v>
      </c>
      <c r="G47" s="15" t="n">
        <v>4</v>
      </c>
      <c r="H47" s="16">
        <f>G47/F47</f>
        <v/>
      </c>
      <c r="I47" s="16">
        <f>G47/E47</f>
        <v/>
      </c>
      <c r="J47" s="17" t="n">
        <v>6</v>
      </c>
      <c r="K47" s="17" t="n">
        <v>701</v>
      </c>
      <c r="L47" s="17" t="n">
        <v>4</v>
      </c>
      <c r="M47" s="16">
        <f>L47/K47</f>
        <v/>
      </c>
      <c r="N47" s="16">
        <f>L47/J47</f>
        <v/>
      </c>
      <c r="O47" s="18" t="n">
        <v>29</v>
      </c>
      <c r="P47" s="18" t="n">
        <v>0</v>
      </c>
      <c r="Q47" s="16">
        <f>P47/O47</f>
        <v/>
      </c>
      <c r="R47" s="1" t="n">
        <v>304</v>
      </c>
      <c r="S47" s="1" t="n">
        <v>8</v>
      </c>
      <c r="T47" s="1" t="n">
        <v>0</v>
      </c>
      <c r="U47" s="1" t="n">
        <v>2</v>
      </c>
      <c r="V47" s="1" t="n">
        <v>5</v>
      </c>
      <c r="W47" s="1" t="n">
        <v>0</v>
      </c>
      <c r="X47" s="1" t="n">
        <v>1</v>
      </c>
      <c r="Y47" s="1" t="n">
        <v>0</v>
      </c>
      <c r="Z47" s="1" t="n">
        <v>2</v>
      </c>
      <c r="AA47" s="1" t="n">
        <v>0</v>
      </c>
      <c r="AB47" s="1" t="n">
        <v>1</v>
      </c>
      <c r="AC47" s="1" t="n">
        <v>4</v>
      </c>
      <c r="AD47" s="1" t="n">
        <v>0</v>
      </c>
      <c r="AE47" s="1" t="n">
        <v>0</v>
      </c>
      <c r="AF47" s="1" t="n">
        <v>1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</row>
    <row r="48">
      <c r="A48" s="1" t="inlineStr">
        <is>
          <t>smoldering myeloma</t>
        </is>
      </c>
      <c r="B48" s="1" t="inlineStr">
        <is>
          <t>EFO_0003073</t>
        </is>
      </c>
      <c r="C48" s="1" t="inlineStr">
        <is>
          <t>synonym</t>
        </is>
      </c>
      <c r="D48" s="1" t="n">
        <v>0.05</v>
      </c>
      <c r="E48" s="15" t="n">
        <v>2</v>
      </c>
      <c r="F48" s="15" t="n">
        <v>244</v>
      </c>
      <c r="G48" s="15" t="n">
        <v>2</v>
      </c>
      <c r="H48" s="16">
        <f>G48/F48</f>
        <v/>
      </c>
      <c r="I48" s="16">
        <f>G48/E48</f>
        <v/>
      </c>
      <c r="J48" s="17" t="n">
        <v>2</v>
      </c>
      <c r="K48" s="17" t="n">
        <v>214</v>
      </c>
      <c r="L48" s="17" t="n">
        <v>1</v>
      </c>
      <c r="M48" s="16">
        <f>L48/K48</f>
        <v/>
      </c>
      <c r="N48" s="16">
        <f>L48/J48</f>
        <v/>
      </c>
      <c r="O48" s="18" t="n">
        <v>5</v>
      </c>
      <c r="P48" s="18" t="n">
        <v>0</v>
      </c>
      <c r="Q48" s="16">
        <f>P48/O48</f>
        <v/>
      </c>
      <c r="R48" s="1" t="n">
        <v>125</v>
      </c>
      <c r="S48" s="1" t="n">
        <v>3</v>
      </c>
      <c r="T48" s="1" t="n">
        <v>1</v>
      </c>
      <c r="U48" s="1" t="n">
        <v>3</v>
      </c>
      <c r="V48" s="1" t="n">
        <v>5</v>
      </c>
      <c r="W48" s="1" t="n">
        <v>1</v>
      </c>
      <c r="X48" s="1" t="n">
        <v>0</v>
      </c>
      <c r="Y48" s="1" t="n">
        <v>2</v>
      </c>
      <c r="Z48" s="1" t="n">
        <v>2</v>
      </c>
      <c r="AA48" s="1" t="n">
        <v>0</v>
      </c>
      <c r="AB48" s="1" t="n">
        <v>0</v>
      </c>
      <c r="AC48" s="1" t="n">
        <v>3</v>
      </c>
      <c r="AD48" s="1" t="n">
        <v>0</v>
      </c>
      <c r="AE48" s="1" t="n">
        <v>2</v>
      </c>
      <c r="AF48" s="1" t="n">
        <v>0</v>
      </c>
      <c r="AG48" s="1" t="n">
        <v>0</v>
      </c>
      <c r="AH48" s="1" t="n">
        <v>1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1</v>
      </c>
    </row>
    <row r="49">
      <c r="A49" s="1" t="inlineStr">
        <is>
          <t>Teratospermia</t>
        </is>
      </c>
      <c r="B49" s="1" t="inlineStr">
        <is>
          <t>HP_0012864</t>
        </is>
      </c>
      <c r="C49" s="1" t="inlineStr">
        <is>
          <t>synonym</t>
        </is>
      </c>
      <c r="D49" s="1" t="n">
        <v>0.05</v>
      </c>
      <c r="E49" s="15" t="n">
        <v>0</v>
      </c>
      <c r="F49" s="15" t="n">
        <v>41</v>
      </c>
      <c r="G49" s="15" t="n">
        <v>0</v>
      </c>
      <c r="H49" s="16">
        <f>G49/F49</f>
        <v/>
      </c>
      <c r="I49" s="16">
        <f>G49/E49</f>
        <v/>
      </c>
      <c r="J49" s="17" t="n">
        <v>0</v>
      </c>
      <c r="K49" s="17" t="n">
        <v>48</v>
      </c>
      <c r="L49" s="17" t="n">
        <v>0</v>
      </c>
      <c r="M49" s="16">
        <f>L49/K49</f>
        <v/>
      </c>
      <c r="N49" s="16">
        <f>L49/J49</f>
        <v/>
      </c>
      <c r="O49" s="18" t="n">
        <v>0</v>
      </c>
      <c r="P49" s="18" t="n">
        <v>0</v>
      </c>
      <c r="Q49" s="16">
        <f>P49/O49</f>
        <v/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1</v>
      </c>
      <c r="AK49" s="1" t="n">
        <v>0</v>
      </c>
      <c r="AL49" s="1" t="n">
        <v>1</v>
      </c>
      <c r="AM49" s="1" t="n">
        <v>0</v>
      </c>
    </row>
    <row r="50">
      <c r="A50" s="1" t="inlineStr">
        <is>
          <t>testicular cancer</t>
        </is>
      </c>
      <c r="B50" s="1" t="inlineStr">
        <is>
          <t>EFO_0005088</t>
        </is>
      </c>
      <c r="C50" s="1" t="inlineStr">
        <is>
          <t>synonym</t>
        </is>
      </c>
      <c r="D50" s="1" t="n">
        <v>0.05</v>
      </c>
      <c r="E50" s="15" t="n">
        <v>5</v>
      </c>
      <c r="F50" s="15" t="n">
        <v>379</v>
      </c>
      <c r="G50" s="15" t="n">
        <v>5</v>
      </c>
      <c r="H50" s="16">
        <f>G50/F50</f>
        <v/>
      </c>
      <c r="I50" s="16">
        <f>G50/E50</f>
        <v/>
      </c>
      <c r="J50" s="17" t="n">
        <v>3</v>
      </c>
      <c r="K50" s="17" t="n">
        <v>16</v>
      </c>
      <c r="L50" s="17" t="n">
        <v>0</v>
      </c>
      <c r="M50" s="16">
        <f>L50/K50</f>
        <v/>
      </c>
      <c r="N50" s="16">
        <f>L50/J50</f>
        <v/>
      </c>
      <c r="O50" s="18" t="n">
        <v>1</v>
      </c>
      <c r="P50" s="18" t="n">
        <v>0</v>
      </c>
      <c r="Q50" s="16">
        <f>P50/O50</f>
        <v/>
      </c>
      <c r="R50" s="1" t="n">
        <v>145</v>
      </c>
      <c r="S50" s="1" t="n">
        <v>5</v>
      </c>
      <c r="T50" s="1" t="n">
        <v>0</v>
      </c>
      <c r="U50" s="1" t="n">
        <v>0</v>
      </c>
      <c r="V50" s="1" t="n">
        <v>4</v>
      </c>
      <c r="W50" s="1" t="n">
        <v>1</v>
      </c>
      <c r="X50" s="1" t="n">
        <v>0</v>
      </c>
      <c r="Y50" s="1" t="n">
        <v>0</v>
      </c>
      <c r="Z50" s="1" t="n">
        <v>2</v>
      </c>
      <c r="AA50" s="1" t="n">
        <v>0</v>
      </c>
      <c r="AB50" s="1" t="n">
        <v>0</v>
      </c>
      <c r="AC50" s="1" t="n">
        <v>1</v>
      </c>
      <c r="AD50" s="1" t="n">
        <v>0</v>
      </c>
      <c r="AE50" s="1" t="n">
        <v>2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2</v>
      </c>
      <c r="AK50" s="1" t="n">
        <v>0</v>
      </c>
      <c r="AL50" s="1" t="n">
        <v>0</v>
      </c>
      <c r="AM50" s="1" t="n">
        <v>0</v>
      </c>
    </row>
    <row r="51">
      <c r="A51" s="1" t="inlineStr">
        <is>
          <t>testis seminoma</t>
        </is>
      </c>
      <c r="B51" s="1" t="inlineStr">
        <is>
          <t>EFO_0003101</t>
        </is>
      </c>
      <c r="C51" s="1" t="inlineStr">
        <is>
          <t>synonym</t>
        </is>
      </c>
      <c r="D51" s="1" t="n">
        <v>0.05</v>
      </c>
      <c r="E51" s="15" t="n">
        <v>0</v>
      </c>
      <c r="F51" s="15" t="n">
        <v>163</v>
      </c>
      <c r="G51" s="15" t="n">
        <v>0</v>
      </c>
      <c r="H51" s="16">
        <f>G51/F51</f>
        <v/>
      </c>
      <c r="I51" s="16">
        <f>G51/E51</f>
        <v/>
      </c>
      <c r="J51" s="17" t="n">
        <v>0</v>
      </c>
      <c r="K51" s="17" t="n">
        <v>447</v>
      </c>
      <c r="L51" s="17" t="n">
        <v>0</v>
      </c>
      <c r="M51" s="16">
        <f>L51/K51</f>
        <v/>
      </c>
      <c r="N51" s="16">
        <f>L51/J51</f>
        <v/>
      </c>
      <c r="O51" s="18" t="n">
        <v>5</v>
      </c>
      <c r="P51" s="18" t="n">
        <v>0</v>
      </c>
      <c r="Q51" s="16">
        <f>P51/O51</f>
        <v/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</row>
    <row r="52">
      <c r="A52" s="1" t="inlineStr">
        <is>
          <t>Vulvar intraepithelial tumor</t>
        </is>
      </c>
      <c r="B52" s="1" t="inlineStr">
        <is>
          <t>EFO_0002627</t>
        </is>
      </c>
      <c r="C52" s="1" t="inlineStr">
        <is>
          <t>synonym</t>
        </is>
      </c>
      <c r="D52" s="1" t="n">
        <v>0.05</v>
      </c>
      <c r="E52" s="15" t="n">
        <v>0</v>
      </c>
      <c r="F52" s="15" t="n">
        <v>244</v>
      </c>
      <c r="G52" s="15" t="n">
        <v>0</v>
      </c>
      <c r="H52" s="16">
        <f>G52/F52</f>
        <v/>
      </c>
      <c r="I52" s="16">
        <f>G52/E52</f>
        <v/>
      </c>
      <c r="J52" s="17" t="n">
        <v>0</v>
      </c>
      <c r="K52" s="17" t="n">
        <v>294</v>
      </c>
      <c r="L52" s="17" t="n">
        <v>0</v>
      </c>
      <c r="M52" s="16">
        <f>L52/K52</f>
        <v/>
      </c>
      <c r="N52" s="16">
        <f>L52/J52</f>
        <v/>
      </c>
      <c r="O52" s="18" t="n">
        <v>8</v>
      </c>
      <c r="P52" s="18" t="n">
        <v>0</v>
      </c>
      <c r="Q52" s="16">
        <f>P52/O52</f>
        <v/>
      </c>
      <c r="R52" s="1" t="n">
        <v>8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</row>
    <row r="53">
      <c r="A53" s="1" t="inlineStr">
        <is>
          <t>Williams-Beuren syndrome</t>
        </is>
      </c>
      <c r="B53" s="1" t="inlineStr">
        <is>
          <t>MONDO_0008678</t>
        </is>
      </c>
      <c r="C53" s="1" t="inlineStr">
        <is>
          <t>synonym</t>
        </is>
      </c>
      <c r="D53" s="1" t="n">
        <v>0.05</v>
      </c>
      <c r="E53" s="15" t="n">
        <v>0</v>
      </c>
      <c r="F53" s="15" t="n">
        <v>214</v>
      </c>
      <c r="G53" s="15" t="n">
        <v>0</v>
      </c>
      <c r="H53" s="16">
        <f>G53/F53</f>
        <v/>
      </c>
      <c r="I53" s="16">
        <f>G53/E53</f>
        <v/>
      </c>
      <c r="J53" s="17" t="n">
        <v>1</v>
      </c>
      <c r="K53" s="17" t="n">
        <v>366</v>
      </c>
      <c r="L53" s="17" t="n">
        <v>0</v>
      </c>
      <c r="M53" s="16">
        <f>L53/K53</f>
        <v/>
      </c>
      <c r="N53" s="16">
        <f>L53/J53</f>
        <v/>
      </c>
      <c r="O53" s="18" t="n">
        <v>4</v>
      </c>
      <c r="P53" s="18" t="n">
        <v>0</v>
      </c>
      <c r="Q53" s="16">
        <f>P53/O53</f>
        <v/>
      </c>
      <c r="R53" s="1" t="n">
        <v>5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</row>
    <row r="54">
      <c r="A54" s="14" t="inlineStr">
        <is>
          <t>Average</t>
        </is>
      </c>
      <c r="B54" s="14" t="n"/>
      <c r="C54" s="14" t="n"/>
      <c r="D54" s="14" t="n"/>
      <c r="E54" s="14">
        <f>AVERAGE(E2:E53)</f>
        <v/>
      </c>
      <c r="F54" s="14">
        <f>AVERAGE(F2:F53)</f>
        <v/>
      </c>
      <c r="G54" s="14">
        <f>AVERAGE(G2:G53)</f>
        <v/>
      </c>
      <c r="H54" s="14">
        <f>AVERAGE(H2:H53)</f>
        <v/>
      </c>
      <c r="I54" s="14">
        <f>AVERAGE(I2:I53)</f>
        <v/>
      </c>
      <c r="J54" s="14">
        <f>AVERAGE(J2:J53)</f>
        <v/>
      </c>
      <c r="K54" s="14">
        <f>AVERAGE(K2:K53)</f>
        <v/>
      </c>
      <c r="L54" s="14">
        <f>AVERAGE(L2:L53)</f>
        <v/>
      </c>
      <c r="M54" s="14">
        <f>AVERAGE(M2:M53)</f>
        <v/>
      </c>
      <c r="N54" s="14">
        <f>AVERAGE(N2:N53)</f>
        <v/>
      </c>
      <c r="O54" s="14">
        <f>AVERAGE(O2:O53)</f>
        <v/>
      </c>
      <c r="P54" s="14">
        <f>AVERAGE(P2:P53)</f>
        <v/>
      </c>
      <c r="Q54" s="14">
        <f>AVERAGE(Q2:Q53)</f>
        <v/>
      </c>
      <c r="R54" s="14">
        <f>AVERAGE(R2:R53)</f>
        <v/>
      </c>
      <c r="S54" s="14">
        <f>AVERAGE(S2:S53)</f>
        <v/>
      </c>
      <c r="T54" s="14">
        <f>AVERAGE(T2:T53)</f>
        <v/>
      </c>
      <c r="U54" s="14">
        <f>AVERAGE(U2:U53)</f>
        <v/>
      </c>
      <c r="V54" s="14">
        <f>AVERAGE(V2:V53)</f>
        <v/>
      </c>
      <c r="W54" s="14">
        <f>AVERAGE(W2:W53)</f>
        <v/>
      </c>
      <c r="X54" s="14">
        <f>AVERAGE(X2:X53)</f>
        <v/>
      </c>
      <c r="Y54" s="14">
        <f>AVERAGE(Y2:Y53)</f>
        <v/>
      </c>
      <c r="Z54" s="14">
        <f>AVERAGE(Z2:Z53)</f>
        <v/>
      </c>
      <c r="AA54" s="14">
        <f>AVERAGE(AA2:AA53)</f>
        <v/>
      </c>
      <c r="AB54" s="14">
        <f>AVERAGE(AB2:AB53)</f>
        <v/>
      </c>
      <c r="AC54" s="14">
        <f>AVERAGE(AC2:AC53)</f>
        <v/>
      </c>
      <c r="AD54" s="14">
        <f>AVERAGE(AD2:AD53)</f>
        <v/>
      </c>
      <c r="AE54" s="14">
        <f>AVERAGE(AE2:AE53)</f>
        <v/>
      </c>
      <c r="AF54" s="14">
        <f>AVERAGE(AF2:AF53)</f>
        <v/>
      </c>
      <c r="AG54" s="14">
        <f>AVERAGE(AG2:AG53)</f>
        <v/>
      </c>
      <c r="AH54" s="14">
        <f>AVERAGE(AH2:AH53)</f>
        <v/>
      </c>
      <c r="AI54" s="14">
        <f>AVERAGE(AI2:AI53)</f>
        <v/>
      </c>
      <c r="AJ54" s="14">
        <f>AVERAGE(AJ2:AJ53)</f>
        <v/>
      </c>
      <c r="AK54" s="14">
        <f>AVERAGE(AK2:AK53)</f>
        <v/>
      </c>
      <c r="AL54" s="14">
        <f>AVERAGE(AL2:AL53)</f>
        <v/>
      </c>
      <c r="AM54" s="14">
        <f>AVERAGE(AM2:AM53)</f>
        <v/>
      </c>
    </row>
    <row r="55">
      <c r="E55" s="15" t="n"/>
      <c r="F55" s="15" t="n"/>
      <c r="G55" s="15" t="n"/>
      <c r="H55" s="16" t="n"/>
      <c r="I55" s="16" t="n"/>
      <c r="J55" s="17" t="n"/>
      <c r="K55" s="17" t="n"/>
      <c r="L55" s="17" t="n"/>
      <c r="M55" s="16" t="n"/>
      <c r="N55" s="16" t="n"/>
      <c r="O55" s="18" t="n"/>
      <c r="P55" s="18" t="n"/>
      <c r="Q55" s="16" t="n"/>
    </row>
    <row r="56">
      <c r="E56" s="15" t="n"/>
      <c r="F56" s="15" t="n"/>
      <c r="G56" s="15" t="n"/>
      <c r="H56" s="16" t="n"/>
      <c r="I56" s="16" t="n"/>
      <c r="J56" s="17" t="n"/>
      <c r="K56" s="17" t="n"/>
      <c r="L56" s="17" t="n"/>
      <c r="M56" s="16" t="n"/>
      <c r="N56" s="16" t="n"/>
      <c r="O56" s="18" t="n"/>
      <c r="P56" s="18" t="n"/>
      <c r="Q56" s="16" t="n"/>
    </row>
    <row r="57">
      <c r="E57" s="15" t="n"/>
      <c r="F57" s="15" t="n"/>
      <c r="G57" s="15" t="n"/>
      <c r="H57" s="16" t="n"/>
      <c r="I57" s="16" t="n"/>
      <c r="J57" s="17" t="n"/>
      <c r="K57" s="17" t="n"/>
      <c r="L57" s="17" t="n"/>
      <c r="M57" s="16" t="n"/>
      <c r="N57" s="16" t="n"/>
      <c r="O57" s="18" t="n"/>
      <c r="P57" s="18" t="n"/>
      <c r="Q57" s="16" t="n"/>
    </row>
    <row r="58">
      <c r="E58" s="15" t="n"/>
      <c r="F58" s="15" t="n"/>
      <c r="G58" s="15" t="n"/>
      <c r="H58" s="16" t="n"/>
      <c r="I58" s="16" t="n"/>
      <c r="J58" s="17" t="n"/>
      <c r="K58" s="17" t="n"/>
      <c r="L58" s="17" t="n"/>
      <c r="M58" s="16" t="n"/>
      <c r="N58" s="16" t="n"/>
      <c r="O58" s="18" t="n"/>
      <c r="P58" s="18" t="n"/>
      <c r="Q58" s="16" t="n"/>
    </row>
    <row r="59">
      <c r="E59" s="15" t="n"/>
      <c r="F59" s="15" t="n"/>
      <c r="G59" s="15" t="n"/>
      <c r="H59" s="16" t="n"/>
      <c r="I59" s="16" t="n"/>
      <c r="J59" s="17" t="n"/>
      <c r="K59" s="17" t="n"/>
      <c r="L59" s="17" t="n"/>
      <c r="M59" s="16" t="n"/>
      <c r="N59" s="16" t="n"/>
      <c r="O59" s="18" t="n"/>
      <c r="P59" s="18" t="n"/>
      <c r="Q59" s="16" t="n"/>
    </row>
    <row r="60">
      <c r="E60" s="15" t="n"/>
      <c r="F60" s="15" t="n"/>
      <c r="G60" s="15" t="n"/>
      <c r="H60" s="16" t="n"/>
      <c r="I60" s="16" t="n"/>
      <c r="J60" s="17" t="n"/>
      <c r="K60" s="17" t="n"/>
      <c r="L60" s="17" t="n"/>
      <c r="M60" s="16" t="n"/>
      <c r="N60" s="16" t="n"/>
      <c r="O60" s="18" t="n"/>
      <c r="P60" s="18" t="n"/>
      <c r="Q60" s="16" t="n"/>
    </row>
    <row r="61">
      <c r="E61" s="15" t="n"/>
      <c r="F61" s="15" t="n"/>
      <c r="G61" s="15" t="n"/>
      <c r="H61" s="16" t="n"/>
      <c r="I61" s="16" t="n"/>
      <c r="J61" s="17" t="n"/>
      <c r="K61" s="17" t="n"/>
      <c r="L61" s="17" t="n"/>
      <c r="M61" s="16" t="n"/>
      <c r="N61" s="16" t="n"/>
      <c r="O61" s="18" t="n"/>
      <c r="P61" s="18" t="n"/>
      <c r="Q61" s="16" t="n"/>
    </row>
    <row r="62">
      <c r="E62" s="15" t="n"/>
      <c r="F62" s="15" t="n"/>
      <c r="G62" s="15" t="n"/>
      <c r="H62" s="16" t="n"/>
      <c r="I62" s="16" t="n"/>
      <c r="J62" s="17" t="n"/>
      <c r="K62" s="17" t="n"/>
      <c r="L62" s="17" t="n"/>
      <c r="M62" s="16" t="n"/>
      <c r="N62" s="16" t="n"/>
      <c r="O62" s="18" t="n"/>
      <c r="P62" s="18" t="n"/>
      <c r="Q62" s="16" t="n"/>
    </row>
    <row r="63">
      <c r="E63" s="15" t="n"/>
      <c r="F63" s="15" t="n"/>
      <c r="G63" s="15" t="n"/>
      <c r="H63" s="16" t="n"/>
      <c r="I63" s="16" t="n"/>
      <c r="J63" s="17" t="n"/>
      <c r="K63" s="17" t="n"/>
      <c r="L63" s="17" t="n"/>
      <c r="M63" s="16" t="n"/>
      <c r="N63" s="16" t="n"/>
      <c r="O63" s="18" t="n"/>
      <c r="P63" s="18" t="n"/>
      <c r="Q63" s="16" t="n"/>
    </row>
    <row r="64">
      <c r="E64" s="15" t="n"/>
      <c r="F64" s="15" t="n"/>
      <c r="G64" s="15" t="n"/>
      <c r="H64" s="16" t="n"/>
      <c r="I64" s="16" t="n"/>
      <c r="J64" s="17" t="n"/>
      <c r="K64" s="17" t="n"/>
      <c r="L64" s="17" t="n"/>
      <c r="M64" s="16" t="n"/>
      <c r="N64" s="16" t="n"/>
      <c r="O64" s="18" t="n"/>
      <c r="P64" s="18" t="n"/>
      <c r="Q64" s="16" t="n"/>
    </row>
    <row r="65">
      <c r="E65" s="15" t="n"/>
      <c r="F65" s="15" t="n"/>
      <c r="G65" s="15" t="n"/>
      <c r="H65" s="16" t="n"/>
      <c r="I65" s="16" t="n"/>
      <c r="J65" s="17" t="n"/>
      <c r="K65" s="17" t="n"/>
      <c r="L65" s="17" t="n"/>
      <c r="M65" s="16" t="n"/>
      <c r="N65" s="16" t="n"/>
      <c r="O65" s="18" t="n"/>
      <c r="P65" s="18" t="n"/>
      <c r="Q65" s="16" t="n"/>
    </row>
    <row r="66">
      <c r="E66" s="15" t="n"/>
      <c r="F66" s="15" t="n"/>
      <c r="G66" s="15" t="n"/>
      <c r="H66" s="16" t="n"/>
      <c r="I66" s="16" t="n"/>
      <c r="J66" s="17" t="n"/>
      <c r="K66" s="17" t="n"/>
      <c r="L66" s="17" t="n"/>
      <c r="M66" s="16" t="n"/>
      <c r="N66" s="16" t="n"/>
      <c r="O66" s="18" t="n"/>
      <c r="P66" s="18" t="n"/>
      <c r="Q66" s="16" t="n"/>
    </row>
    <row r="67">
      <c r="E67" s="15" t="n"/>
      <c r="F67" s="15" t="n"/>
      <c r="G67" s="15" t="n"/>
      <c r="H67" s="16" t="n"/>
      <c r="I67" s="16" t="n"/>
      <c r="J67" s="17" t="n"/>
      <c r="K67" s="17" t="n"/>
      <c r="L67" s="17" t="n"/>
      <c r="M67" s="16" t="n"/>
      <c r="N67" s="16" t="n"/>
      <c r="O67" s="18" t="n"/>
      <c r="P67" s="18" t="n"/>
      <c r="Q67" s="16" t="n"/>
    </row>
    <row r="68">
      <c r="E68" s="15" t="n"/>
      <c r="F68" s="15" t="n"/>
      <c r="G68" s="15" t="n"/>
      <c r="H68" s="16" t="n"/>
      <c r="I68" s="16" t="n"/>
      <c r="J68" s="17" t="n"/>
      <c r="K68" s="17" t="n"/>
      <c r="L68" s="17" t="n"/>
      <c r="M68" s="16" t="n"/>
      <c r="N68" s="16" t="n"/>
      <c r="O68" s="18" t="n"/>
      <c r="P68" s="18" t="n"/>
      <c r="Q68" s="16" t="n"/>
    </row>
    <row r="69">
      <c r="E69" s="15" t="n"/>
      <c r="F69" s="15" t="n"/>
      <c r="G69" s="15" t="n"/>
      <c r="H69" s="16" t="n"/>
      <c r="I69" s="16" t="n"/>
      <c r="J69" s="17" t="n"/>
      <c r="K69" s="17" t="n"/>
      <c r="L69" s="17" t="n"/>
      <c r="M69" s="16" t="n"/>
      <c r="N69" s="16" t="n"/>
      <c r="O69" s="18" t="n"/>
      <c r="P69" s="18" t="n"/>
      <c r="Q69" s="16" t="n"/>
    </row>
    <row r="70">
      <c r="E70" s="15" t="n"/>
      <c r="F70" s="15" t="n"/>
      <c r="G70" s="15" t="n"/>
      <c r="H70" s="16" t="n"/>
      <c r="I70" s="16" t="n"/>
      <c r="J70" s="17" t="n"/>
      <c r="K70" s="17" t="n"/>
      <c r="L70" s="17" t="n"/>
      <c r="M70" s="16" t="n"/>
      <c r="N70" s="16" t="n"/>
      <c r="O70" s="18" t="n"/>
      <c r="P70" s="18" t="n"/>
      <c r="Q70" s="16" t="n"/>
    </row>
    <row r="71">
      <c r="E71" s="15" t="n"/>
      <c r="F71" s="15" t="n"/>
      <c r="G71" s="15" t="n"/>
      <c r="H71" s="16" t="n"/>
      <c r="I71" s="16" t="n"/>
      <c r="J71" s="17" t="n"/>
      <c r="K71" s="17" t="n"/>
      <c r="L71" s="17" t="n"/>
      <c r="M71" s="16" t="n"/>
      <c r="N71" s="16" t="n"/>
      <c r="O71" s="18" t="n"/>
      <c r="P71" s="18" t="n"/>
      <c r="Q71" s="16" t="n"/>
    </row>
    <row r="72">
      <c r="E72" s="15" t="n"/>
      <c r="F72" s="15" t="n"/>
      <c r="G72" s="15" t="n"/>
      <c r="H72" s="16" t="n"/>
      <c r="I72" s="16" t="n"/>
      <c r="J72" s="17" t="n"/>
      <c r="K72" s="17" t="n"/>
      <c r="L72" s="17" t="n"/>
      <c r="M72" s="16" t="n"/>
      <c r="N72" s="16" t="n"/>
      <c r="O72" s="18" t="n"/>
      <c r="P72" s="18" t="n"/>
      <c r="Q72" s="16" t="n"/>
    </row>
    <row r="73">
      <c r="E73" s="15" t="n"/>
      <c r="F73" s="15" t="n"/>
      <c r="G73" s="15" t="n"/>
      <c r="H73" s="16" t="n"/>
      <c r="I73" s="16" t="n"/>
      <c r="J73" s="17" t="n"/>
      <c r="K73" s="17" t="n"/>
      <c r="L73" s="17" t="n"/>
      <c r="M73" s="16" t="n"/>
      <c r="N73" s="16" t="n"/>
      <c r="O73" s="18" t="n"/>
      <c r="P73" s="18" t="n"/>
      <c r="Q73" s="16" t="n"/>
    </row>
    <row r="74">
      <c r="E74" s="15" t="n"/>
      <c r="F74" s="15" t="n"/>
      <c r="G74" s="15" t="n"/>
      <c r="H74" s="16" t="n"/>
      <c r="I74" s="16" t="n"/>
      <c r="J74" s="17" t="n"/>
      <c r="K74" s="17" t="n"/>
      <c r="L74" s="17" t="n"/>
      <c r="M74" s="16" t="n"/>
      <c r="N74" s="16" t="n"/>
      <c r="O74" s="18" t="n"/>
      <c r="P74" s="18" t="n"/>
      <c r="Q74" s="16" t="n"/>
    </row>
    <row r="75">
      <c r="E75" s="15" t="n"/>
      <c r="F75" s="15" t="n"/>
      <c r="G75" s="15" t="n"/>
      <c r="H75" s="16" t="n"/>
      <c r="I75" s="16" t="n"/>
      <c r="J75" s="17" t="n"/>
      <c r="K75" s="17" t="n"/>
      <c r="L75" s="17" t="n"/>
      <c r="M75" s="16" t="n"/>
      <c r="N75" s="16" t="n"/>
      <c r="O75" s="18" t="n"/>
      <c r="P75" s="18" t="n"/>
      <c r="Q75" s="16" t="n"/>
    </row>
    <row r="76">
      <c r="E76" s="15" t="n"/>
      <c r="F76" s="15" t="n"/>
      <c r="G76" s="15" t="n"/>
      <c r="H76" s="16" t="n"/>
      <c r="I76" s="16" t="n"/>
      <c r="J76" s="17" t="n"/>
      <c r="K76" s="17" t="n"/>
      <c r="L76" s="17" t="n"/>
      <c r="M76" s="16" t="n"/>
      <c r="N76" s="16" t="n"/>
      <c r="O76" s="18" t="n"/>
      <c r="P76" s="18" t="n"/>
      <c r="Q76" s="16" t="n"/>
    </row>
    <row r="77">
      <c r="E77" s="15" t="n"/>
      <c r="F77" s="15" t="n"/>
      <c r="G77" s="15" t="n"/>
      <c r="H77" s="16" t="n"/>
      <c r="I77" s="16" t="n"/>
      <c r="J77" s="17" t="n"/>
      <c r="K77" s="17" t="n"/>
      <c r="L77" s="17" t="n"/>
      <c r="M77" s="16" t="n"/>
      <c r="N77" s="16" t="n"/>
      <c r="O77" s="18" t="n"/>
      <c r="P77" s="18" t="n"/>
      <c r="Q77" s="16" t="n"/>
    </row>
    <row r="78">
      <c r="E78" s="15" t="n"/>
      <c r="F78" s="15" t="n"/>
      <c r="G78" s="15" t="n"/>
      <c r="H78" s="16" t="n"/>
      <c r="I78" s="16" t="n"/>
      <c r="J78" s="17" t="n"/>
      <c r="K78" s="17" t="n"/>
      <c r="L78" s="17" t="n"/>
      <c r="M78" s="16" t="n"/>
      <c r="N78" s="16" t="n"/>
      <c r="O78" s="18" t="n"/>
      <c r="P78" s="18" t="n"/>
      <c r="Q78" s="16" t="n"/>
    </row>
    <row r="79">
      <c r="E79" s="15" t="n"/>
      <c r="F79" s="15" t="n"/>
      <c r="G79" s="15" t="n"/>
      <c r="H79" s="16" t="n"/>
      <c r="I79" s="16" t="n"/>
      <c r="J79" s="17" t="n"/>
      <c r="K79" s="17" t="n"/>
      <c r="L79" s="17" t="n"/>
      <c r="M79" s="16" t="n"/>
      <c r="N79" s="16" t="n"/>
      <c r="O79" s="18" t="n"/>
      <c r="P79" s="18" t="n"/>
      <c r="Q79" s="16" t="n"/>
    </row>
    <row r="80">
      <c r="E80" s="15" t="n"/>
      <c r="F80" s="15" t="n"/>
      <c r="G80" s="15" t="n"/>
      <c r="H80" s="16" t="n"/>
      <c r="I80" s="16" t="n"/>
      <c r="J80" s="17" t="n"/>
      <c r="K80" s="17" t="n"/>
      <c r="L80" s="17" t="n"/>
      <c r="M80" s="16" t="n"/>
      <c r="N80" s="16" t="n"/>
      <c r="O80" s="18" t="n"/>
      <c r="P80" s="18" t="n"/>
      <c r="Q80" s="16" t="n"/>
    </row>
    <row r="81">
      <c r="E81" s="15" t="n"/>
      <c r="F81" s="15" t="n"/>
      <c r="G81" s="15" t="n"/>
      <c r="H81" s="16" t="n"/>
      <c r="I81" s="16" t="n"/>
      <c r="J81" s="17" t="n"/>
      <c r="K81" s="17" t="n"/>
      <c r="L81" s="17" t="n"/>
      <c r="M81" s="16" t="n"/>
      <c r="N81" s="16" t="n"/>
      <c r="O81" s="18" t="n"/>
      <c r="P81" s="18" t="n"/>
      <c r="Q81" s="16" t="n"/>
    </row>
    <row r="82">
      <c r="E82" s="15" t="n"/>
      <c r="F82" s="15" t="n"/>
      <c r="G82" s="15" t="n"/>
      <c r="H82" s="16" t="n"/>
      <c r="I82" s="16" t="n"/>
      <c r="J82" s="17" t="n"/>
      <c r="K82" s="17" t="n"/>
      <c r="L82" s="17" t="n"/>
      <c r="M82" s="16" t="n"/>
      <c r="N82" s="16" t="n"/>
      <c r="O82" s="18" t="n"/>
      <c r="P82" s="18" t="n"/>
      <c r="Q82" s="16" t="n"/>
    </row>
    <row r="83">
      <c r="E83" s="15" t="n"/>
      <c r="F83" s="15" t="n"/>
      <c r="G83" s="15" t="n"/>
      <c r="H83" s="16" t="n"/>
      <c r="I83" s="16" t="n"/>
      <c r="J83" s="17" t="n"/>
      <c r="K83" s="17" t="n"/>
      <c r="L83" s="17" t="n"/>
      <c r="M83" s="16" t="n"/>
      <c r="N83" s="16" t="n"/>
      <c r="O83" s="18" t="n"/>
      <c r="P83" s="18" t="n"/>
      <c r="Q83" s="16" t="n"/>
    </row>
    <row r="84">
      <c r="E84" s="15" t="n"/>
      <c r="F84" s="15" t="n"/>
      <c r="G84" s="15" t="n"/>
      <c r="H84" s="16" t="n"/>
      <c r="I84" s="16" t="n"/>
      <c r="J84" s="17" t="n"/>
      <c r="K84" s="17" t="n"/>
      <c r="L84" s="17" t="n"/>
      <c r="M84" s="16" t="n"/>
      <c r="N84" s="16" t="n"/>
      <c r="O84" s="18" t="n"/>
      <c r="P84" s="18" t="n"/>
      <c r="Q84" s="16" t="n"/>
    </row>
    <row r="85">
      <c r="E85" s="15" t="n"/>
      <c r="F85" s="15" t="n"/>
      <c r="G85" s="15" t="n"/>
      <c r="H85" s="16" t="n"/>
      <c r="I85" s="16" t="n"/>
      <c r="J85" s="17" t="n"/>
      <c r="K85" s="17" t="n"/>
      <c r="L85" s="17" t="n"/>
      <c r="M85" s="16" t="n"/>
      <c r="N85" s="16" t="n"/>
      <c r="O85" s="18" t="n"/>
      <c r="P85" s="18" t="n"/>
      <c r="Q85" s="16" t="n"/>
    </row>
    <row r="86">
      <c r="E86" s="15" t="n"/>
      <c r="F86" s="15" t="n"/>
      <c r="G86" s="15" t="n"/>
      <c r="H86" s="16" t="n"/>
      <c r="I86" s="16" t="n"/>
      <c r="J86" s="17" t="n"/>
      <c r="K86" s="17" t="n"/>
      <c r="L86" s="17" t="n"/>
      <c r="M86" s="16" t="n"/>
      <c r="N86" s="16" t="n"/>
      <c r="O86" s="18" t="n"/>
      <c r="P86" s="18" t="n"/>
      <c r="Q86" s="16" t="n"/>
    </row>
    <row r="87">
      <c r="E87" s="15" t="n"/>
      <c r="F87" s="15" t="n"/>
      <c r="G87" s="15" t="n"/>
      <c r="H87" s="16" t="n"/>
      <c r="I87" s="16" t="n"/>
      <c r="J87" s="17" t="n"/>
      <c r="K87" s="17" t="n"/>
      <c r="L87" s="17" t="n"/>
      <c r="M87" s="16" t="n"/>
      <c r="N87" s="16" t="n"/>
      <c r="O87" s="18" t="n"/>
      <c r="P87" s="18" t="n"/>
      <c r="Q87" s="16" t="n"/>
    </row>
    <row r="88">
      <c r="E88" s="15" t="n"/>
      <c r="F88" s="15" t="n"/>
      <c r="G88" s="15" t="n"/>
      <c r="H88" s="16" t="n"/>
      <c r="I88" s="16" t="n"/>
      <c r="J88" s="17" t="n"/>
      <c r="K88" s="17" t="n"/>
      <c r="L88" s="17" t="n"/>
      <c r="M88" s="16" t="n"/>
      <c r="N88" s="16" t="n"/>
      <c r="O88" s="18" t="n"/>
      <c r="P88" s="18" t="n"/>
      <c r="Q88" s="16" t="n"/>
    </row>
    <row r="89">
      <c r="E89" s="15" t="n"/>
      <c r="F89" s="15" t="n"/>
      <c r="G89" s="15" t="n"/>
      <c r="H89" s="16" t="n"/>
      <c r="I89" s="16" t="n"/>
      <c r="J89" s="17" t="n"/>
      <c r="K89" s="17" t="n"/>
      <c r="L89" s="17" t="n"/>
      <c r="M89" s="16" t="n"/>
      <c r="N89" s="16" t="n"/>
      <c r="O89" s="18" t="n"/>
      <c r="P89" s="18" t="n"/>
      <c r="Q89" s="16" t="n"/>
    </row>
    <row r="90">
      <c r="E90" s="15" t="n"/>
      <c r="F90" s="15" t="n"/>
      <c r="G90" s="15" t="n"/>
      <c r="H90" s="16" t="n"/>
      <c r="I90" s="16" t="n"/>
      <c r="J90" s="17" t="n"/>
      <c r="K90" s="17" t="n"/>
      <c r="L90" s="17" t="n"/>
      <c r="M90" s="16" t="n"/>
      <c r="N90" s="16" t="n"/>
      <c r="O90" s="18" t="n"/>
      <c r="P90" s="18" t="n"/>
      <c r="Q90" s="16" t="n"/>
    </row>
    <row r="91">
      <c r="E91" s="15" t="n"/>
      <c r="F91" s="15" t="n"/>
      <c r="G91" s="15" t="n"/>
      <c r="H91" s="16" t="n"/>
      <c r="I91" s="16" t="n"/>
      <c r="J91" s="17" t="n"/>
      <c r="K91" s="17" t="n"/>
      <c r="L91" s="17" t="n"/>
      <c r="M91" s="16" t="n"/>
      <c r="N91" s="16" t="n"/>
      <c r="O91" s="18" t="n"/>
      <c r="P91" s="18" t="n"/>
      <c r="Q91" s="16" t="n"/>
    </row>
    <row r="92">
      <c r="E92" s="15" t="n"/>
      <c r="F92" s="15" t="n"/>
      <c r="G92" s="15" t="n"/>
      <c r="H92" s="16" t="n"/>
      <c r="I92" s="16" t="n"/>
      <c r="J92" s="17" t="n"/>
      <c r="K92" s="17" t="n"/>
      <c r="L92" s="17" t="n"/>
      <c r="M92" s="16" t="n"/>
      <c r="N92" s="16" t="n"/>
      <c r="O92" s="18" t="n"/>
      <c r="P92" s="18" t="n"/>
      <c r="Q92" s="16" t="n"/>
    </row>
    <row r="93">
      <c r="E93" s="15" t="n"/>
      <c r="F93" s="15" t="n"/>
      <c r="G93" s="15" t="n"/>
      <c r="H93" s="16" t="n"/>
      <c r="I93" s="16" t="n"/>
      <c r="J93" s="17" t="n"/>
      <c r="K93" s="17" t="n"/>
      <c r="L93" s="17" t="n"/>
      <c r="M93" s="16" t="n"/>
      <c r="N93" s="16" t="n"/>
      <c r="O93" s="18" t="n"/>
      <c r="P93" s="18" t="n"/>
      <c r="Q93" s="16" t="n"/>
    </row>
    <row r="94">
      <c r="E94" s="15" t="n"/>
      <c r="F94" s="15" t="n"/>
      <c r="G94" s="15" t="n"/>
      <c r="H94" s="16" t="n"/>
      <c r="I94" s="16" t="n"/>
      <c r="J94" s="17" t="n"/>
      <c r="K94" s="17" t="n"/>
      <c r="L94" s="17" t="n"/>
      <c r="M94" s="16" t="n"/>
      <c r="N94" s="16" t="n"/>
      <c r="O94" s="18" t="n"/>
      <c r="P94" s="18" t="n"/>
      <c r="Q94" s="16" t="n"/>
    </row>
    <row r="95">
      <c r="E95" s="15" t="n"/>
      <c r="F95" s="15" t="n"/>
      <c r="G95" s="15" t="n"/>
      <c r="H95" s="16" t="n"/>
      <c r="I95" s="16" t="n"/>
      <c r="J95" s="17" t="n"/>
      <c r="K95" s="17" t="n"/>
      <c r="L95" s="17" t="n"/>
      <c r="M95" s="16" t="n"/>
      <c r="N95" s="16" t="n"/>
      <c r="O95" s="18" t="n"/>
      <c r="P95" s="18" t="n"/>
      <c r="Q95" s="16" t="n"/>
    </row>
    <row r="96">
      <c r="E96" s="15" t="n"/>
      <c r="F96" s="15" t="n"/>
      <c r="G96" s="15" t="n"/>
      <c r="H96" s="16" t="n"/>
      <c r="I96" s="16" t="n"/>
      <c r="J96" s="17" t="n"/>
      <c r="K96" s="17" t="n"/>
      <c r="L96" s="17" t="n"/>
      <c r="M96" s="16" t="n"/>
      <c r="N96" s="16" t="n"/>
      <c r="O96" s="18" t="n"/>
      <c r="P96" s="18" t="n"/>
      <c r="Q96" s="16" t="n"/>
    </row>
    <row r="97">
      <c r="E97" s="15" t="n"/>
      <c r="F97" s="15" t="n"/>
      <c r="G97" s="15" t="n"/>
      <c r="H97" s="16" t="n"/>
      <c r="I97" s="16" t="n"/>
      <c r="J97" s="17" t="n"/>
      <c r="K97" s="17" t="n"/>
      <c r="L97" s="17" t="n"/>
      <c r="M97" s="16" t="n"/>
      <c r="N97" s="16" t="n"/>
      <c r="O97" s="18" t="n"/>
      <c r="P97" s="18" t="n"/>
      <c r="Q97" s="16" t="n"/>
    </row>
    <row r="98">
      <c r="E98" s="15" t="n"/>
      <c r="F98" s="15" t="n"/>
      <c r="G98" s="15" t="n"/>
      <c r="H98" s="16" t="n"/>
      <c r="I98" s="16" t="n"/>
      <c r="J98" s="17" t="n"/>
      <c r="K98" s="17" t="n"/>
      <c r="L98" s="17" t="n"/>
      <c r="M98" s="16" t="n"/>
      <c r="N98" s="16" t="n"/>
      <c r="O98" s="18" t="n"/>
      <c r="P98" s="18" t="n"/>
      <c r="Q98" s="16" t="n"/>
    </row>
    <row r="99">
      <c r="E99" s="15" t="n"/>
      <c r="F99" s="15" t="n"/>
      <c r="G99" s="15" t="n"/>
      <c r="H99" s="16" t="n"/>
      <c r="I99" s="16" t="n"/>
      <c r="J99" s="17" t="n"/>
      <c r="K99" s="17" t="n"/>
      <c r="L99" s="17" t="n"/>
      <c r="M99" s="16" t="n"/>
      <c r="N99" s="16" t="n"/>
      <c r="O99" s="18" t="n"/>
      <c r="P99" s="18" t="n"/>
      <c r="Q99" s="16" t="n"/>
    </row>
    <row r="100">
      <c r="E100" s="15" t="n"/>
      <c r="F100" s="15" t="n"/>
      <c r="G100" s="15" t="n"/>
      <c r="H100" s="16" t="n"/>
      <c r="I100" s="16" t="n"/>
      <c r="J100" s="17" t="n"/>
      <c r="K100" s="17" t="n"/>
      <c r="L100" s="17" t="n"/>
      <c r="M100" s="16" t="n"/>
      <c r="N100" s="16" t="n"/>
      <c r="O100" s="18" t="n"/>
      <c r="P100" s="18" t="n"/>
      <c r="Q100" s="16" t="n"/>
    </row>
    <row r="101">
      <c r="E101" s="15" t="n"/>
      <c r="F101" s="15" t="n"/>
      <c r="G101" s="15" t="n"/>
      <c r="H101" s="16" t="n"/>
      <c r="I101" s="16" t="n"/>
      <c r="J101" s="17" t="n"/>
      <c r="K101" s="17" t="n"/>
      <c r="L101" s="17" t="n"/>
      <c r="M101" s="16" t="n"/>
      <c r="N101" s="16" t="n"/>
      <c r="O101" s="18" t="n"/>
      <c r="P101" s="18" t="n"/>
      <c r="Q101" s="16" t="n"/>
    </row>
    <row r="102">
      <c r="E102" s="15" t="n"/>
      <c r="F102" s="15" t="n"/>
      <c r="G102" s="15" t="n"/>
      <c r="H102" s="16" t="n"/>
      <c r="I102" s="16" t="n"/>
      <c r="J102" s="17" t="n"/>
      <c r="K102" s="17" t="n"/>
      <c r="L102" s="17" t="n"/>
      <c r="M102" s="16" t="n"/>
      <c r="N102" s="16" t="n"/>
      <c r="O102" s="18" t="n"/>
      <c r="P102" s="18" t="n"/>
      <c r="Q102" s="16" t="n"/>
    </row>
    <row r="103">
      <c r="E103" s="15" t="n"/>
      <c r="F103" s="15" t="n"/>
      <c r="G103" s="15" t="n"/>
      <c r="H103" s="16" t="n"/>
      <c r="I103" s="16" t="n"/>
      <c r="J103" s="17" t="n"/>
      <c r="K103" s="17" t="n"/>
      <c r="L103" s="17" t="n"/>
      <c r="M103" s="16" t="n"/>
      <c r="N103" s="16" t="n"/>
      <c r="O103" s="18" t="n"/>
      <c r="P103" s="18" t="n"/>
      <c r="Q103" s="16" t="n"/>
    </row>
    <row r="104">
      <c r="E104" s="15" t="n"/>
      <c r="F104" s="15" t="n"/>
      <c r="G104" s="15" t="n"/>
      <c r="H104" s="16" t="n"/>
      <c r="I104" s="16" t="n"/>
      <c r="J104" s="17" t="n"/>
      <c r="K104" s="17" t="n"/>
      <c r="L104" s="17" t="n"/>
      <c r="M104" s="16" t="n"/>
      <c r="N104" s="16" t="n"/>
      <c r="O104" s="18" t="n"/>
      <c r="P104" s="18" t="n"/>
      <c r="Q104" s="16" t="n"/>
    </row>
    <row r="105">
      <c r="E105" s="15" t="n"/>
      <c r="F105" s="15" t="n"/>
      <c r="G105" s="15" t="n"/>
      <c r="H105" s="16" t="n"/>
      <c r="I105" s="16" t="n"/>
      <c r="J105" s="17" t="n"/>
      <c r="K105" s="17" t="n"/>
      <c r="L105" s="17" t="n"/>
      <c r="M105" s="16" t="n"/>
      <c r="N105" s="16" t="n"/>
      <c r="O105" s="18" t="n"/>
      <c r="P105" s="18" t="n"/>
      <c r="Q105" s="16" t="n"/>
    </row>
    <row r="106">
      <c r="E106" s="15" t="n"/>
      <c r="F106" s="15" t="n"/>
      <c r="G106" s="15" t="n"/>
      <c r="H106" s="16" t="n"/>
      <c r="I106" s="16" t="n"/>
      <c r="J106" s="17" t="n"/>
      <c r="K106" s="17" t="n"/>
      <c r="L106" s="17" t="n"/>
      <c r="M106" s="16" t="n"/>
      <c r="N106" s="16" t="n"/>
      <c r="O106" s="18" t="n"/>
      <c r="P106" s="18" t="n"/>
      <c r="Q106" s="16" t="n"/>
    </row>
    <row r="107">
      <c r="E107" s="15" t="n"/>
      <c r="F107" s="15" t="n"/>
      <c r="G107" s="15" t="n"/>
      <c r="H107" s="16" t="n"/>
      <c r="I107" s="16" t="n"/>
      <c r="J107" s="17" t="n"/>
      <c r="K107" s="17" t="n"/>
      <c r="L107" s="17" t="n"/>
      <c r="M107" s="16" t="n"/>
      <c r="N107" s="16" t="n"/>
      <c r="O107" s="18" t="n"/>
      <c r="P107" s="18" t="n"/>
      <c r="Q107" s="16" t="n"/>
    </row>
    <row r="108">
      <c r="E108" s="15" t="n"/>
      <c r="F108" s="15" t="n"/>
      <c r="G108" s="15" t="n"/>
      <c r="H108" s="16" t="n"/>
      <c r="I108" s="16" t="n"/>
      <c r="J108" s="17" t="n"/>
      <c r="K108" s="17" t="n"/>
      <c r="L108" s="17" t="n"/>
      <c r="M108" s="16" t="n"/>
      <c r="N108" s="16" t="n"/>
      <c r="O108" s="18" t="n"/>
      <c r="P108" s="18" t="n"/>
      <c r="Q108" s="16" t="n"/>
    </row>
    <row r="109">
      <c r="E109" s="15" t="n"/>
      <c r="F109" s="15" t="n"/>
      <c r="G109" s="15" t="n"/>
      <c r="H109" s="16" t="n"/>
      <c r="I109" s="16" t="n"/>
      <c r="J109" s="17" t="n"/>
      <c r="K109" s="17" t="n"/>
      <c r="L109" s="17" t="n"/>
      <c r="M109" s="16" t="n"/>
      <c r="N109" s="16" t="n"/>
      <c r="O109" s="18" t="n"/>
      <c r="P109" s="18" t="n"/>
      <c r="Q109" s="16" t="n"/>
    </row>
    <row r="110">
      <c r="E110" s="15" t="n"/>
      <c r="F110" s="15" t="n"/>
      <c r="G110" s="15" t="n"/>
      <c r="H110" s="16" t="n"/>
      <c r="I110" s="16" t="n"/>
      <c r="J110" s="17" t="n"/>
      <c r="K110" s="17" t="n"/>
      <c r="L110" s="17" t="n"/>
      <c r="M110" s="16" t="n"/>
      <c r="N110" s="16" t="n"/>
      <c r="O110" s="18" t="n"/>
      <c r="P110" s="18" t="n"/>
      <c r="Q110" s="16" t="n"/>
    </row>
    <row r="111">
      <c r="E111" s="15" t="n"/>
      <c r="F111" s="15" t="n"/>
      <c r="G111" s="15" t="n"/>
      <c r="H111" s="16" t="n"/>
      <c r="I111" s="16" t="n"/>
      <c r="J111" s="17" t="n"/>
      <c r="K111" s="17" t="n"/>
      <c r="L111" s="17" t="n"/>
      <c r="M111" s="16" t="n"/>
      <c r="N111" s="16" t="n"/>
      <c r="O111" s="18" t="n"/>
      <c r="P111" s="18" t="n"/>
      <c r="Q111" s="16" t="n"/>
    </row>
    <row r="112">
      <c r="E112" s="15" t="n"/>
      <c r="F112" s="15" t="n"/>
      <c r="G112" s="15" t="n"/>
      <c r="H112" s="16" t="n"/>
      <c r="I112" s="16" t="n"/>
      <c r="J112" s="17" t="n"/>
      <c r="K112" s="17" t="n"/>
      <c r="L112" s="17" t="n"/>
      <c r="M112" s="16" t="n"/>
      <c r="N112" s="16" t="n"/>
      <c r="O112" s="18" t="n"/>
      <c r="P112" s="18" t="n"/>
      <c r="Q112" s="16" t="n"/>
    </row>
    <row r="113">
      <c r="E113" s="15" t="n"/>
      <c r="F113" s="15" t="n"/>
      <c r="G113" s="15" t="n"/>
      <c r="H113" s="16" t="n"/>
      <c r="I113" s="16" t="n"/>
      <c r="J113" s="17" t="n"/>
      <c r="K113" s="17" t="n"/>
      <c r="L113" s="17" t="n"/>
      <c r="M113" s="16" t="n"/>
      <c r="N113" s="16" t="n"/>
      <c r="O113" s="18" t="n"/>
      <c r="P113" s="18" t="n"/>
      <c r="Q113" s="16" t="n"/>
    </row>
    <row r="114">
      <c r="E114" s="15" t="n"/>
      <c r="F114" s="15" t="n"/>
      <c r="G114" s="15" t="n"/>
      <c r="H114" s="16" t="n"/>
      <c r="I114" s="16" t="n"/>
      <c r="J114" s="17" t="n"/>
      <c r="K114" s="17" t="n"/>
      <c r="L114" s="17" t="n"/>
      <c r="M114" s="16" t="n"/>
      <c r="N114" s="16" t="n"/>
      <c r="O114" s="18" t="n"/>
      <c r="P114" s="18" t="n"/>
      <c r="Q114" s="16" t="n"/>
    </row>
    <row r="115">
      <c r="E115" s="15" t="n"/>
      <c r="F115" s="15" t="n"/>
      <c r="G115" s="15" t="n"/>
      <c r="H115" s="16" t="n"/>
      <c r="I115" s="16" t="n"/>
      <c r="J115" s="17" t="n"/>
      <c r="K115" s="17" t="n"/>
      <c r="L115" s="17" t="n"/>
      <c r="M115" s="16" t="n"/>
      <c r="N115" s="16" t="n"/>
      <c r="O115" s="18" t="n"/>
      <c r="P115" s="18" t="n"/>
      <c r="Q115" s="16" t="n"/>
    </row>
    <row r="116">
      <c r="E116" s="15" t="n"/>
      <c r="F116" s="15" t="n"/>
      <c r="G116" s="15" t="n"/>
      <c r="H116" s="16" t="n"/>
      <c r="I116" s="16" t="n"/>
      <c r="J116" s="17" t="n"/>
      <c r="K116" s="17" t="n"/>
      <c r="L116" s="17" t="n"/>
      <c r="M116" s="16" t="n"/>
      <c r="N116" s="16" t="n"/>
      <c r="O116" s="18" t="n"/>
      <c r="P116" s="18" t="n"/>
      <c r="Q116" s="16" t="n"/>
    </row>
    <row r="117">
      <c r="E117" s="15" t="n"/>
      <c r="F117" s="15" t="n"/>
      <c r="G117" s="15" t="n"/>
      <c r="H117" s="16" t="n"/>
      <c r="I117" s="16" t="n"/>
      <c r="J117" s="17" t="n"/>
      <c r="K117" s="17" t="n"/>
      <c r="L117" s="17" t="n"/>
      <c r="M117" s="16" t="n"/>
      <c r="N117" s="16" t="n"/>
      <c r="O117" s="18" t="n"/>
      <c r="P117" s="18" t="n"/>
      <c r="Q117" s="16" t="n"/>
    </row>
    <row r="118">
      <c r="E118" s="15" t="n"/>
      <c r="F118" s="15" t="n"/>
      <c r="G118" s="15" t="n"/>
      <c r="H118" s="16" t="n"/>
      <c r="I118" s="16" t="n"/>
      <c r="J118" s="17" t="n"/>
      <c r="K118" s="17" t="n"/>
      <c r="L118" s="17" t="n"/>
      <c r="M118" s="16" t="n"/>
      <c r="N118" s="16" t="n"/>
      <c r="O118" s="18" t="n"/>
      <c r="P118" s="18" t="n"/>
      <c r="Q118" s="16" t="n"/>
    </row>
    <row r="119">
      <c r="E119" s="15" t="n"/>
      <c r="F119" s="15" t="n"/>
      <c r="G119" s="15" t="n"/>
      <c r="H119" s="16" t="n"/>
      <c r="I119" s="16" t="n"/>
      <c r="J119" s="17" t="n"/>
      <c r="K119" s="17" t="n"/>
      <c r="L119" s="17" t="n"/>
      <c r="M119" s="16" t="n"/>
      <c r="N119" s="16" t="n"/>
      <c r="O119" s="18" t="n"/>
      <c r="P119" s="18" t="n"/>
      <c r="Q119" s="16" t="n"/>
    </row>
    <row r="120">
      <c r="E120" s="15" t="n"/>
      <c r="F120" s="15" t="n"/>
      <c r="G120" s="15" t="n"/>
      <c r="H120" s="16" t="n"/>
      <c r="I120" s="16" t="n"/>
      <c r="J120" s="17" t="n"/>
      <c r="K120" s="17" t="n"/>
      <c r="L120" s="17" t="n"/>
      <c r="M120" s="16" t="n"/>
      <c r="N120" s="16" t="n"/>
      <c r="O120" s="18" t="n"/>
      <c r="P120" s="18" t="n"/>
      <c r="Q120" s="16" t="n"/>
    </row>
    <row r="121">
      <c r="E121" s="15" t="n"/>
      <c r="F121" s="15" t="n"/>
      <c r="G121" s="15" t="n"/>
      <c r="H121" s="16" t="n"/>
      <c r="I121" s="16" t="n"/>
      <c r="J121" s="17" t="n"/>
      <c r="K121" s="17" t="n"/>
      <c r="L121" s="17" t="n"/>
      <c r="M121" s="16" t="n"/>
      <c r="N121" s="16" t="n"/>
      <c r="O121" s="18" t="n"/>
      <c r="P121" s="18" t="n"/>
      <c r="Q121" s="16" t="n"/>
    </row>
    <row r="122">
      <c r="E122" s="15" t="n"/>
      <c r="F122" s="15" t="n"/>
      <c r="G122" s="15" t="n"/>
      <c r="H122" s="16" t="n"/>
      <c r="I122" s="16" t="n"/>
      <c r="J122" s="17" t="n"/>
      <c r="K122" s="17" t="n"/>
      <c r="L122" s="17" t="n"/>
      <c r="M122" s="16" t="n"/>
      <c r="N122" s="16" t="n"/>
      <c r="O122" s="18" t="n"/>
      <c r="P122" s="18" t="n"/>
      <c r="Q122" s="16" t="n"/>
    </row>
    <row r="123">
      <c r="E123" s="15" t="n"/>
      <c r="F123" s="15" t="n"/>
      <c r="G123" s="15" t="n"/>
      <c r="H123" s="16" t="n"/>
      <c r="I123" s="16" t="n"/>
      <c r="J123" s="17" t="n"/>
      <c r="K123" s="17" t="n"/>
      <c r="L123" s="17" t="n"/>
      <c r="M123" s="16" t="n"/>
      <c r="N123" s="16" t="n"/>
      <c r="O123" s="18" t="n"/>
      <c r="P123" s="18" t="n"/>
      <c r="Q123" s="16" t="n"/>
    </row>
    <row r="124">
      <c r="E124" s="15" t="n"/>
      <c r="F124" s="15" t="n"/>
      <c r="G124" s="15" t="n"/>
      <c r="H124" s="16" t="n"/>
      <c r="I124" s="16" t="n"/>
      <c r="J124" s="17" t="n"/>
      <c r="K124" s="17" t="n"/>
      <c r="L124" s="17" t="n"/>
      <c r="M124" s="16" t="n"/>
      <c r="N124" s="16" t="n"/>
      <c r="O124" s="18" t="n"/>
      <c r="P124" s="18" t="n"/>
      <c r="Q124" s="16" t="n"/>
    </row>
    <row r="125">
      <c r="E125" s="15" t="n"/>
      <c r="F125" s="15" t="n"/>
      <c r="G125" s="15" t="n"/>
      <c r="H125" s="16" t="n"/>
      <c r="I125" s="16" t="n"/>
      <c r="J125" s="17" t="n"/>
      <c r="K125" s="17" t="n"/>
      <c r="L125" s="17" t="n"/>
      <c r="M125" s="16" t="n"/>
      <c r="N125" s="16" t="n"/>
      <c r="O125" s="18" t="n"/>
      <c r="P125" s="18" t="n"/>
      <c r="Q125" s="16" t="n"/>
    </row>
    <row r="126">
      <c r="E126" s="15" t="n"/>
      <c r="F126" s="15" t="n"/>
      <c r="G126" s="15" t="n"/>
      <c r="H126" s="16" t="n"/>
      <c r="I126" s="16" t="n"/>
      <c r="J126" s="17" t="n"/>
      <c r="K126" s="17" t="n"/>
      <c r="L126" s="17" t="n"/>
      <c r="M126" s="16" t="n"/>
      <c r="N126" s="16" t="n"/>
      <c r="O126" s="18" t="n"/>
      <c r="P126" s="18" t="n"/>
      <c r="Q126" s="16" t="n"/>
    </row>
    <row r="127">
      <c r="E127" s="15" t="n"/>
      <c r="F127" s="15" t="n"/>
      <c r="G127" s="15" t="n"/>
      <c r="H127" s="16" t="n"/>
      <c r="I127" s="16" t="n"/>
      <c r="J127" s="17" t="n"/>
      <c r="K127" s="17" t="n"/>
      <c r="L127" s="17" t="n"/>
      <c r="M127" s="16" t="n"/>
      <c r="N127" s="16" t="n"/>
      <c r="O127" s="18" t="n"/>
      <c r="P127" s="18" t="n"/>
      <c r="Q127" s="16" t="n"/>
    </row>
    <row r="128">
      <c r="E128" s="15" t="n"/>
      <c r="F128" s="15" t="n"/>
      <c r="G128" s="15" t="n"/>
      <c r="H128" s="16" t="n"/>
      <c r="I128" s="16" t="n"/>
      <c r="J128" s="17" t="n"/>
      <c r="K128" s="17" t="n"/>
      <c r="L128" s="17" t="n"/>
      <c r="M128" s="16" t="n"/>
      <c r="N128" s="16" t="n"/>
      <c r="O128" s="18" t="n"/>
      <c r="P128" s="18" t="n"/>
      <c r="Q128" s="16" t="n"/>
    </row>
    <row r="129">
      <c r="E129" s="15" t="n"/>
      <c r="F129" s="15" t="n"/>
      <c r="G129" s="15" t="n"/>
      <c r="H129" s="16" t="n"/>
      <c r="I129" s="16" t="n"/>
      <c r="J129" s="17" t="n"/>
      <c r="K129" s="17" t="n"/>
      <c r="L129" s="17" t="n"/>
      <c r="M129" s="16" t="n"/>
      <c r="N129" s="16" t="n"/>
      <c r="O129" s="18" t="n"/>
      <c r="P129" s="18" t="n"/>
      <c r="Q129" s="16" t="n"/>
    </row>
    <row r="130">
      <c r="E130" s="15" t="n"/>
      <c r="F130" s="15" t="n"/>
      <c r="G130" s="15" t="n"/>
      <c r="H130" s="16" t="n"/>
      <c r="I130" s="16" t="n"/>
      <c r="J130" s="17" t="n"/>
      <c r="K130" s="17" t="n"/>
      <c r="L130" s="17" t="n"/>
      <c r="M130" s="16" t="n"/>
      <c r="N130" s="16" t="n"/>
      <c r="O130" s="18" t="n"/>
      <c r="P130" s="18" t="n"/>
      <c r="Q130" s="16" t="n"/>
    </row>
    <row r="131">
      <c r="E131" s="15" t="n"/>
      <c r="F131" s="15" t="n"/>
      <c r="G131" s="15" t="n"/>
      <c r="H131" s="16" t="n"/>
      <c r="I131" s="16" t="n"/>
      <c r="J131" s="17" t="n"/>
      <c r="K131" s="17" t="n"/>
      <c r="L131" s="17" t="n"/>
      <c r="M131" s="16" t="n"/>
      <c r="N131" s="16" t="n"/>
      <c r="O131" s="18" t="n"/>
      <c r="P131" s="18" t="n"/>
      <c r="Q131" s="16" t="n"/>
    </row>
    <row r="132">
      <c r="E132" s="15" t="n"/>
      <c r="F132" s="15" t="n"/>
      <c r="G132" s="15" t="n"/>
      <c r="H132" s="16" t="n"/>
      <c r="I132" s="16" t="n"/>
      <c r="J132" s="17" t="n"/>
      <c r="K132" s="17" t="n"/>
      <c r="L132" s="17" t="n"/>
      <c r="M132" s="16" t="n"/>
      <c r="N132" s="16" t="n"/>
      <c r="O132" s="18" t="n"/>
      <c r="P132" s="18" t="n"/>
      <c r="Q132" s="16" t="n"/>
    </row>
    <row r="133">
      <c r="E133" s="15" t="n"/>
      <c r="F133" s="15" t="n"/>
      <c r="G133" s="15" t="n"/>
      <c r="H133" s="16" t="n"/>
      <c r="I133" s="16" t="n"/>
      <c r="J133" s="17" t="n"/>
      <c r="K133" s="17" t="n"/>
      <c r="L133" s="17" t="n"/>
      <c r="M133" s="16" t="n"/>
      <c r="N133" s="16" t="n"/>
      <c r="O133" s="18" t="n"/>
      <c r="P133" s="18" t="n"/>
      <c r="Q133" s="16" t="n"/>
    </row>
    <row r="134">
      <c r="E134" s="15" t="n"/>
      <c r="F134" s="15" t="n"/>
      <c r="G134" s="15" t="n"/>
      <c r="H134" s="16" t="n"/>
      <c r="I134" s="16" t="n"/>
      <c r="J134" s="17" t="n"/>
      <c r="K134" s="17" t="n"/>
      <c r="L134" s="17" t="n"/>
      <c r="M134" s="16" t="n"/>
      <c r="N134" s="16" t="n"/>
      <c r="O134" s="18" t="n"/>
      <c r="P134" s="18" t="n"/>
      <c r="Q134" s="16" t="n"/>
    </row>
    <row r="135">
      <c r="E135" s="15" t="n"/>
      <c r="F135" s="15" t="n"/>
      <c r="G135" s="15" t="n"/>
      <c r="H135" s="16" t="n"/>
      <c r="I135" s="16" t="n"/>
      <c r="J135" s="17" t="n"/>
      <c r="K135" s="17" t="n"/>
      <c r="L135" s="17" t="n"/>
      <c r="M135" s="16" t="n"/>
      <c r="N135" s="16" t="n"/>
      <c r="O135" s="18" t="n"/>
      <c r="P135" s="18" t="n"/>
      <c r="Q135" s="16" t="n"/>
    </row>
    <row r="136">
      <c r="E136" s="15" t="n"/>
      <c r="F136" s="15" t="n"/>
      <c r="G136" s="15" t="n"/>
      <c r="H136" s="16" t="n"/>
      <c r="I136" s="16" t="n"/>
      <c r="J136" s="17" t="n"/>
      <c r="K136" s="17" t="n"/>
      <c r="L136" s="17" t="n"/>
      <c r="M136" s="16" t="n"/>
      <c r="N136" s="16" t="n"/>
      <c r="O136" s="18" t="n"/>
      <c r="P136" s="18" t="n"/>
      <c r="Q136" s="16" t="n"/>
    </row>
    <row r="137">
      <c r="E137" s="15" t="n"/>
      <c r="F137" s="15" t="n"/>
      <c r="G137" s="15" t="n"/>
      <c r="H137" s="16" t="n"/>
      <c r="I137" s="16" t="n"/>
      <c r="J137" s="17" t="n"/>
      <c r="K137" s="17" t="n"/>
      <c r="L137" s="17" t="n"/>
      <c r="M137" s="16" t="n"/>
      <c r="N137" s="16" t="n"/>
      <c r="O137" s="18" t="n"/>
      <c r="P137" s="18" t="n"/>
      <c r="Q137" s="16" t="n"/>
    </row>
    <row r="138">
      <c r="E138" s="15" t="n"/>
      <c r="F138" s="15" t="n"/>
      <c r="G138" s="15" t="n"/>
      <c r="H138" s="16" t="n"/>
      <c r="I138" s="16" t="n"/>
      <c r="J138" s="17" t="n"/>
      <c r="K138" s="17" t="n"/>
      <c r="L138" s="17" t="n"/>
      <c r="M138" s="16" t="n"/>
      <c r="N138" s="16" t="n"/>
      <c r="O138" s="18" t="n"/>
      <c r="P138" s="18" t="n"/>
      <c r="Q138" s="16" t="n"/>
    </row>
    <row r="139">
      <c r="E139" s="15" t="n"/>
      <c r="F139" s="15" t="n"/>
      <c r="G139" s="15" t="n"/>
      <c r="H139" s="16" t="n"/>
      <c r="I139" s="16" t="n"/>
      <c r="J139" s="17" t="n"/>
      <c r="K139" s="17" t="n"/>
      <c r="L139" s="17" t="n"/>
      <c r="M139" s="16" t="n"/>
      <c r="N139" s="16" t="n"/>
      <c r="O139" s="18" t="n"/>
      <c r="P139" s="18" t="n"/>
      <c r="Q139" s="16" t="n"/>
    </row>
    <row r="140">
      <c r="E140" s="15" t="n"/>
      <c r="F140" s="15" t="n"/>
      <c r="G140" s="15" t="n"/>
      <c r="H140" s="16" t="n"/>
      <c r="I140" s="16" t="n"/>
      <c r="J140" s="17" t="n"/>
      <c r="K140" s="17" t="n"/>
      <c r="L140" s="17" t="n"/>
      <c r="M140" s="16" t="n"/>
      <c r="N140" s="16" t="n"/>
      <c r="O140" s="18" t="n"/>
      <c r="P140" s="18" t="n"/>
      <c r="Q140" s="16" t="n"/>
    </row>
    <row r="141">
      <c r="E141" s="15" t="n"/>
      <c r="F141" s="15" t="n"/>
      <c r="G141" s="15" t="n"/>
      <c r="H141" s="16" t="n"/>
      <c r="I141" s="16" t="n"/>
      <c r="J141" s="17" t="n"/>
      <c r="K141" s="17" t="n"/>
      <c r="L141" s="17" t="n"/>
      <c r="M141" s="16" t="n"/>
      <c r="N141" s="16" t="n"/>
      <c r="O141" s="18" t="n"/>
      <c r="P141" s="18" t="n"/>
      <c r="Q141" s="16" t="n"/>
    </row>
    <row r="142">
      <c r="E142" s="15" t="n"/>
      <c r="F142" s="15" t="n"/>
      <c r="G142" s="15" t="n"/>
      <c r="H142" s="16" t="n"/>
      <c r="I142" s="16" t="n"/>
      <c r="J142" s="17" t="n"/>
      <c r="K142" s="17" t="n"/>
      <c r="L142" s="17" t="n"/>
      <c r="M142" s="16" t="n"/>
      <c r="N142" s="16" t="n"/>
      <c r="O142" s="18" t="n"/>
      <c r="P142" s="18" t="n"/>
      <c r="Q142" s="16" t="n"/>
    </row>
    <row r="143">
      <c r="E143" s="15" t="n"/>
      <c r="F143" s="15" t="n"/>
      <c r="G143" s="15" t="n"/>
      <c r="H143" s="16" t="n"/>
      <c r="I143" s="16" t="n"/>
      <c r="J143" s="17" t="n"/>
      <c r="K143" s="17" t="n"/>
      <c r="L143" s="17" t="n"/>
      <c r="M143" s="16" t="n"/>
      <c r="N143" s="16" t="n"/>
      <c r="O143" s="18" t="n"/>
      <c r="P143" s="18" t="n"/>
      <c r="Q143" s="16" t="n"/>
    </row>
    <row r="144">
      <c r="E144" s="15" t="n"/>
      <c r="F144" s="15" t="n"/>
      <c r="G144" s="15" t="n"/>
      <c r="H144" s="16" t="n"/>
      <c r="I144" s="16" t="n"/>
      <c r="J144" s="17" t="n"/>
      <c r="K144" s="17" t="n"/>
      <c r="L144" s="17" t="n"/>
      <c r="M144" s="16" t="n"/>
      <c r="N144" s="16" t="n"/>
      <c r="O144" s="18" t="n"/>
      <c r="P144" s="18" t="n"/>
      <c r="Q144" s="16" t="n"/>
    </row>
    <row r="145">
      <c r="E145" s="15" t="n"/>
      <c r="F145" s="15" t="n"/>
      <c r="G145" s="15" t="n"/>
      <c r="H145" s="16" t="n"/>
      <c r="I145" s="16" t="n"/>
      <c r="J145" s="17" t="n"/>
      <c r="K145" s="17" t="n"/>
      <c r="L145" s="17" t="n"/>
      <c r="M145" s="16" t="n"/>
      <c r="N145" s="16" t="n"/>
      <c r="O145" s="18" t="n"/>
      <c r="P145" s="18" t="n"/>
      <c r="Q145" s="16" t="n"/>
    </row>
    <row r="146">
      <c r="E146" s="15" t="n"/>
      <c r="F146" s="15" t="n"/>
      <c r="G146" s="15" t="n"/>
      <c r="H146" s="16" t="n"/>
      <c r="I146" s="16" t="n"/>
      <c r="J146" s="17" t="n"/>
      <c r="K146" s="17" t="n"/>
      <c r="L146" s="17" t="n"/>
      <c r="M146" s="16" t="n"/>
      <c r="N146" s="16" t="n"/>
      <c r="O146" s="18" t="n"/>
      <c r="P146" s="18" t="n"/>
      <c r="Q146" s="16" t="n"/>
    </row>
    <row r="147">
      <c r="E147" s="15" t="n"/>
      <c r="F147" s="15" t="n"/>
      <c r="G147" s="15" t="n"/>
      <c r="H147" s="16" t="n"/>
      <c r="I147" s="16" t="n"/>
      <c r="J147" s="17" t="n"/>
      <c r="K147" s="17" t="n"/>
      <c r="L147" s="17" t="n"/>
      <c r="M147" s="16" t="n"/>
      <c r="N147" s="16" t="n"/>
      <c r="O147" s="18" t="n"/>
      <c r="P147" s="18" t="n"/>
      <c r="Q147" s="16" t="n"/>
    </row>
    <row r="148">
      <c r="E148" s="15" t="n"/>
      <c r="F148" s="15" t="n"/>
      <c r="G148" s="15" t="n"/>
      <c r="H148" s="16" t="n"/>
      <c r="I148" s="16" t="n"/>
      <c r="J148" s="17" t="n"/>
      <c r="K148" s="17" t="n"/>
      <c r="L148" s="17" t="n"/>
      <c r="M148" s="16" t="n"/>
      <c r="N148" s="16" t="n"/>
      <c r="O148" s="18" t="n"/>
      <c r="P148" s="18" t="n"/>
      <c r="Q148" s="16" t="n"/>
    </row>
    <row r="149">
      <c r="E149" s="15" t="n"/>
      <c r="F149" s="15" t="n"/>
      <c r="G149" s="15" t="n"/>
      <c r="H149" s="16" t="n"/>
      <c r="I149" s="16" t="n"/>
      <c r="J149" s="17" t="n"/>
      <c r="K149" s="17" t="n"/>
      <c r="L149" s="17" t="n"/>
      <c r="M149" s="16" t="n"/>
      <c r="N149" s="16" t="n"/>
      <c r="O149" s="18" t="n"/>
      <c r="P149" s="18" t="n"/>
      <c r="Q149" s="16" t="n"/>
    </row>
    <row r="150">
      <c r="E150" s="15" t="n"/>
      <c r="F150" s="15" t="n"/>
      <c r="G150" s="15" t="n"/>
      <c r="H150" s="16" t="n"/>
      <c r="I150" s="16" t="n"/>
      <c r="J150" s="17" t="n"/>
      <c r="K150" s="17" t="n"/>
      <c r="L150" s="17" t="n"/>
      <c r="M150" s="16" t="n"/>
      <c r="N150" s="16" t="n"/>
      <c r="O150" s="18" t="n"/>
      <c r="P150" s="18" t="n"/>
      <c r="Q150" s="16" t="n"/>
    </row>
    <row r="151">
      <c r="E151" s="15" t="n"/>
      <c r="F151" s="15" t="n"/>
      <c r="G151" s="15" t="n"/>
      <c r="H151" s="16" t="n"/>
      <c r="I151" s="16" t="n"/>
      <c r="J151" s="17" t="n"/>
      <c r="K151" s="17" t="n"/>
      <c r="L151" s="17" t="n"/>
      <c r="M151" s="16" t="n"/>
      <c r="N151" s="16" t="n"/>
      <c r="O151" s="18" t="n"/>
      <c r="P151" s="18" t="n"/>
      <c r="Q151" s="16" t="n"/>
    </row>
    <row r="152">
      <c r="E152" s="15" t="n"/>
      <c r="F152" s="15" t="n"/>
      <c r="G152" s="15" t="n"/>
      <c r="H152" s="16" t="n"/>
      <c r="I152" s="16" t="n"/>
      <c r="J152" s="17" t="n"/>
      <c r="K152" s="17" t="n"/>
      <c r="L152" s="17" t="n"/>
      <c r="M152" s="16" t="n"/>
      <c r="N152" s="16" t="n"/>
      <c r="O152" s="18" t="n"/>
      <c r="P152" s="18" t="n"/>
      <c r="Q152" s="16" t="n"/>
    </row>
    <row r="153">
      <c r="E153" s="15" t="n"/>
      <c r="F153" s="15" t="n"/>
      <c r="G153" s="15" t="n"/>
      <c r="H153" s="16" t="n"/>
      <c r="I153" s="16" t="n"/>
      <c r="J153" s="17" t="n"/>
      <c r="K153" s="17" t="n"/>
      <c r="L153" s="17" t="n"/>
      <c r="M153" s="16" t="n"/>
      <c r="N153" s="16" t="n"/>
      <c r="O153" s="18" t="n"/>
      <c r="P153" s="18" t="n"/>
      <c r="Q153" s="16" t="n"/>
    </row>
    <row r="154">
      <c r="E154" s="15" t="n"/>
      <c r="F154" s="15" t="n"/>
      <c r="G154" s="15" t="n"/>
      <c r="H154" s="16" t="n"/>
      <c r="I154" s="16" t="n"/>
      <c r="J154" s="17" t="n"/>
      <c r="K154" s="17" t="n"/>
      <c r="L154" s="17" t="n"/>
      <c r="M154" s="16" t="n"/>
      <c r="N154" s="16" t="n"/>
      <c r="O154" s="18" t="n"/>
      <c r="P154" s="18" t="n"/>
      <c r="Q154" s="16" t="n"/>
    </row>
    <row r="155">
      <c r="E155" s="15" t="n"/>
      <c r="F155" s="15" t="n"/>
      <c r="G155" s="15" t="n"/>
      <c r="H155" s="16" t="n"/>
      <c r="I155" s="16" t="n"/>
      <c r="J155" s="17" t="n"/>
      <c r="K155" s="17" t="n"/>
      <c r="L155" s="17" t="n"/>
      <c r="M155" s="16" t="n"/>
      <c r="N155" s="16" t="n"/>
      <c r="O155" s="18" t="n"/>
      <c r="P155" s="18" t="n"/>
      <c r="Q155" s="16" t="n"/>
    </row>
    <row r="156">
      <c r="E156" s="15" t="n"/>
      <c r="F156" s="15" t="n"/>
      <c r="G156" s="15" t="n"/>
      <c r="H156" s="16" t="n"/>
      <c r="I156" s="16" t="n"/>
      <c r="J156" s="17" t="n"/>
      <c r="K156" s="17" t="n"/>
      <c r="L156" s="17" t="n"/>
      <c r="M156" s="16" t="n"/>
      <c r="N156" s="16" t="n"/>
      <c r="O156" s="18" t="n"/>
      <c r="P156" s="18" t="n"/>
      <c r="Q156" s="16" t="n"/>
    </row>
    <row r="157">
      <c r="E157" s="15" t="n"/>
      <c r="F157" s="15" t="n"/>
      <c r="G157" s="15" t="n"/>
      <c r="H157" s="16" t="n"/>
      <c r="I157" s="16" t="n"/>
      <c r="J157" s="17" t="n"/>
      <c r="K157" s="17" t="n"/>
      <c r="L157" s="17" t="n"/>
      <c r="M157" s="16" t="n"/>
      <c r="N157" s="16" t="n"/>
      <c r="O157" s="18" t="n"/>
      <c r="P157" s="18" t="n"/>
      <c r="Q157" s="16" t="n"/>
    </row>
    <row r="158">
      <c r="E158" s="15" t="n"/>
      <c r="F158" s="15" t="n"/>
      <c r="G158" s="15" t="n"/>
      <c r="H158" s="16" t="n"/>
      <c r="I158" s="16" t="n"/>
      <c r="J158" s="17" t="n"/>
      <c r="K158" s="17" t="n"/>
      <c r="L158" s="17" t="n"/>
      <c r="M158" s="16" t="n"/>
      <c r="N158" s="16" t="n"/>
      <c r="O158" s="18" t="n"/>
      <c r="P158" s="18" t="n"/>
      <c r="Q158" s="16" t="n"/>
    </row>
    <row r="159">
      <c r="E159" s="15" t="n"/>
      <c r="F159" s="15" t="n"/>
      <c r="G159" s="15" t="n"/>
      <c r="H159" s="16" t="n"/>
      <c r="I159" s="16" t="n"/>
      <c r="J159" s="17" t="n"/>
      <c r="K159" s="17" t="n"/>
      <c r="L159" s="17" t="n"/>
      <c r="M159" s="16" t="n"/>
      <c r="N159" s="16" t="n"/>
      <c r="O159" s="18" t="n"/>
      <c r="P159" s="18" t="n"/>
      <c r="Q159" s="16" t="n"/>
    </row>
    <row r="160">
      <c r="E160" s="15" t="n"/>
      <c r="F160" s="15" t="n"/>
      <c r="G160" s="15" t="n"/>
      <c r="H160" s="16" t="n"/>
      <c r="I160" s="16" t="n"/>
      <c r="J160" s="17" t="n"/>
      <c r="K160" s="17" t="n"/>
      <c r="L160" s="17" t="n"/>
      <c r="M160" s="16" t="n"/>
      <c r="N160" s="16" t="n"/>
      <c r="O160" s="18" t="n"/>
      <c r="P160" s="18" t="n"/>
      <c r="Q160" s="16" t="n"/>
    </row>
    <row r="161">
      <c r="E161" s="15" t="n"/>
      <c r="F161" s="15" t="n"/>
      <c r="G161" s="15" t="n"/>
      <c r="H161" s="16" t="n"/>
      <c r="I161" s="16" t="n"/>
      <c r="J161" s="17" t="n"/>
      <c r="K161" s="17" t="n"/>
      <c r="L161" s="17" t="n"/>
      <c r="M161" s="16" t="n"/>
      <c r="N161" s="16" t="n"/>
      <c r="O161" s="18" t="n"/>
      <c r="P161" s="18" t="n"/>
      <c r="Q161" s="16" t="n"/>
    </row>
    <row r="162">
      <c r="E162" s="15" t="n"/>
      <c r="F162" s="15" t="n"/>
      <c r="G162" s="15" t="n"/>
      <c r="H162" s="16" t="n"/>
      <c r="I162" s="16" t="n"/>
      <c r="J162" s="17" t="n"/>
      <c r="K162" s="17" t="n"/>
      <c r="L162" s="17" t="n"/>
      <c r="M162" s="16" t="n"/>
      <c r="N162" s="16" t="n"/>
      <c r="O162" s="18" t="n"/>
      <c r="P162" s="18" t="n"/>
      <c r="Q162" s="16" t="n"/>
    </row>
    <row r="163">
      <c r="E163" s="15" t="n"/>
      <c r="F163" s="15" t="n"/>
      <c r="G163" s="15" t="n"/>
      <c r="H163" s="16" t="n"/>
      <c r="I163" s="16" t="n"/>
      <c r="J163" s="17" t="n"/>
      <c r="K163" s="17" t="n"/>
      <c r="L163" s="17" t="n"/>
      <c r="M163" s="16" t="n"/>
      <c r="N163" s="16" t="n"/>
      <c r="O163" s="18" t="n"/>
      <c r="P163" s="18" t="n"/>
      <c r="Q163" s="16" t="n"/>
    </row>
    <row r="164">
      <c r="E164" s="15" t="n"/>
      <c r="F164" s="15" t="n"/>
      <c r="G164" s="15" t="n"/>
      <c r="H164" s="16" t="n"/>
      <c r="I164" s="16" t="n"/>
      <c r="J164" s="17" t="n"/>
      <c r="K164" s="17" t="n"/>
      <c r="L164" s="17" t="n"/>
      <c r="M164" s="16" t="n"/>
      <c r="N164" s="16" t="n"/>
      <c r="O164" s="18" t="n"/>
      <c r="P164" s="18" t="n"/>
      <c r="Q164" s="16" t="n"/>
    </row>
    <row r="165">
      <c r="E165" s="15" t="n"/>
      <c r="F165" s="15" t="n"/>
      <c r="G165" s="15" t="n"/>
      <c r="H165" s="16" t="n"/>
      <c r="I165" s="16" t="n"/>
      <c r="J165" s="17" t="n"/>
      <c r="K165" s="17" t="n"/>
      <c r="L165" s="17" t="n"/>
      <c r="M165" s="16" t="n"/>
      <c r="N165" s="16" t="n"/>
      <c r="O165" s="18" t="n"/>
      <c r="P165" s="18" t="n"/>
      <c r="Q165" s="16" t="n"/>
    </row>
    <row r="166">
      <c r="E166" s="15" t="n"/>
      <c r="F166" s="15" t="n"/>
      <c r="G166" s="15" t="n"/>
      <c r="H166" s="16" t="n"/>
      <c r="I166" s="16" t="n"/>
      <c r="J166" s="17" t="n"/>
      <c r="K166" s="17" t="n"/>
      <c r="L166" s="17" t="n"/>
      <c r="M166" s="16" t="n"/>
      <c r="N166" s="16" t="n"/>
      <c r="O166" s="18" t="n"/>
      <c r="P166" s="18" t="n"/>
      <c r="Q166" s="16" t="n"/>
    </row>
    <row r="167">
      <c r="E167" s="15" t="n"/>
      <c r="F167" s="15" t="n"/>
      <c r="G167" s="15" t="n"/>
      <c r="H167" s="16" t="n"/>
      <c r="I167" s="16" t="n"/>
      <c r="J167" s="17" t="n"/>
      <c r="K167" s="17" t="n"/>
      <c r="L167" s="17" t="n"/>
      <c r="M167" s="16" t="n"/>
      <c r="N167" s="16" t="n"/>
      <c r="O167" s="18" t="n"/>
      <c r="P167" s="18" t="n"/>
      <c r="Q167" s="16" t="n"/>
    </row>
    <row r="168">
      <c r="E168" s="15" t="n"/>
      <c r="F168" s="15" t="n"/>
      <c r="G168" s="15" t="n"/>
      <c r="H168" s="16" t="n"/>
      <c r="I168" s="16" t="n"/>
      <c r="J168" s="17" t="n"/>
      <c r="K168" s="17" t="n"/>
      <c r="L168" s="17" t="n"/>
      <c r="M168" s="16" t="n"/>
      <c r="N168" s="16" t="n"/>
      <c r="O168" s="18" t="n"/>
      <c r="P168" s="18" t="n"/>
      <c r="Q168" s="16" t="n"/>
    </row>
    <row r="169">
      <c r="E169" s="15" t="n"/>
      <c r="F169" s="15" t="n"/>
      <c r="G169" s="15" t="n"/>
      <c r="H169" s="16" t="n"/>
      <c r="I169" s="16" t="n"/>
      <c r="J169" s="17" t="n"/>
      <c r="K169" s="17" t="n"/>
      <c r="L169" s="17" t="n"/>
      <c r="M169" s="16" t="n"/>
      <c r="N169" s="16" t="n"/>
      <c r="O169" s="18" t="n"/>
      <c r="P169" s="18" t="n"/>
      <c r="Q169" s="16" t="n"/>
    </row>
    <row r="170">
      <c r="E170" s="15" t="n"/>
      <c r="F170" s="15" t="n"/>
      <c r="G170" s="15" t="n"/>
      <c r="H170" s="16" t="n"/>
      <c r="I170" s="16" t="n"/>
      <c r="J170" s="17" t="n"/>
      <c r="K170" s="17" t="n"/>
      <c r="L170" s="17" t="n"/>
      <c r="M170" s="16" t="n"/>
      <c r="N170" s="16" t="n"/>
      <c r="O170" s="18" t="n"/>
      <c r="P170" s="18" t="n"/>
      <c r="Q170" s="16" t="n"/>
    </row>
    <row r="171">
      <c r="E171" s="15" t="n"/>
      <c r="F171" s="15" t="n"/>
      <c r="G171" s="15" t="n"/>
      <c r="H171" s="16" t="n"/>
      <c r="I171" s="16" t="n"/>
      <c r="J171" s="17" t="n"/>
      <c r="K171" s="17" t="n"/>
      <c r="L171" s="17" t="n"/>
      <c r="M171" s="16" t="n"/>
      <c r="N171" s="16" t="n"/>
      <c r="O171" s="18" t="n"/>
      <c r="P171" s="18" t="n"/>
      <c r="Q171" s="16" t="n"/>
    </row>
    <row r="172">
      <c r="E172" s="15" t="n"/>
      <c r="F172" s="15" t="n"/>
      <c r="G172" s="15" t="n"/>
      <c r="H172" s="16" t="n"/>
      <c r="I172" s="16" t="n"/>
      <c r="J172" s="17" t="n"/>
      <c r="K172" s="17" t="n"/>
      <c r="L172" s="17" t="n"/>
      <c r="M172" s="16" t="n"/>
      <c r="N172" s="16" t="n"/>
      <c r="O172" s="18" t="n"/>
      <c r="P172" s="18" t="n"/>
      <c r="Q172" s="16" t="n"/>
    </row>
    <row r="173">
      <c r="E173" s="15" t="n"/>
      <c r="F173" s="15" t="n"/>
      <c r="G173" s="15" t="n"/>
      <c r="H173" s="16" t="n"/>
      <c r="I173" s="16" t="n"/>
      <c r="J173" s="17" t="n"/>
      <c r="K173" s="17" t="n"/>
      <c r="L173" s="17" t="n"/>
      <c r="M173" s="16" t="n"/>
      <c r="N173" s="16" t="n"/>
      <c r="O173" s="18" t="n"/>
      <c r="P173" s="18" t="n"/>
      <c r="Q173" s="16" t="n"/>
    </row>
    <row r="174">
      <c r="E174" s="15" t="n"/>
      <c r="F174" s="15" t="n"/>
      <c r="G174" s="15" t="n"/>
      <c r="H174" s="16" t="n"/>
      <c r="I174" s="16" t="n"/>
      <c r="J174" s="17" t="n"/>
      <c r="K174" s="17" t="n"/>
      <c r="L174" s="17" t="n"/>
      <c r="M174" s="16" t="n"/>
      <c r="N174" s="16" t="n"/>
      <c r="O174" s="18" t="n"/>
      <c r="P174" s="18" t="n"/>
      <c r="Q174" s="16" t="n"/>
    </row>
    <row r="175">
      <c r="E175" s="15" t="n"/>
      <c r="F175" s="15" t="n"/>
      <c r="G175" s="15" t="n"/>
      <c r="H175" s="16" t="n"/>
      <c r="I175" s="16" t="n"/>
      <c r="J175" s="17" t="n"/>
      <c r="K175" s="17" t="n"/>
      <c r="L175" s="17" t="n"/>
      <c r="M175" s="16" t="n"/>
      <c r="N175" s="16" t="n"/>
      <c r="O175" s="18" t="n"/>
      <c r="P175" s="18" t="n"/>
      <c r="Q175" s="16" t="n"/>
    </row>
    <row r="176">
      <c r="E176" s="15" t="n"/>
      <c r="F176" s="15" t="n"/>
      <c r="G176" s="15" t="n"/>
      <c r="H176" s="16" t="n"/>
      <c r="I176" s="16" t="n"/>
      <c r="J176" s="17" t="n"/>
      <c r="K176" s="17" t="n"/>
      <c r="L176" s="17" t="n"/>
      <c r="M176" s="16" t="n"/>
      <c r="N176" s="16" t="n"/>
      <c r="O176" s="18" t="n"/>
      <c r="P176" s="18" t="n"/>
      <c r="Q176" s="16" t="n"/>
    </row>
    <row r="177">
      <c r="E177" s="15" t="n"/>
      <c r="F177" s="15" t="n"/>
      <c r="G177" s="15" t="n"/>
      <c r="H177" s="16" t="n"/>
      <c r="I177" s="16" t="n"/>
      <c r="J177" s="17" t="n"/>
      <c r="K177" s="17" t="n"/>
      <c r="L177" s="17" t="n"/>
      <c r="M177" s="16" t="n"/>
      <c r="N177" s="16" t="n"/>
      <c r="O177" s="18" t="n"/>
      <c r="P177" s="18" t="n"/>
      <c r="Q177" s="16" t="n"/>
    </row>
    <row r="178">
      <c r="E178" s="15" t="n"/>
      <c r="F178" s="15" t="n"/>
      <c r="G178" s="15" t="n"/>
      <c r="H178" s="16" t="n"/>
      <c r="I178" s="16" t="n"/>
      <c r="J178" s="17" t="n"/>
      <c r="K178" s="17" t="n"/>
      <c r="L178" s="17" t="n"/>
      <c r="M178" s="16" t="n"/>
      <c r="N178" s="16" t="n"/>
      <c r="O178" s="18" t="n"/>
      <c r="P178" s="18" t="n"/>
      <c r="Q178" s="16" t="n"/>
    </row>
    <row r="179">
      <c r="E179" s="15" t="n"/>
      <c r="F179" s="15" t="n"/>
      <c r="G179" s="15" t="n"/>
      <c r="H179" s="16" t="n"/>
      <c r="I179" s="16" t="n"/>
      <c r="J179" s="17" t="n"/>
      <c r="K179" s="17" t="n"/>
      <c r="L179" s="17" t="n"/>
      <c r="M179" s="16" t="n"/>
      <c r="N179" s="16" t="n"/>
      <c r="O179" s="18" t="n"/>
      <c r="P179" s="18" t="n"/>
      <c r="Q179" s="16" t="n"/>
    </row>
    <row r="180">
      <c r="E180" s="15" t="n"/>
      <c r="F180" s="15" t="n"/>
      <c r="G180" s="15" t="n"/>
      <c r="H180" s="16" t="n"/>
      <c r="I180" s="16" t="n"/>
      <c r="J180" s="17" t="n"/>
      <c r="K180" s="17" t="n"/>
      <c r="L180" s="17" t="n"/>
      <c r="M180" s="16" t="n"/>
      <c r="N180" s="16" t="n"/>
      <c r="O180" s="18" t="n"/>
      <c r="P180" s="18" t="n"/>
      <c r="Q180" s="16" t="n"/>
    </row>
    <row r="181">
      <c r="E181" s="15" t="n"/>
      <c r="F181" s="15" t="n"/>
      <c r="G181" s="15" t="n"/>
      <c r="H181" s="16" t="n"/>
      <c r="I181" s="16" t="n"/>
      <c r="J181" s="17" t="n"/>
      <c r="K181" s="17" t="n"/>
      <c r="L181" s="17" t="n"/>
      <c r="M181" s="16" t="n"/>
      <c r="N181" s="16" t="n"/>
      <c r="O181" s="18" t="n"/>
      <c r="P181" s="18" t="n"/>
      <c r="Q181" s="16" t="n"/>
    </row>
    <row r="182">
      <c r="E182" s="15" t="n"/>
      <c r="F182" s="15" t="n"/>
      <c r="G182" s="15" t="n"/>
      <c r="H182" s="16" t="n"/>
      <c r="I182" s="16" t="n"/>
      <c r="J182" s="17" t="n"/>
      <c r="K182" s="17" t="n"/>
      <c r="L182" s="17" t="n"/>
      <c r="M182" s="16" t="n"/>
      <c r="N182" s="16" t="n"/>
      <c r="O182" s="18" t="n"/>
      <c r="P182" s="18" t="n"/>
      <c r="Q182" s="16" t="n"/>
    </row>
    <row r="183">
      <c r="E183" s="15" t="n"/>
      <c r="F183" s="15" t="n"/>
      <c r="G183" s="15" t="n"/>
      <c r="H183" s="16" t="n"/>
      <c r="I183" s="16" t="n"/>
      <c r="J183" s="17" t="n"/>
      <c r="K183" s="17" t="n"/>
      <c r="L183" s="17" t="n"/>
      <c r="M183" s="16" t="n"/>
      <c r="N183" s="16" t="n"/>
      <c r="O183" s="18" t="n"/>
      <c r="P183" s="18" t="n"/>
      <c r="Q183" s="16" t="n"/>
    </row>
    <row r="184">
      <c r="E184" s="15" t="n"/>
      <c r="F184" s="15" t="n"/>
      <c r="G184" s="15" t="n"/>
      <c r="H184" s="16" t="n"/>
      <c r="I184" s="16" t="n"/>
      <c r="J184" s="17" t="n"/>
      <c r="K184" s="17" t="n"/>
      <c r="L184" s="17" t="n"/>
      <c r="M184" s="16" t="n"/>
      <c r="N184" s="16" t="n"/>
      <c r="O184" s="18" t="n"/>
      <c r="P184" s="18" t="n"/>
      <c r="Q184" s="16" t="n"/>
    </row>
    <row r="185">
      <c r="E185" s="15" t="n"/>
      <c r="F185" s="15" t="n"/>
      <c r="G185" s="15" t="n"/>
      <c r="H185" s="16" t="n"/>
      <c r="I185" s="16" t="n"/>
      <c r="J185" s="17" t="n"/>
      <c r="K185" s="17" t="n"/>
      <c r="L185" s="17" t="n"/>
      <c r="M185" s="16" t="n"/>
      <c r="N185" s="16" t="n"/>
      <c r="O185" s="18" t="n"/>
      <c r="P185" s="18" t="n"/>
      <c r="Q185" s="16" t="n"/>
    </row>
    <row r="186">
      <c r="E186" s="15" t="n"/>
      <c r="F186" s="15" t="n"/>
      <c r="G186" s="15" t="n"/>
      <c r="H186" s="16" t="n"/>
      <c r="I186" s="16" t="n"/>
      <c r="J186" s="17" t="n"/>
      <c r="K186" s="17" t="n"/>
      <c r="L186" s="17" t="n"/>
      <c r="M186" s="16" t="n"/>
      <c r="N186" s="16" t="n"/>
      <c r="O186" s="18" t="n"/>
      <c r="P186" s="18" t="n"/>
      <c r="Q186" s="16" t="n"/>
    </row>
    <row r="187">
      <c r="E187" s="15" t="n"/>
      <c r="F187" s="15" t="n"/>
      <c r="G187" s="15" t="n"/>
      <c r="H187" s="16" t="n"/>
      <c r="I187" s="16" t="n"/>
      <c r="J187" s="17" t="n"/>
      <c r="K187" s="17" t="n"/>
      <c r="L187" s="17" t="n"/>
      <c r="M187" s="16" t="n"/>
      <c r="N187" s="16" t="n"/>
      <c r="O187" s="18" t="n"/>
      <c r="P187" s="18" t="n"/>
      <c r="Q187" s="16" t="n"/>
    </row>
    <row r="188">
      <c r="E188" s="15" t="n"/>
      <c r="F188" s="15" t="n"/>
      <c r="G188" s="15" t="n"/>
      <c r="H188" s="16" t="n"/>
      <c r="I188" s="16" t="n"/>
      <c r="J188" s="17" t="n"/>
      <c r="K188" s="17" t="n"/>
      <c r="L188" s="17" t="n"/>
      <c r="M188" s="16" t="n"/>
      <c r="N188" s="16" t="n"/>
      <c r="O188" s="18" t="n"/>
      <c r="P188" s="18" t="n"/>
      <c r="Q188" s="16" t="n"/>
    </row>
    <row r="189">
      <c r="E189" s="15" t="n"/>
      <c r="F189" s="15" t="n"/>
      <c r="G189" s="15" t="n"/>
      <c r="H189" s="16" t="n"/>
      <c r="I189" s="16" t="n"/>
      <c r="J189" s="17" t="n"/>
      <c r="K189" s="17" t="n"/>
      <c r="L189" s="17" t="n"/>
      <c r="M189" s="16" t="n"/>
      <c r="N189" s="16" t="n"/>
      <c r="O189" s="18" t="n"/>
      <c r="P189" s="18" t="n"/>
      <c r="Q189" s="16" t="n"/>
    </row>
    <row r="190">
      <c r="E190" s="15" t="n"/>
      <c r="F190" s="15" t="n"/>
      <c r="G190" s="15" t="n"/>
      <c r="H190" s="16" t="n"/>
      <c r="I190" s="16" t="n"/>
      <c r="J190" s="17" t="n"/>
      <c r="K190" s="17" t="n"/>
      <c r="L190" s="17" t="n"/>
      <c r="M190" s="16" t="n"/>
      <c r="N190" s="16" t="n"/>
      <c r="O190" s="18" t="n"/>
      <c r="P190" s="18" t="n"/>
      <c r="Q190" s="16" t="n"/>
    </row>
    <row r="191">
      <c r="E191" s="15" t="n"/>
      <c r="F191" s="15" t="n"/>
      <c r="G191" s="15" t="n"/>
      <c r="H191" s="16" t="n"/>
      <c r="I191" s="16" t="n"/>
      <c r="J191" s="17" t="n"/>
      <c r="K191" s="17" t="n"/>
      <c r="L191" s="17" t="n"/>
      <c r="M191" s="16" t="n"/>
      <c r="N191" s="16" t="n"/>
      <c r="O191" s="18" t="n"/>
      <c r="P191" s="18" t="n"/>
      <c r="Q191" s="16" t="n"/>
    </row>
    <row r="192">
      <c r="E192" s="15" t="n"/>
      <c r="F192" s="15" t="n"/>
      <c r="G192" s="15" t="n"/>
      <c r="H192" s="16" t="n"/>
      <c r="I192" s="16" t="n"/>
      <c r="J192" s="17" t="n"/>
      <c r="K192" s="17" t="n"/>
      <c r="L192" s="17" t="n"/>
      <c r="M192" s="16" t="n"/>
      <c r="N192" s="16" t="n"/>
      <c r="O192" s="18" t="n"/>
      <c r="P192" s="18" t="n"/>
      <c r="Q192" s="16" t="n"/>
    </row>
    <row r="193">
      <c r="E193" s="15" t="n"/>
      <c r="F193" s="15" t="n"/>
      <c r="G193" s="15" t="n"/>
      <c r="H193" s="16" t="n"/>
      <c r="I193" s="16" t="n"/>
      <c r="J193" s="17" t="n"/>
      <c r="K193" s="17" t="n"/>
      <c r="L193" s="17" t="n"/>
      <c r="M193" s="16" t="n"/>
      <c r="N193" s="16" t="n"/>
      <c r="O193" s="18" t="n"/>
      <c r="P193" s="18" t="n"/>
      <c r="Q193" s="16" t="n"/>
    </row>
    <row r="194">
      <c r="E194" s="15" t="n"/>
      <c r="F194" s="15" t="n"/>
      <c r="G194" s="15" t="n"/>
      <c r="H194" s="16" t="n"/>
      <c r="I194" s="16" t="n"/>
      <c r="J194" s="17" t="n"/>
      <c r="K194" s="17" t="n"/>
      <c r="L194" s="17" t="n"/>
      <c r="M194" s="16" t="n"/>
      <c r="N194" s="16" t="n"/>
      <c r="O194" s="18" t="n"/>
      <c r="P194" s="18" t="n"/>
      <c r="Q194" s="16" t="n"/>
    </row>
    <row r="195">
      <c r="E195" s="15" t="n"/>
      <c r="F195" s="15" t="n"/>
      <c r="G195" s="15" t="n"/>
      <c r="H195" s="16" t="n"/>
      <c r="I195" s="16" t="n"/>
      <c r="J195" s="17" t="n"/>
      <c r="K195" s="17" t="n"/>
      <c r="L195" s="17" t="n"/>
      <c r="M195" s="16" t="n"/>
      <c r="N195" s="16" t="n"/>
      <c r="O195" s="18" t="n"/>
      <c r="P195" s="18" t="n"/>
      <c r="Q195" s="16" t="n"/>
    </row>
    <row r="196">
      <c r="E196" s="15" t="n"/>
      <c r="F196" s="15" t="n"/>
      <c r="G196" s="15" t="n"/>
      <c r="H196" s="16" t="n"/>
      <c r="I196" s="16" t="n"/>
      <c r="J196" s="17" t="n"/>
      <c r="K196" s="17" t="n"/>
      <c r="L196" s="17" t="n"/>
      <c r="M196" s="16" t="n"/>
      <c r="N196" s="16" t="n"/>
      <c r="O196" s="18" t="n"/>
      <c r="P196" s="18" t="n"/>
      <c r="Q196" s="16" t="n"/>
    </row>
    <row r="197">
      <c r="E197" s="15" t="n"/>
      <c r="F197" s="15" t="n"/>
      <c r="G197" s="15" t="n"/>
      <c r="H197" s="16" t="n"/>
      <c r="I197" s="16" t="n"/>
      <c r="J197" s="17" t="n"/>
      <c r="K197" s="17" t="n"/>
      <c r="L197" s="17" t="n"/>
      <c r="M197" s="16" t="n"/>
      <c r="N197" s="16" t="n"/>
      <c r="O197" s="18" t="n"/>
      <c r="P197" s="18" t="n"/>
      <c r="Q197" s="16" t="n"/>
    </row>
    <row r="198">
      <c r="E198" s="15" t="n"/>
      <c r="F198" s="15" t="n"/>
      <c r="G198" s="15" t="n"/>
      <c r="H198" s="16" t="n"/>
      <c r="I198" s="16" t="n"/>
      <c r="J198" s="17" t="n"/>
      <c r="K198" s="17" t="n"/>
      <c r="L198" s="17" t="n"/>
      <c r="M198" s="16" t="n"/>
      <c r="N198" s="16" t="n"/>
      <c r="O198" s="18" t="n"/>
      <c r="P198" s="18" t="n"/>
      <c r="Q198" s="16" t="n"/>
    </row>
    <row r="199">
      <c r="E199" s="15" t="n"/>
      <c r="F199" s="15" t="n"/>
      <c r="G199" s="15" t="n"/>
      <c r="H199" s="16" t="n"/>
      <c r="I199" s="16" t="n"/>
      <c r="J199" s="17" t="n"/>
      <c r="K199" s="17" t="n"/>
      <c r="L199" s="17" t="n"/>
      <c r="M199" s="16" t="n"/>
      <c r="N199" s="16" t="n"/>
      <c r="O199" s="18" t="n"/>
      <c r="P199" s="18" t="n"/>
      <c r="Q199" s="16" t="n"/>
    </row>
    <row r="200">
      <c r="E200" s="15" t="n"/>
      <c r="F200" s="15" t="n"/>
      <c r="G200" s="15" t="n"/>
      <c r="H200" s="16" t="n"/>
      <c r="I200" s="16" t="n"/>
      <c r="J200" s="17" t="n"/>
      <c r="K200" s="17" t="n"/>
      <c r="L200" s="17" t="n"/>
      <c r="M200" s="16" t="n"/>
      <c r="N200" s="16" t="n"/>
      <c r="O200" s="18" t="n"/>
      <c r="P200" s="18" t="n"/>
      <c r="Q200" s="16" t="n"/>
    </row>
    <row r="201">
      <c r="E201" s="15" t="n"/>
      <c r="F201" s="15" t="n"/>
      <c r="G201" s="15" t="n"/>
      <c r="H201" s="16" t="n"/>
      <c r="I201" s="16" t="n"/>
      <c r="J201" s="17" t="n"/>
      <c r="K201" s="17" t="n"/>
      <c r="L201" s="17" t="n"/>
      <c r="M201" s="16" t="n"/>
      <c r="N201" s="16" t="n"/>
      <c r="O201" s="18" t="n"/>
      <c r="P201" s="18" t="n"/>
      <c r="Q201" s="16" t="n"/>
    </row>
    <row r="202">
      <c r="E202" s="15" t="n"/>
      <c r="F202" s="15" t="n"/>
      <c r="G202" s="15" t="n"/>
      <c r="H202" s="16" t="n"/>
      <c r="I202" s="16" t="n"/>
      <c r="J202" s="17" t="n"/>
      <c r="K202" s="17" t="n"/>
      <c r="L202" s="17" t="n"/>
      <c r="M202" s="16" t="n"/>
      <c r="N202" s="16" t="n"/>
      <c r="O202" s="18" t="n"/>
      <c r="P202" s="18" t="n"/>
      <c r="Q202" s="16" t="n"/>
    </row>
    <row r="203">
      <c r="E203" s="15" t="n"/>
      <c r="F203" s="15" t="n"/>
      <c r="G203" s="15" t="n"/>
      <c r="H203" s="16" t="n"/>
      <c r="I203" s="16" t="n"/>
      <c r="J203" s="17" t="n"/>
      <c r="K203" s="17" t="n"/>
      <c r="L203" s="17" t="n"/>
      <c r="M203" s="16" t="n"/>
      <c r="N203" s="16" t="n"/>
      <c r="O203" s="18" t="n"/>
      <c r="P203" s="18" t="n"/>
      <c r="Q203" s="16" t="n"/>
    </row>
    <row r="204">
      <c r="E204" s="15" t="n"/>
      <c r="F204" s="15" t="n"/>
      <c r="G204" s="15" t="n"/>
      <c r="H204" s="16" t="n"/>
      <c r="I204" s="16" t="n"/>
      <c r="J204" s="17" t="n"/>
      <c r="K204" s="17" t="n"/>
      <c r="L204" s="17" t="n"/>
      <c r="M204" s="16" t="n"/>
      <c r="N204" s="16" t="n"/>
      <c r="O204" s="18" t="n"/>
      <c r="P204" s="18" t="n"/>
      <c r="Q204" s="16" t="n"/>
    </row>
    <row r="205">
      <c r="E205" s="15" t="n"/>
      <c r="F205" s="15" t="n"/>
      <c r="G205" s="15" t="n"/>
      <c r="H205" s="16" t="n"/>
      <c r="I205" s="16" t="n"/>
      <c r="J205" s="17" t="n"/>
      <c r="K205" s="17" t="n"/>
      <c r="L205" s="17" t="n"/>
      <c r="M205" s="16" t="n"/>
      <c r="N205" s="16" t="n"/>
      <c r="O205" s="18" t="n"/>
      <c r="P205" s="18" t="n"/>
      <c r="Q205" s="16" t="n"/>
    </row>
    <row r="206">
      <c r="E206" s="15" t="n"/>
      <c r="F206" s="15" t="n"/>
      <c r="G206" s="15" t="n"/>
      <c r="H206" s="16" t="n"/>
      <c r="I206" s="16" t="n"/>
      <c r="J206" s="17" t="n"/>
      <c r="K206" s="17" t="n"/>
      <c r="L206" s="17" t="n"/>
      <c r="M206" s="16" t="n"/>
      <c r="N206" s="16" t="n"/>
      <c r="O206" s="18" t="n"/>
      <c r="P206" s="18" t="n"/>
      <c r="Q206" s="16" t="n"/>
    </row>
    <row r="207">
      <c r="E207" s="15" t="n"/>
      <c r="F207" s="15" t="n"/>
      <c r="G207" s="15" t="n"/>
      <c r="H207" s="16" t="n"/>
      <c r="I207" s="16" t="n"/>
      <c r="J207" s="17" t="n"/>
      <c r="K207" s="17" t="n"/>
      <c r="L207" s="17" t="n"/>
      <c r="M207" s="16" t="n"/>
      <c r="N207" s="16" t="n"/>
      <c r="O207" s="18" t="n"/>
      <c r="P207" s="18" t="n"/>
      <c r="Q207" s="16" t="n"/>
    </row>
    <row r="208">
      <c r="E208" s="15" t="n"/>
      <c r="F208" s="15" t="n"/>
      <c r="G208" s="15" t="n"/>
      <c r="H208" s="16" t="n"/>
      <c r="I208" s="16" t="n"/>
      <c r="J208" s="17" t="n"/>
      <c r="K208" s="17" t="n"/>
      <c r="L208" s="17" t="n"/>
      <c r="M208" s="16" t="n"/>
      <c r="N208" s="16" t="n"/>
      <c r="O208" s="18" t="n"/>
      <c r="P208" s="18" t="n"/>
      <c r="Q208" s="16" t="n"/>
    </row>
    <row r="209">
      <c r="E209" s="15" t="n"/>
      <c r="F209" s="15" t="n"/>
      <c r="G209" s="15" t="n"/>
      <c r="H209" s="16" t="n"/>
      <c r="I209" s="16" t="n"/>
      <c r="J209" s="17" t="n"/>
      <c r="K209" s="17" t="n"/>
      <c r="L209" s="17" t="n"/>
      <c r="M209" s="16" t="n"/>
      <c r="N209" s="16" t="n"/>
      <c r="O209" s="18" t="n"/>
      <c r="P209" s="18" t="n"/>
      <c r="Q209" s="16" t="n"/>
    </row>
    <row r="210">
      <c r="E210" s="15" t="n"/>
      <c r="F210" s="15" t="n"/>
      <c r="G210" s="15" t="n"/>
      <c r="H210" s="16" t="n"/>
      <c r="I210" s="16" t="n"/>
      <c r="J210" s="17" t="n"/>
      <c r="K210" s="17" t="n"/>
      <c r="L210" s="17" t="n"/>
      <c r="M210" s="16" t="n"/>
      <c r="N210" s="16" t="n"/>
      <c r="O210" s="18" t="n"/>
      <c r="P210" s="18" t="n"/>
      <c r="Q210" s="16" t="n"/>
    </row>
    <row r="211">
      <c r="E211" s="15" t="n"/>
      <c r="F211" s="15" t="n"/>
      <c r="G211" s="15" t="n"/>
      <c r="H211" s="16" t="n"/>
      <c r="I211" s="16" t="n"/>
      <c r="J211" s="17" t="n"/>
      <c r="K211" s="17" t="n"/>
      <c r="L211" s="17" t="n"/>
      <c r="M211" s="16" t="n"/>
      <c r="N211" s="16" t="n"/>
      <c r="O211" s="18" t="n"/>
      <c r="P211" s="18" t="n"/>
      <c r="Q211" s="16" t="n"/>
    </row>
    <row r="212">
      <c r="E212" s="15" t="n"/>
      <c r="F212" s="15" t="n"/>
      <c r="G212" s="15" t="n"/>
      <c r="H212" s="16" t="n"/>
      <c r="I212" s="16" t="n"/>
      <c r="J212" s="17" t="n"/>
      <c r="K212" s="17" t="n"/>
      <c r="L212" s="17" t="n"/>
      <c r="M212" s="16" t="n"/>
      <c r="N212" s="16" t="n"/>
      <c r="O212" s="18" t="n"/>
      <c r="P212" s="18" t="n"/>
      <c r="Q212" s="16" t="n"/>
    </row>
    <row r="213">
      <c r="E213" s="15" t="n"/>
      <c r="F213" s="15" t="n"/>
      <c r="G213" s="15" t="n"/>
      <c r="H213" s="16" t="n"/>
      <c r="I213" s="16" t="n"/>
      <c r="J213" s="17" t="n"/>
      <c r="K213" s="17" t="n"/>
      <c r="L213" s="17" t="n"/>
      <c r="M213" s="16" t="n"/>
      <c r="N213" s="16" t="n"/>
      <c r="O213" s="18" t="n"/>
      <c r="P213" s="18" t="n"/>
      <c r="Q213" s="16" t="n"/>
    </row>
    <row r="214">
      <c r="E214" s="15" t="n"/>
      <c r="F214" s="15" t="n"/>
      <c r="G214" s="15" t="n"/>
      <c r="H214" s="16" t="n"/>
      <c r="I214" s="16" t="n"/>
      <c r="J214" s="17" t="n"/>
      <c r="K214" s="17" t="n"/>
      <c r="L214" s="17" t="n"/>
      <c r="M214" s="16" t="n"/>
      <c r="N214" s="16" t="n"/>
      <c r="O214" s="18" t="n"/>
      <c r="P214" s="18" t="n"/>
      <c r="Q214" s="16" t="n"/>
    </row>
    <row r="215">
      <c r="E215" s="15" t="n"/>
      <c r="F215" s="15" t="n"/>
      <c r="G215" s="15" t="n"/>
      <c r="H215" s="16" t="n"/>
      <c r="I215" s="16" t="n"/>
      <c r="J215" s="17" t="n"/>
      <c r="K215" s="17" t="n"/>
      <c r="L215" s="17" t="n"/>
      <c r="M215" s="16" t="n"/>
      <c r="N215" s="16" t="n"/>
      <c r="O215" s="18" t="n"/>
      <c r="P215" s="18" t="n"/>
      <c r="Q215" s="16" t="n"/>
    </row>
    <row r="216">
      <c r="E216" s="15" t="n"/>
      <c r="F216" s="15" t="n"/>
      <c r="G216" s="15" t="n"/>
      <c r="H216" s="16" t="n"/>
      <c r="I216" s="16" t="n"/>
      <c r="J216" s="17" t="n"/>
      <c r="K216" s="17" t="n"/>
      <c r="L216" s="17" t="n"/>
      <c r="M216" s="16" t="n"/>
      <c r="N216" s="16" t="n"/>
      <c r="O216" s="18" t="n"/>
      <c r="P216" s="18" t="n"/>
      <c r="Q216" s="16" t="n"/>
    </row>
    <row r="217">
      <c r="E217" s="15" t="n"/>
      <c r="F217" s="15" t="n"/>
      <c r="G217" s="15" t="n"/>
      <c r="H217" s="16" t="n"/>
      <c r="I217" s="16" t="n"/>
      <c r="J217" s="17" t="n"/>
      <c r="K217" s="17" t="n"/>
      <c r="L217" s="17" t="n"/>
      <c r="M217" s="16" t="n"/>
      <c r="N217" s="16" t="n"/>
      <c r="O217" s="18" t="n"/>
      <c r="P217" s="18" t="n"/>
      <c r="Q217" s="16" t="n"/>
    </row>
    <row r="218">
      <c r="E218" s="15" t="n"/>
      <c r="F218" s="15" t="n"/>
      <c r="G218" s="15" t="n"/>
      <c r="H218" s="16" t="n"/>
      <c r="I218" s="16" t="n"/>
      <c r="J218" s="17" t="n"/>
      <c r="K218" s="17" t="n"/>
      <c r="L218" s="17" t="n"/>
      <c r="M218" s="16" t="n"/>
      <c r="N218" s="16" t="n"/>
      <c r="O218" s="18" t="n"/>
      <c r="P218" s="18" t="n"/>
      <c r="Q218" s="16" t="n"/>
    </row>
    <row r="219">
      <c r="E219" s="15" t="n"/>
      <c r="F219" s="15" t="n"/>
      <c r="G219" s="15" t="n"/>
      <c r="H219" s="16" t="n"/>
      <c r="I219" s="16" t="n"/>
      <c r="J219" s="17" t="n"/>
      <c r="K219" s="17" t="n"/>
      <c r="L219" s="17" t="n"/>
      <c r="M219" s="16" t="n"/>
      <c r="N219" s="16" t="n"/>
      <c r="O219" s="18" t="n"/>
      <c r="P219" s="18" t="n"/>
      <c r="Q219" s="16" t="n"/>
    </row>
    <row r="220">
      <c r="E220" s="15" t="n"/>
      <c r="F220" s="15" t="n"/>
      <c r="G220" s="15" t="n"/>
      <c r="H220" s="16" t="n"/>
      <c r="I220" s="16" t="n"/>
      <c r="J220" s="17" t="n"/>
      <c r="K220" s="17" t="n"/>
      <c r="L220" s="17" t="n"/>
      <c r="M220" s="16" t="n"/>
      <c r="N220" s="16" t="n"/>
      <c r="O220" s="18" t="n"/>
      <c r="P220" s="18" t="n"/>
      <c r="Q220" s="16" t="n"/>
    </row>
    <row r="221">
      <c r="E221" s="15" t="n"/>
      <c r="F221" s="15" t="n"/>
      <c r="G221" s="15" t="n"/>
      <c r="H221" s="16" t="n"/>
      <c r="I221" s="16" t="n"/>
      <c r="J221" s="17" t="n"/>
      <c r="K221" s="17" t="n"/>
      <c r="L221" s="17" t="n"/>
      <c r="M221" s="16" t="n"/>
      <c r="N221" s="16" t="n"/>
      <c r="O221" s="18" t="n"/>
      <c r="P221" s="18" t="n"/>
      <c r="Q221" s="16" t="n"/>
    </row>
    <row r="222">
      <c r="E222" s="15" t="n"/>
      <c r="F222" s="15" t="n"/>
      <c r="G222" s="15" t="n"/>
      <c r="H222" s="16" t="n"/>
      <c r="I222" s="16" t="n"/>
      <c r="J222" s="17" t="n"/>
      <c r="K222" s="17" t="n"/>
      <c r="L222" s="17" t="n"/>
      <c r="M222" s="16" t="n"/>
      <c r="N222" s="16" t="n"/>
      <c r="O222" s="18" t="n"/>
      <c r="P222" s="18" t="n"/>
      <c r="Q222" s="16" t="n"/>
    </row>
    <row r="223">
      <c r="E223" s="15" t="n"/>
      <c r="F223" s="15" t="n"/>
      <c r="G223" s="15" t="n"/>
      <c r="H223" s="16" t="n"/>
      <c r="I223" s="16" t="n"/>
      <c r="J223" s="17" t="n"/>
      <c r="K223" s="17" t="n"/>
      <c r="L223" s="17" t="n"/>
      <c r="M223" s="16" t="n"/>
      <c r="N223" s="16" t="n"/>
      <c r="O223" s="18" t="n"/>
      <c r="P223" s="18" t="n"/>
      <c r="Q223" s="16" t="n"/>
    </row>
    <row r="224">
      <c r="E224" s="15" t="n"/>
      <c r="F224" s="15" t="n"/>
      <c r="G224" s="15" t="n"/>
      <c r="H224" s="16" t="n"/>
      <c r="I224" s="16" t="n"/>
      <c r="J224" s="17" t="n"/>
      <c r="K224" s="17" t="n"/>
      <c r="L224" s="17" t="n"/>
      <c r="M224" s="16" t="n"/>
      <c r="N224" s="16" t="n"/>
      <c r="O224" s="18" t="n"/>
      <c r="P224" s="18" t="n"/>
      <c r="Q224" s="16" t="n"/>
    </row>
    <row r="225">
      <c r="E225" s="15" t="n"/>
      <c r="F225" s="15" t="n"/>
      <c r="G225" s="15" t="n"/>
      <c r="H225" s="16" t="n"/>
      <c r="I225" s="16" t="n"/>
      <c r="J225" s="17" t="n"/>
      <c r="K225" s="17" t="n"/>
      <c r="L225" s="17" t="n"/>
      <c r="M225" s="16" t="n"/>
      <c r="N225" s="16" t="n"/>
      <c r="O225" s="18" t="n"/>
      <c r="P225" s="18" t="n"/>
      <c r="Q225" s="16" t="n"/>
    </row>
    <row r="226">
      <c r="E226" s="15" t="n"/>
      <c r="F226" s="15" t="n"/>
      <c r="G226" s="15" t="n"/>
      <c r="H226" s="16" t="n"/>
      <c r="I226" s="16" t="n"/>
      <c r="J226" s="17" t="n"/>
      <c r="K226" s="17" t="n"/>
      <c r="L226" s="17" t="n"/>
      <c r="M226" s="16" t="n"/>
      <c r="N226" s="16" t="n"/>
      <c r="O226" s="18" t="n"/>
      <c r="P226" s="18" t="n"/>
      <c r="Q226" s="16" t="n"/>
    </row>
    <row r="227">
      <c r="E227" s="15" t="n"/>
      <c r="F227" s="15" t="n"/>
      <c r="G227" s="15" t="n"/>
      <c r="H227" s="16" t="n"/>
      <c r="I227" s="16" t="n"/>
      <c r="J227" s="17" t="n"/>
      <c r="K227" s="17" t="n"/>
      <c r="L227" s="17" t="n"/>
      <c r="M227" s="16" t="n"/>
      <c r="N227" s="16" t="n"/>
      <c r="O227" s="18" t="n"/>
      <c r="P227" s="18" t="n"/>
      <c r="Q227" s="16" t="n"/>
    </row>
    <row r="228">
      <c r="E228" s="15" t="n"/>
      <c r="F228" s="15" t="n"/>
      <c r="G228" s="15" t="n"/>
      <c r="H228" s="16" t="n"/>
      <c r="I228" s="16" t="n"/>
      <c r="J228" s="17" t="n"/>
      <c r="K228" s="17" t="n"/>
      <c r="L228" s="17" t="n"/>
      <c r="M228" s="16" t="n"/>
      <c r="N228" s="16" t="n"/>
      <c r="O228" s="18" t="n"/>
      <c r="P228" s="18" t="n"/>
      <c r="Q228" s="16" t="n"/>
    </row>
    <row r="229">
      <c r="E229" s="15" t="n"/>
      <c r="F229" s="15" t="n"/>
      <c r="G229" s="15" t="n"/>
      <c r="H229" s="16" t="n"/>
      <c r="I229" s="16" t="n"/>
      <c r="J229" s="17" t="n"/>
      <c r="K229" s="17" t="n"/>
      <c r="L229" s="17" t="n"/>
      <c r="M229" s="16" t="n"/>
      <c r="N229" s="16" t="n"/>
      <c r="O229" s="18" t="n"/>
      <c r="P229" s="18" t="n"/>
      <c r="Q229" s="16" t="n"/>
    </row>
    <row r="230">
      <c r="E230" s="15" t="n"/>
      <c r="F230" s="15" t="n"/>
      <c r="G230" s="15" t="n"/>
      <c r="H230" s="16" t="n"/>
      <c r="I230" s="16" t="n"/>
      <c r="J230" s="17" t="n"/>
      <c r="K230" s="17" t="n"/>
      <c r="L230" s="17" t="n"/>
      <c r="M230" s="16" t="n"/>
      <c r="N230" s="16" t="n"/>
      <c r="O230" s="18" t="n"/>
      <c r="P230" s="18" t="n"/>
      <c r="Q230" s="16" t="n"/>
    </row>
    <row r="231">
      <c r="E231" s="15" t="n"/>
      <c r="F231" s="15" t="n"/>
      <c r="G231" s="15" t="n"/>
      <c r="H231" s="16" t="n"/>
      <c r="I231" s="16" t="n"/>
      <c r="J231" s="17" t="n"/>
      <c r="K231" s="17" t="n"/>
      <c r="L231" s="17" t="n"/>
      <c r="M231" s="16" t="n"/>
      <c r="N231" s="16" t="n"/>
      <c r="O231" s="18" t="n"/>
      <c r="P231" s="18" t="n"/>
      <c r="Q231" s="16" t="n"/>
    </row>
    <row r="232">
      <c r="E232" s="15" t="n"/>
      <c r="F232" s="15" t="n"/>
      <c r="G232" s="15" t="n"/>
      <c r="H232" s="16" t="n"/>
      <c r="I232" s="16" t="n"/>
      <c r="J232" s="17" t="n"/>
      <c r="K232" s="17" t="n"/>
      <c r="L232" s="17" t="n"/>
      <c r="M232" s="16" t="n"/>
      <c r="N232" s="16" t="n"/>
      <c r="O232" s="18" t="n"/>
      <c r="P232" s="18" t="n"/>
      <c r="Q232" s="16" t="n"/>
    </row>
    <row r="233">
      <c r="E233" s="15" t="n"/>
      <c r="F233" s="15" t="n"/>
      <c r="G233" s="15" t="n"/>
      <c r="H233" s="16" t="n"/>
      <c r="I233" s="16" t="n"/>
      <c r="J233" s="17" t="n"/>
      <c r="K233" s="17" t="n"/>
      <c r="L233" s="17" t="n"/>
      <c r="M233" s="16" t="n"/>
      <c r="N233" s="16" t="n"/>
      <c r="O233" s="18" t="n"/>
      <c r="P233" s="18" t="n"/>
      <c r="Q233" s="16" t="n"/>
    </row>
    <row r="234">
      <c r="E234" s="15" t="n"/>
      <c r="F234" s="15" t="n"/>
      <c r="G234" s="15" t="n"/>
      <c r="H234" s="16" t="n"/>
      <c r="I234" s="16" t="n"/>
      <c r="J234" s="17" t="n"/>
      <c r="K234" s="17" t="n"/>
      <c r="L234" s="17" t="n"/>
      <c r="M234" s="16" t="n"/>
      <c r="N234" s="16" t="n"/>
      <c r="O234" s="18" t="n"/>
      <c r="P234" s="18" t="n"/>
      <c r="Q234" s="16" t="n"/>
    </row>
    <row r="235">
      <c r="E235" s="15" t="n"/>
      <c r="F235" s="15" t="n"/>
      <c r="G235" s="15" t="n"/>
      <c r="H235" s="16" t="n"/>
      <c r="I235" s="16" t="n"/>
      <c r="J235" s="17" t="n"/>
      <c r="K235" s="17" t="n"/>
      <c r="L235" s="17" t="n"/>
      <c r="M235" s="16" t="n"/>
      <c r="N235" s="16" t="n"/>
      <c r="O235" s="18" t="n"/>
      <c r="P235" s="18" t="n"/>
      <c r="Q235" s="16" t="n"/>
    </row>
    <row r="236">
      <c r="E236" s="15" t="n"/>
      <c r="F236" s="15" t="n"/>
      <c r="G236" s="15" t="n"/>
      <c r="H236" s="16" t="n"/>
      <c r="I236" s="16" t="n"/>
      <c r="J236" s="17" t="n"/>
      <c r="K236" s="17" t="n"/>
      <c r="L236" s="17" t="n"/>
      <c r="M236" s="16" t="n"/>
      <c r="N236" s="16" t="n"/>
      <c r="O236" s="18" t="n"/>
      <c r="P236" s="18" t="n"/>
      <c r="Q236" s="16" t="n"/>
    </row>
    <row r="237">
      <c r="E237" s="15" t="n"/>
      <c r="F237" s="15" t="n"/>
      <c r="G237" s="15" t="n"/>
      <c r="H237" s="16" t="n"/>
      <c r="I237" s="16" t="n"/>
      <c r="J237" s="17" t="n"/>
      <c r="K237" s="17" t="n"/>
      <c r="L237" s="17" t="n"/>
      <c r="M237" s="16" t="n"/>
      <c r="N237" s="16" t="n"/>
      <c r="O237" s="18" t="n"/>
      <c r="P237" s="18" t="n"/>
      <c r="Q237" s="16" t="n"/>
    </row>
    <row r="238">
      <c r="E238" s="15" t="n"/>
      <c r="F238" s="15" t="n"/>
      <c r="G238" s="15" t="n"/>
      <c r="H238" s="16" t="n"/>
      <c r="I238" s="16" t="n"/>
      <c r="J238" s="17" t="n"/>
      <c r="K238" s="17" t="n"/>
      <c r="L238" s="17" t="n"/>
      <c r="M238" s="16" t="n"/>
      <c r="N238" s="16" t="n"/>
      <c r="O238" s="18" t="n"/>
      <c r="P238" s="18" t="n"/>
      <c r="Q238" s="16" t="n"/>
    </row>
    <row r="239">
      <c r="E239" s="15" t="n"/>
      <c r="F239" s="15" t="n"/>
      <c r="G239" s="15" t="n"/>
      <c r="H239" s="16" t="n"/>
      <c r="I239" s="16" t="n"/>
      <c r="J239" s="17" t="n"/>
      <c r="K239" s="17" t="n"/>
      <c r="L239" s="17" t="n"/>
      <c r="M239" s="16" t="n"/>
      <c r="N239" s="16" t="n"/>
      <c r="O239" s="18" t="n"/>
      <c r="P239" s="18" t="n"/>
      <c r="Q239" s="16" t="n"/>
    </row>
    <row r="240">
      <c r="E240" s="15" t="n"/>
      <c r="F240" s="15" t="n"/>
      <c r="G240" s="15" t="n"/>
      <c r="H240" s="16" t="n"/>
      <c r="I240" s="16" t="n"/>
      <c r="J240" s="17" t="n"/>
      <c r="K240" s="17" t="n"/>
      <c r="L240" s="17" t="n"/>
      <c r="M240" s="16" t="n"/>
      <c r="N240" s="16" t="n"/>
      <c r="O240" s="18" t="n"/>
      <c r="P240" s="18" t="n"/>
      <c r="Q240" s="16" t="n"/>
    </row>
    <row r="241">
      <c r="E241" s="15" t="n"/>
      <c r="F241" s="15" t="n"/>
      <c r="G241" s="15" t="n"/>
      <c r="H241" s="16" t="n"/>
      <c r="I241" s="16" t="n"/>
      <c r="J241" s="17" t="n"/>
      <c r="K241" s="17" t="n"/>
      <c r="L241" s="17" t="n"/>
      <c r="M241" s="16" t="n"/>
      <c r="N241" s="16" t="n"/>
      <c r="O241" s="18" t="n"/>
      <c r="P241" s="18" t="n"/>
      <c r="Q241" s="16" t="n"/>
    </row>
    <row r="242">
      <c r="E242" s="15" t="n"/>
      <c r="F242" s="15" t="n"/>
      <c r="G242" s="15" t="n"/>
      <c r="H242" s="16" t="n"/>
      <c r="I242" s="16" t="n"/>
      <c r="J242" s="17" t="n"/>
      <c r="K242" s="17" t="n"/>
      <c r="L242" s="17" t="n"/>
      <c r="M242" s="16" t="n"/>
      <c r="N242" s="16" t="n"/>
      <c r="O242" s="18" t="n"/>
      <c r="P242" s="18" t="n"/>
      <c r="Q242" s="16" t="n"/>
    </row>
    <row r="243">
      <c r="E243" s="15" t="n"/>
      <c r="F243" s="15" t="n"/>
      <c r="G243" s="15" t="n"/>
      <c r="H243" s="16" t="n"/>
      <c r="I243" s="16" t="n"/>
      <c r="J243" s="17" t="n"/>
      <c r="K243" s="17" t="n"/>
      <c r="L243" s="17" t="n"/>
      <c r="M243" s="16" t="n"/>
      <c r="N243" s="16" t="n"/>
      <c r="O243" s="18" t="n"/>
      <c r="P243" s="18" t="n"/>
      <c r="Q243" s="16" t="n"/>
    </row>
    <row r="244">
      <c r="E244" s="15" t="n"/>
      <c r="F244" s="15" t="n"/>
      <c r="G244" s="15" t="n"/>
      <c r="H244" s="16" t="n"/>
      <c r="I244" s="16" t="n"/>
      <c r="J244" s="17" t="n"/>
      <c r="K244" s="17" t="n"/>
      <c r="L244" s="17" t="n"/>
      <c r="M244" s="16" t="n"/>
      <c r="N244" s="16" t="n"/>
      <c r="O244" s="18" t="n"/>
      <c r="P244" s="18" t="n"/>
      <c r="Q244" s="16" t="n"/>
    </row>
    <row r="245">
      <c r="E245" s="15" t="n"/>
      <c r="F245" s="15" t="n"/>
      <c r="G245" s="15" t="n"/>
      <c r="H245" s="16" t="n"/>
      <c r="I245" s="16" t="n"/>
      <c r="J245" s="17" t="n"/>
      <c r="K245" s="17" t="n"/>
      <c r="L245" s="17" t="n"/>
      <c r="M245" s="16" t="n"/>
      <c r="N245" s="16" t="n"/>
      <c r="O245" s="18" t="n"/>
      <c r="P245" s="18" t="n"/>
      <c r="Q245" s="16" t="n"/>
    </row>
    <row r="246">
      <c r="E246" s="15" t="n"/>
      <c r="F246" s="15" t="n"/>
      <c r="G246" s="15" t="n"/>
      <c r="H246" s="16" t="n"/>
      <c r="I246" s="16" t="n"/>
      <c r="J246" s="17" t="n"/>
      <c r="K246" s="17" t="n"/>
      <c r="L246" s="17" t="n"/>
      <c r="M246" s="16" t="n"/>
      <c r="N246" s="16" t="n"/>
      <c r="O246" s="18" t="n"/>
      <c r="P246" s="18" t="n"/>
      <c r="Q246" s="16" t="n"/>
    </row>
    <row r="247">
      <c r="E247" s="15" t="n"/>
      <c r="F247" s="15" t="n"/>
      <c r="G247" s="15" t="n"/>
      <c r="H247" s="16" t="n"/>
      <c r="I247" s="16" t="n"/>
      <c r="J247" s="17" t="n"/>
      <c r="K247" s="17" t="n"/>
      <c r="L247" s="17" t="n"/>
      <c r="M247" s="16" t="n"/>
      <c r="N247" s="16" t="n"/>
      <c r="O247" s="18" t="n"/>
      <c r="P247" s="18" t="n"/>
      <c r="Q247" s="16" t="n"/>
    </row>
    <row r="248">
      <c r="E248" s="15" t="n"/>
      <c r="F248" s="15" t="n"/>
      <c r="G248" s="15" t="n"/>
      <c r="H248" s="16" t="n"/>
      <c r="I248" s="16" t="n"/>
      <c r="J248" s="17" t="n"/>
      <c r="K248" s="17" t="n"/>
      <c r="L248" s="17" t="n"/>
      <c r="M248" s="16" t="n"/>
      <c r="N248" s="16" t="n"/>
      <c r="O248" s="18" t="n"/>
      <c r="P248" s="18" t="n"/>
      <c r="Q248" s="16" t="n"/>
    </row>
    <row r="249">
      <c r="E249" s="15" t="n"/>
      <c r="F249" s="15" t="n"/>
      <c r="G249" s="15" t="n"/>
      <c r="H249" s="16" t="n"/>
      <c r="I249" s="16" t="n"/>
      <c r="J249" s="17" t="n"/>
      <c r="K249" s="17" t="n"/>
      <c r="L249" s="17" t="n"/>
      <c r="M249" s="16" t="n"/>
      <c r="N249" s="16" t="n"/>
      <c r="O249" s="18" t="n"/>
      <c r="P249" s="18" t="n"/>
      <c r="Q249" s="16" t="n"/>
    </row>
    <row r="250">
      <c r="E250" s="15" t="n"/>
      <c r="F250" s="15" t="n"/>
      <c r="G250" s="15" t="n"/>
      <c r="H250" s="16" t="n"/>
      <c r="I250" s="16" t="n"/>
      <c r="J250" s="17" t="n"/>
      <c r="K250" s="17" t="n"/>
      <c r="L250" s="17" t="n"/>
      <c r="M250" s="16" t="n"/>
      <c r="N250" s="16" t="n"/>
      <c r="O250" s="18" t="n"/>
      <c r="P250" s="18" t="n"/>
      <c r="Q250" s="16" t="n"/>
    </row>
    <row r="251">
      <c r="E251" s="15" t="n"/>
      <c r="F251" s="15" t="n"/>
      <c r="G251" s="15" t="n"/>
      <c r="H251" s="16" t="n"/>
      <c r="I251" s="16" t="n"/>
      <c r="J251" s="17" t="n"/>
      <c r="K251" s="17" t="n"/>
      <c r="L251" s="17" t="n"/>
      <c r="M251" s="16" t="n"/>
      <c r="N251" s="16" t="n"/>
      <c r="O251" s="18" t="n"/>
      <c r="P251" s="18" t="n"/>
      <c r="Q251" s="16" t="n"/>
    </row>
    <row r="252">
      <c r="E252" s="15" t="n"/>
      <c r="F252" s="15" t="n"/>
      <c r="G252" s="15" t="n"/>
      <c r="H252" s="16" t="n"/>
      <c r="I252" s="16" t="n"/>
      <c r="J252" s="17" t="n"/>
      <c r="K252" s="17" t="n"/>
      <c r="L252" s="17" t="n"/>
      <c r="M252" s="16" t="n"/>
      <c r="N252" s="16" t="n"/>
      <c r="O252" s="18" t="n"/>
      <c r="P252" s="18" t="n"/>
      <c r="Q252" s="16" t="n"/>
    </row>
    <row r="253">
      <c r="E253" s="15" t="n"/>
      <c r="F253" s="15" t="n"/>
      <c r="G253" s="15" t="n"/>
      <c r="H253" s="16" t="n"/>
      <c r="I253" s="16" t="n"/>
      <c r="J253" s="17" t="n"/>
      <c r="K253" s="17" t="n"/>
      <c r="L253" s="17" t="n"/>
      <c r="M253" s="16" t="n"/>
      <c r="N253" s="16" t="n"/>
      <c r="O253" s="18" t="n"/>
      <c r="P253" s="18" t="n"/>
      <c r="Q253" s="16" t="n"/>
    </row>
    <row r="254">
      <c r="E254" s="15" t="n"/>
      <c r="F254" s="15" t="n"/>
      <c r="G254" s="15" t="n"/>
      <c r="H254" s="16" t="n"/>
      <c r="I254" s="16" t="n"/>
      <c r="J254" s="17" t="n"/>
      <c r="K254" s="17" t="n"/>
      <c r="L254" s="17" t="n"/>
      <c r="M254" s="16" t="n"/>
      <c r="N254" s="16" t="n"/>
      <c r="O254" s="18" t="n"/>
      <c r="P254" s="18" t="n"/>
      <c r="Q254" s="16" t="n"/>
    </row>
    <row r="255">
      <c r="E255" s="15" t="n"/>
      <c r="F255" s="15" t="n"/>
      <c r="G255" s="15" t="n"/>
      <c r="H255" s="16" t="n"/>
      <c r="I255" s="16" t="n"/>
      <c r="J255" s="17" t="n"/>
      <c r="K255" s="17" t="n"/>
      <c r="L255" s="17" t="n"/>
      <c r="M255" s="16" t="n"/>
      <c r="N255" s="16" t="n"/>
      <c r="O255" s="18" t="n"/>
      <c r="P255" s="18" t="n"/>
      <c r="Q255" s="16" t="n"/>
    </row>
    <row r="256">
      <c r="E256" s="15" t="n"/>
      <c r="F256" s="15" t="n"/>
      <c r="G256" s="15" t="n"/>
      <c r="H256" s="16" t="n"/>
      <c r="I256" s="16" t="n"/>
      <c r="J256" s="17" t="n"/>
      <c r="K256" s="17" t="n"/>
      <c r="L256" s="17" t="n"/>
      <c r="M256" s="16" t="n"/>
      <c r="N256" s="16" t="n"/>
      <c r="O256" s="18" t="n"/>
      <c r="P256" s="18" t="n"/>
      <c r="Q256" s="16" t="n"/>
    </row>
    <row r="257">
      <c r="E257" s="15" t="n"/>
      <c r="F257" s="15" t="n"/>
      <c r="G257" s="15" t="n"/>
      <c r="H257" s="16" t="n"/>
      <c r="I257" s="16" t="n"/>
      <c r="J257" s="17" t="n"/>
      <c r="K257" s="17" t="n"/>
      <c r="L257" s="17" t="n"/>
      <c r="M257" s="16" t="n"/>
      <c r="N257" s="16" t="n"/>
      <c r="O257" s="18" t="n"/>
      <c r="P257" s="18" t="n"/>
      <c r="Q257" s="16" t="n"/>
    </row>
    <row r="258">
      <c r="E258" s="15" t="n"/>
      <c r="F258" s="15" t="n"/>
      <c r="G258" s="15" t="n"/>
      <c r="H258" s="16" t="n"/>
      <c r="I258" s="16" t="n"/>
      <c r="J258" s="17" t="n"/>
      <c r="K258" s="17" t="n"/>
      <c r="L258" s="17" t="n"/>
      <c r="M258" s="16" t="n"/>
      <c r="N258" s="16" t="n"/>
      <c r="O258" s="18" t="n"/>
      <c r="P258" s="18" t="n"/>
      <c r="Q258" s="16" t="n"/>
    </row>
    <row r="259">
      <c r="E259" s="15" t="n"/>
      <c r="F259" s="15" t="n"/>
      <c r="G259" s="15" t="n"/>
      <c r="H259" s="16" t="n"/>
      <c r="I259" s="16" t="n"/>
      <c r="J259" s="17" t="n"/>
      <c r="K259" s="17" t="n"/>
      <c r="L259" s="17" t="n"/>
      <c r="M259" s="16" t="n"/>
      <c r="N259" s="16" t="n"/>
      <c r="O259" s="18" t="n"/>
      <c r="P259" s="18" t="n"/>
      <c r="Q259" s="16" t="n"/>
    </row>
    <row r="260">
      <c r="E260" s="15" t="n"/>
      <c r="F260" s="15" t="n"/>
      <c r="G260" s="15" t="n"/>
      <c r="H260" s="16" t="n"/>
      <c r="I260" s="16" t="n"/>
      <c r="J260" s="17" t="n"/>
      <c r="K260" s="17" t="n"/>
      <c r="L260" s="17" t="n"/>
      <c r="M260" s="16" t="n"/>
      <c r="N260" s="16" t="n"/>
      <c r="O260" s="18" t="n"/>
      <c r="P260" s="18" t="n"/>
      <c r="Q260" s="16" t="n"/>
    </row>
    <row r="261">
      <c r="E261" s="15" t="n"/>
      <c r="F261" s="15" t="n"/>
      <c r="G261" s="15" t="n"/>
      <c r="H261" s="16" t="n"/>
      <c r="I261" s="16" t="n"/>
      <c r="J261" s="17" t="n"/>
      <c r="K261" s="17" t="n"/>
      <c r="L261" s="17" t="n"/>
      <c r="M261" s="16" t="n"/>
      <c r="N261" s="16" t="n"/>
      <c r="O261" s="18" t="n"/>
      <c r="P261" s="18" t="n"/>
      <c r="Q261" s="16" t="n"/>
    </row>
    <row r="262">
      <c r="E262" s="15" t="n"/>
      <c r="F262" s="15" t="n"/>
      <c r="G262" s="15" t="n"/>
      <c r="H262" s="16" t="n"/>
      <c r="I262" s="16" t="n"/>
      <c r="J262" s="17" t="n"/>
      <c r="K262" s="17" t="n"/>
      <c r="L262" s="17" t="n"/>
      <c r="M262" s="16" t="n"/>
      <c r="N262" s="16" t="n"/>
      <c r="O262" s="18" t="n"/>
      <c r="P262" s="18" t="n"/>
      <c r="Q262" s="16" t="n"/>
    </row>
    <row r="263">
      <c r="E263" s="15" t="n"/>
      <c r="F263" s="15" t="n"/>
      <c r="G263" s="15" t="n"/>
      <c r="H263" s="16" t="n"/>
      <c r="I263" s="16" t="n"/>
      <c r="J263" s="17" t="n"/>
      <c r="K263" s="17" t="n"/>
      <c r="L263" s="17" t="n"/>
      <c r="M263" s="16" t="n"/>
      <c r="N263" s="16" t="n"/>
      <c r="O263" s="18" t="n"/>
      <c r="P263" s="18" t="n"/>
      <c r="Q263" s="16" t="n"/>
    </row>
    <row r="264">
      <c r="E264" s="15" t="n"/>
      <c r="F264" s="15" t="n"/>
      <c r="G264" s="15" t="n"/>
      <c r="H264" s="16" t="n"/>
      <c r="I264" s="16" t="n"/>
      <c r="J264" s="17" t="n"/>
      <c r="K264" s="17" t="n"/>
      <c r="L264" s="17" t="n"/>
      <c r="M264" s="16" t="n"/>
      <c r="N264" s="16" t="n"/>
      <c r="O264" s="18" t="n"/>
      <c r="P264" s="18" t="n"/>
      <c r="Q264" s="16" t="n"/>
    </row>
    <row r="265">
      <c r="E265" s="15" t="n"/>
      <c r="F265" s="15" t="n"/>
      <c r="G265" s="15" t="n"/>
      <c r="H265" s="16" t="n"/>
      <c r="I265" s="16" t="n"/>
      <c r="J265" s="17" t="n"/>
      <c r="K265" s="17" t="n"/>
      <c r="L265" s="17" t="n"/>
      <c r="M265" s="16" t="n"/>
      <c r="N265" s="16" t="n"/>
      <c r="O265" s="18" t="n"/>
      <c r="P265" s="18" t="n"/>
      <c r="Q265" s="16" t="n"/>
    </row>
    <row r="266">
      <c r="E266" s="15" t="n"/>
      <c r="F266" s="15" t="n"/>
      <c r="G266" s="15" t="n"/>
      <c r="H266" s="16" t="n"/>
      <c r="I266" s="16" t="n"/>
      <c r="J266" s="17" t="n"/>
      <c r="K266" s="17" t="n"/>
      <c r="L266" s="17" t="n"/>
      <c r="M266" s="16" t="n"/>
      <c r="N266" s="16" t="n"/>
      <c r="O266" s="18" t="n"/>
      <c r="P266" s="18" t="n"/>
      <c r="Q266" s="16" t="n"/>
    </row>
    <row r="267">
      <c r="E267" s="15" t="n"/>
      <c r="F267" s="15" t="n"/>
      <c r="G267" s="15" t="n"/>
      <c r="H267" s="16" t="n"/>
      <c r="I267" s="16" t="n"/>
      <c r="J267" s="17" t="n"/>
      <c r="K267" s="17" t="n"/>
      <c r="L267" s="17" t="n"/>
      <c r="M267" s="16" t="n"/>
      <c r="N267" s="16" t="n"/>
      <c r="O267" s="18" t="n"/>
      <c r="P267" s="18" t="n"/>
      <c r="Q267" s="16" t="n"/>
    </row>
    <row r="268">
      <c r="E268" s="15" t="n"/>
      <c r="F268" s="15" t="n"/>
      <c r="G268" s="15" t="n"/>
      <c r="H268" s="16" t="n"/>
      <c r="I268" s="16" t="n"/>
      <c r="J268" s="17" t="n"/>
      <c r="K268" s="17" t="n"/>
      <c r="L268" s="17" t="n"/>
      <c r="M268" s="16" t="n"/>
      <c r="N268" s="16" t="n"/>
      <c r="O268" s="18" t="n"/>
      <c r="P268" s="18" t="n"/>
      <c r="Q268" s="16" t="n"/>
    </row>
    <row r="269">
      <c r="E269" s="15" t="n"/>
      <c r="F269" s="15" t="n"/>
      <c r="G269" s="15" t="n"/>
      <c r="H269" s="16" t="n"/>
      <c r="I269" s="16" t="n"/>
      <c r="J269" s="17" t="n"/>
      <c r="K269" s="17" t="n"/>
      <c r="L269" s="17" t="n"/>
      <c r="M269" s="16" t="n"/>
      <c r="N269" s="16" t="n"/>
      <c r="O269" s="18" t="n"/>
      <c r="P269" s="18" t="n"/>
      <c r="Q269" s="16" t="n"/>
    </row>
    <row r="270">
      <c r="E270" s="15" t="n"/>
      <c r="F270" s="15" t="n"/>
      <c r="G270" s="15" t="n"/>
      <c r="H270" s="16" t="n"/>
      <c r="I270" s="16" t="n"/>
      <c r="J270" s="17" t="n"/>
      <c r="K270" s="17" t="n"/>
      <c r="L270" s="17" t="n"/>
      <c r="M270" s="16" t="n"/>
      <c r="N270" s="16" t="n"/>
      <c r="O270" s="18" t="n"/>
      <c r="P270" s="18" t="n"/>
      <c r="Q270" s="16" t="n"/>
    </row>
    <row r="271">
      <c r="E271" s="15" t="n"/>
      <c r="F271" s="15" t="n"/>
      <c r="G271" s="15" t="n"/>
      <c r="H271" s="16" t="n"/>
      <c r="I271" s="16" t="n"/>
      <c r="J271" s="17" t="n"/>
      <c r="K271" s="17" t="n"/>
      <c r="L271" s="17" t="n"/>
      <c r="M271" s="16" t="n"/>
      <c r="N271" s="16" t="n"/>
      <c r="O271" s="18" t="n"/>
      <c r="P271" s="18" t="n"/>
      <c r="Q271" s="16" t="n"/>
    </row>
    <row r="272">
      <c r="E272" s="15" t="n"/>
      <c r="F272" s="15" t="n"/>
      <c r="G272" s="15" t="n"/>
      <c r="H272" s="16" t="n"/>
      <c r="I272" s="16" t="n"/>
      <c r="J272" s="17" t="n"/>
      <c r="K272" s="17" t="n"/>
      <c r="L272" s="17" t="n"/>
      <c r="M272" s="16" t="n"/>
      <c r="N272" s="16" t="n"/>
      <c r="O272" s="18" t="n"/>
      <c r="P272" s="18" t="n"/>
      <c r="Q272" s="16" t="n"/>
    </row>
    <row r="273">
      <c r="E273" s="15" t="n"/>
      <c r="F273" s="15" t="n"/>
      <c r="G273" s="15" t="n"/>
      <c r="H273" s="16" t="n"/>
      <c r="I273" s="16" t="n"/>
      <c r="J273" s="17" t="n"/>
      <c r="K273" s="17" t="n"/>
      <c r="L273" s="17" t="n"/>
      <c r="M273" s="16" t="n"/>
      <c r="N273" s="16" t="n"/>
      <c r="O273" s="18" t="n"/>
      <c r="P273" s="18" t="n"/>
      <c r="Q273" s="16" t="n"/>
    </row>
    <row r="274">
      <c r="E274" s="15" t="n"/>
      <c r="F274" s="15" t="n"/>
      <c r="G274" s="15" t="n"/>
      <c r="H274" s="16" t="n"/>
      <c r="I274" s="16" t="n"/>
      <c r="J274" s="17" t="n"/>
      <c r="K274" s="17" t="n"/>
      <c r="L274" s="17" t="n"/>
      <c r="M274" s="16" t="n"/>
      <c r="N274" s="16" t="n"/>
      <c r="O274" s="18" t="n"/>
      <c r="P274" s="18" t="n"/>
      <c r="Q274" s="16" t="n"/>
    </row>
    <row r="275">
      <c r="E275" s="15" t="n"/>
      <c r="F275" s="15" t="n"/>
      <c r="G275" s="15" t="n"/>
      <c r="H275" s="16" t="n"/>
      <c r="I275" s="16" t="n"/>
      <c r="J275" s="17" t="n"/>
      <c r="K275" s="17" t="n"/>
      <c r="L275" s="17" t="n"/>
      <c r="M275" s="16" t="n"/>
      <c r="N275" s="16" t="n"/>
      <c r="O275" s="18" t="n"/>
      <c r="P275" s="18" t="n"/>
      <c r="Q275" s="16" t="n"/>
    </row>
    <row r="276">
      <c r="E276" s="15" t="n"/>
      <c r="F276" s="15" t="n"/>
      <c r="G276" s="15" t="n"/>
      <c r="H276" s="16" t="n"/>
      <c r="I276" s="16" t="n"/>
      <c r="J276" s="17" t="n"/>
      <c r="K276" s="17" t="n"/>
      <c r="L276" s="17" t="n"/>
      <c r="M276" s="16" t="n"/>
      <c r="N276" s="16" t="n"/>
      <c r="O276" s="18" t="n"/>
      <c r="P276" s="18" t="n"/>
      <c r="Q276" s="16" t="n"/>
    </row>
    <row r="277">
      <c r="E277" s="15" t="n"/>
      <c r="F277" s="15" t="n"/>
      <c r="G277" s="15" t="n"/>
      <c r="H277" s="16" t="n"/>
      <c r="I277" s="16" t="n"/>
      <c r="J277" s="17" t="n"/>
      <c r="K277" s="17" t="n"/>
      <c r="L277" s="17" t="n"/>
      <c r="M277" s="16" t="n"/>
      <c r="N277" s="16" t="n"/>
      <c r="O277" s="18" t="n"/>
      <c r="P277" s="18" t="n"/>
      <c r="Q277" s="16" t="n"/>
    </row>
    <row r="278">
      <c r="E278" s="15" t="n"/>
      <c r="F278" s="15" t="n"/>
      <c r="G278" s="15" t="n"/>
      <c r="H278" s="16" t="n"/>
      <c r="I278" s="16" t="n"/>
      <c r="J278" s="17" t="n"/>
      <c r="K278" s="17" t="n"/>
      <c r="L278" s="17" t="n"/>
      <c r="M278" s="16" t="n"/>
      <c r="N278" s="16" t="n"/>
      <c r="O278" s="18" t="n"/>
      <c r="P278" s="18" t="n"/>
      <c r="Q278" s="16" t="n"/>
    </row>
    <row r="279">
      <c r="E279" s="15" t="n"/>
      <c r="F279" s="15" t="n"/>
      <c r="G279" s="15" t="n"/>
      <c r="H279" s="16" t="n"/>
      <c r="I279" s="16" t="n"/>
      <c r="J279" s="17" t="n"/>
      <c r="K279" s="17" t="n"/>
      <c r="L279" s="17" t="n"/>
      <c r="M279" s="16" t="n"/>
      <c r="N279" s="16" t="n"/>
      <c r="O279" s="18" t="n"/>
      <c r="P279" s="18" t="n"/>
      <c r="Q279" s="16" t="n"/>
    </row>
    <row r="280">
      <c r="E280" s="15" t="n"/>
      <c r="F280" s="15" t="n"/>
      <c r="G280" s="15" t="n"/>
      <c r="H280" s="16" t="n"/>
      <c r="I280" s="16" t="n"/>
      <c r="J280" s="17" t="n"/>
      <c r="K280" s="17" t="n"/>
      <c r="L280" s="17" t="n"/>
      <c r="M280" s="16" t="n"/>
      <c r="N280" s="16" t="n"/>
      <c r="O280" s="18" t="n"/>
      <c r="P280" s="18" t="n"/>
      <c r="Q280" s="16" t="n"/>
    </row>
    <row r="281">
      <c r="E281" s="15" t="n"/>
      <c r="F281" s="15" t="n"/>
      <c r="G281" s="15" t="n"/>
      <c r="H281" s="16" t="n"/>
      <c r="I281" s="16" t="n"/>
      <c r="J281" s="17" t="n"/>
      <c r="K281" s="17" t="n"/>
      <c r="L281" s="17" t="n"/>
      <c r="M281" s="16" t="n"/>
      <c r="N281" s="16" t="n"/>
      <c r="O281" s="18" t="n"/>
      <c r="P281" s="18" t="n"/>
      <c r="Q281" s="16" t="n"/>
    </row>
    <row r="282">
      <c r="E282" s="15" t="n"/>
      <c r="F282" s="15" t="n"/>
      <c r="G282" s="15" t="n"/>
      <c r="H282" s="16" t="n"/>
      <c r="I282" s="16" t="n"/>
      <c r="J282" s="17" t="n"/>
      <c r="K282" s="17" t="n"/>
      <c r="L282" s="17" t="n"/>
      <c r="M282" s="16" t="n"/>
      <c r="N282" s="16" t="n"/>
      <c r="O282" s="18" t="n"/>
      <c r="P282" s="18" t="n"/>
      <c r="Q282" s="16" t="n"/>
    </row>
    <row r="283">
      <c r="E283" s="15" t="n"/>
      <c r="F283" s="15" t="n"/>
      <c r="G283" s="15" t="n"/>
      <c r="H283" s="16" t="n"/>
      <c r="I283" s="16" t="n"/>
      <c r="J283" s="17" t="n"/>
      <c r="K283" s="17" t="n"/>
      <c r="L283" s="17" t="n"/>
      <c r="M283" s="16" t="n"/>
      <c r="N283" s="16" t="n"/>
      <c r="O283" s="18" t="n"/>
      <c r="P283" s="18" t="n"/>
      <c r="Q283" s="16" t="n"/>
    </row>
    <row r="284">
      <c r="E284" s="15" t="n"/>
      <c r="F284" s="15" t="n"/>
      <c r="G284" s="15" t="n"/>
      <c r="H284" s="16" t="n"/>
      <c r="I284" s="16" t="n"/>
      <c r="J284" s="17" t="n"/>
      <c r="K284" s="17" t="n"/>
      <c r="L284" s="17" t="n"/>
      <c r="M284" s="16" t="n"/>
      <c r="N284" s="16" t="n"/>
      <c r="O284" s="18" t="n"/>
      <c r="P284" s="18" t="n"/>
      <c r="Q284" s="16" t="n"/>
    </row>
    <row r="285">
      <c r="E285" s="15" t="n"/>
      <c r="F285" s="15" t="n"/>
      <c r="G285" s="15" t="n"/>
      <c r="H285" s="16" t="n"/>
      <c r="I285" s="16" t="n"/>
      <c r="J285" s="17" t="n"/>
      <c r="K285" s="17" t="n"/>
      <c r="L285" s="17" t="n"/>
      <c r="M285" s="16" t="n"/>
      <c r="N285" s="16" t="n"/>
      <c r="O285" s="18" t="n"/>
      <c r="P285" s="18" t="n"/>
      <c r="Q285" s="16" t="n"/>
    </row>
    <row r="286">
      <c r="E286" s="15" t="n"/>
      <c r="F286" s="15" t="n"/>
      <c r="G286" s="15" t="n"/>
      <c r="H286" s="16" t="n"/>
      <c r="I286" s="16" t="n"/>
      <c r="J286" s="17" t="n"/>
      <c r="K286" s="17" t="n"/>
      <c r="L286" s="17" t="n"/>
      <c r="M286" s="16" t="n"/>
      <c r="N286" s="16" t="n"/>
      <c r="O286" s="18" t="n"/>
      <c r="P286" s="18" t="n"/>
      <c r="Q286" s="16" t="n"/>
    </row>
    <row r="287">
      <c r="E287" s="15" t="n"/>
      <c r="F287" s="15" t="n"/>
      <c r="G287" s="15" t="n"/>
      <c r="H287" s="16" t="n"/>
      <c r="I287" s="16" t="n"/>
      <c r="J287" s="17" t="n"/>
      <c r="K287" s="17" t="n"/>
      <c r="L287" s="17" t="n"/>
      <c r="M287" s="16" t="n"/>
      <c r="N287" s="16" t="n"/>
      <c r="O287" s="18" t="n"/>
      <c r="P287" s="18" t="n"/>
      <c r="Q287" s="16" t="n"/>
    </row>
    <row r="288">
      <c r="E288" s="15" t="n"/>
      <c r="F288" s="15" t="n"/>
      <c r="G288" s="15" t="n"/>
      <c r="H288" s="16" t="n"/>
      <c r="I288" s="16" t="n"/>
      <c r="J288" s="17" t="n"/>
      <c r="K288" s="17" t="n"/>
      <c r="L288" s="17" t="n"/>
      <c r="M288" s="16" t="n"/>
      <c r="N288" s="16" t="n"/>
      <c r="O288" s="18" t="n"/>
      <c r="P288" s="18" t="n"/>
      <c r="Q288" s="16" t="n"/>
    </row>
    <row r="289">
      <c r="E289" s="15" t="n"/>
      <c r="F289" s="15" t="n"/>
      <c r="G289" s="15" t="n"/>
      <c r="H289" s="16" t="n"/>
      <c r="I289" s="16" t="n"/>
      <c r="J289" s="17" t="n"/>
      <c r="K289" s="17" t="n"/>
      <c r="L289" s="17" t="n"/>
      <c r="M289" s="16" t="n"/>
      <c r="N289" s="16" t="n"/>
      <c r="O289" s="18" t="n"/>
      <c r="P289" s="18" t="n"/>
      <c r="Q289" s="16" t="n"/>
    </row>
    <row r="290">
      <c r="E290" s="15" t="n"/>
      <c r="F290" s="15" t="n"/>
      <c r="G290" s="15" t="n"/>
      <c r="H290" s="16" t="n"/>
      <c r="I290" s="16" t="n"/>
      <c r="J290" s="17" t="n"/>
      <c r="K290" s="17" t="n"/>
      <c r="L290" s="17" t="n"/>
      <c r="M290" s="16" t="n"/>
      <c r="N290" s="16" t="n"/>
      <c r="O290" s="18" t="n"/>
      <c r="P290" s="18" t="n"/>
      <c r="Q290" s="16" t="n"/>
    </row>
    <row r="291">
      <c r="E291" s="15" t="n"/>
      <c r="F291" s="15" t="n"/>
      <c r="G291" s="15" t="n"/>
      <c r="H291" s="16" t="n"/>
      <c r="I291" s="16" t="n"/>
      <c r="J291" s="17" t="n"/>
      <c r="K291" s="17" t="n"/>
      <c r="L291" s="17" t="n"/>
      <c r="M291" s="16" t="n"/>
      <c r="N291" s="16" t="n"/>
      <c r="O291" s="18" t="n"/>
      <c r="P291" s="18" t="n"/>
      <c r="Q291" s="16" t="n"/>
    </row>
    <row r="292">
      <c r="E292" s="15" t="n"/>
      <c r="F292" s="15" t="n"/>
      <c r="G292" s="15" t="n"/>
      <c r="H292" s="16" t="n"/>
      <c r="I292" s="16" t="n"/>
      <c r="J292" s="17" t="n"/>
      <c r="K292" s="17" t="n"/>
      <c r="L292" s="17" t="n"/>
      <c r="M292" s="16" t="n"/>
      <c r="N292" s="16" t="n"/>
      <c r="O292" s="18" t="n"/>
      <c r="P292" s="18" t="n"/>
      <c r="Q292" s="16" t="n"/>
    </row>
    <row r="293">
      <c r="E293" s="15" t="n"/>
      <c r="F293" s="15" t="n"/>
      <c r="G293" s="15" t="n"/>
      <c r="H293" s="16" t="n"/>
      <c r="I293" s="16" t="n"/>
      <c r="J293" s="17" t="n"/>
      <c r="K293" s="17" t="n"/>
      <c r="L293" s="17" t="n"/>
      <c r="M293" s="16" t="n"/>
      <c r="N293" s="16" t="n"/>
      <c r="O293" s="18" t="n"/>
      <c r="P293" s="18" t="n"/>
      <c r="Q293" s="16" t="n"/>
    </row>
    <row r="294">
      <c r="E294" s="15" t="n"/>
      <c r="F294" s="15" t="n"/>
      <c r="G294" s="15" t="n"/>
      <c r="H294" s="16" t="n"/>
      <c r="I294" s="16" t="n"/>
      <c r="J294" s="17" t="n"/>
      <c r="K294" s="17" t="n"/>
      <c r="L294" s="17" t="n"/>
      <c r="M294" s="16" t="n"/>
      <c r="N294" s="16" t="n"/>
      <c r="O294" s="18" t="n"/>
      <c r="P294" s="18" t="n"/>
      <c r="Q294" s="16" t="n"/>
    </row>
    <row r="295">
      <c r="E295" s="15" t="n"/>
      <c r="F295" s="15" t="n"/>
      <c r="G295" s="15" t="n"/>
      <c r="H295" s="16" t="n"/>
      <c r="I295" s="16" t="n"/>
      <c r="J295" s="17" t="n"/>
      <c r="K295" s="17" t="n"/>
      <c r="L295" s="17" t="n"/>
      <c r="M295" s="16" t="n"/>
      <c r="N295" s="16" t="n"/>
      <c r="O295" s="18" t="n"/>
      <c r="P295" s="18" t="n"/>
      <c r="Q295" s="16" t="n"/>
    </row>
    <row r="296">
      <c r="E296" s="15" t="n"/>
      <c r="F296" s="15" t="n"/>
      <c r="G296" s="15" t="n"/>
      <c r="H296" s="16" t="n"/>
      <c r="I296" s="16" t="n"/>
      <c r="J296" s="17" t="n"/>
      <c r="K296" s="17" t="n"/>
      <c r="L296" s="17" t="n"/>
      <c r="M296" s="16" t="n"/>
      <c r="N296" s="16" t="n"/>
      <c r="O296" s="18" t="n"/>
      <c r="P296" s="18" t="n"/>
      <c r="Q296" s="16" t="n"/>
    </row>
    <row r="297">
      <c r="E297" s="15" t="n"/>
      <c r="F297" s="15" t="n"/>
      <c r="G297" s="15" t="n"/>
      <c r="H297" s="16" t="n"/>
      <c r="I297" s="16" t="n"/>
      <c r="J297" s="17" t="n"/>
      <c r="K297" s="17" t="n"/>
      <c r="L297" s="17" t="n"/>
      <c r="M297" s="16" t="n"/>
      <c r="N297" s="16" t="n"/>
      <c r="O297" s="18" t="n"/>
      <c r="P297" s="18" t="n"/>
      <c r="Q297" s="16" t="n"/>
    </row>
    <row r="298">
      <c r="E298" s="15" t="n"/>
      <c r="F298" s="15" t="n"/>
      <c r="G298" s="15" t="n"/>
      <c r="H298" s="16" t="n"/>
      <c r="I298" s="16" t="n"/>
      <c r="J298" s="17" t="n"/>
      <c r="K298" s="17" t="n"/>
      <c r="L298" s="17" t="n"/>
      <c r="M298" s="16" t="n"/>
      <c r="N298" s="16" t="n"/>
      <c r="O298" s="18" t="n"/>
      <c r="P298" s="18" t="n"/>
      <c r="Q298" s="16" t="n"/>
    </row>
    <row r="299">
      <c r="E299" s="15" t="n"/>
      <c r="F299" s="15" t="n"/>
      <c r="G299" s="15" t="n"/>
      <c r="H299" s="16" t="n"/>
      <c r="I299" s="16" t="n"/>
      <c r="J299" s="17" t="n"/>
      <c r="K299" s="17" t="n"/>
      <c r="L299" s="17" t="n"/>
      <c r="M299" s="16" t="n"/>
      <c r="N299" s="16" t="n"/>
      <c r="O299" s="18" t="n"/>
      <c r="P299" s="18" t="n"/>
      <c r="Q299" s="16" t="n"/>
    </row>
    <row r="300">
      <c r="E300" s="15" t="n"/>
      <c r="F300" s="15" t="n"/>
      <c r="G300" s="15" t="n"/>
      <c r="H300" s="16" t="n"/>
      <c r="I300" s="16" t="n"/>
      <c r="J300" s="17" t="n"/>
      <c r="K300" s="17" t="n"/>
      <c r="L300" s="17" t="n"/>
      <c r="M300" s="16" t="n"/>
      <c r="N300" s="16" t="n"/>
      <c r="O300" s="18" t="n"/>
      <c r="P300" s="18" t="n"/>
      <c r="Q300" s="16" t="n"/>
    </row>
    <row r="301">
      <c r="E301" s="15" t="n"/>
      <c r="F301" s="15" t="n"/>
      <c r="G301" s="15" t="n"/>
      <c r="H301" s="16" t="n"/>
      <c r="I301" s="16" t="n"/>
      <c r="J301" s="17" t="n"/>
      <c r="K301" s="17" t="n"/>
      <c r="L301" s="17" t="n"/>
      <c r="M301" s="16" t="n"/>
      <c r="N301" s="16" t="n"/>
      <c r="O301" s="18" t="n"/>
      <c r="P301" s="18" t="n"/>
      <c r="Q301" s="16" t="n"/>
    </row>
    <row r="302">
      <c r="E302" s="15" t="n"/>
      <c r="F302" s="15" t="n"/>
      <c r="G302" s="15" t="n"/>
      <c r="H302" s="16" t="n"/>
      <c r="I302" s="16" t="n"/>
      <c r="J302" s="17" t="n"/>
      <c r="K302" s="17" t="n"/>
      <c r="L302" s="17" t="n"/>
      <c r="M302" s="16" t="n"/>
      <c r="N302" s="16" t="n"/>
      <c r="O302" s="18" t="n"/>
      <c r="P302" s="18" t="n"/>
      <c r="Q302" s="16" t="n"/>
    </row>
    <row r="303">
      <c r="E303" s="15" t="n"/>
      <c r="F303" s="15" t="n"/>
      <c r="G303" s="15" t="n"/>
      <c r="H303" s="16" t="n"/>
      <c r="I303" s="16" t="n"/>
      <c r="J303" s="17" t="n"/>
      <c r="K303" s="17" t="n"/>
      <c r="L303" s="17" t="n"/>
      <c r="M303" s="16" t="n"/>
      <c r="N303" s="16" t="n"/>
      <c r="O303" s="18" t="n"/>
      <c r="P303" s="18" t="n"/>
      <c r="Q303" s="16" t="n"/>
    </row>
    <row r="304">
      <c r="E304" s="15" t="n"/>
      <c r="F304" s="15" t="n"/>
      <c r="G304" s="15" t="n"/>
      <c r="H304" s="16" t="n"/>
      <c r="I304" s="16" t="n"/>
      <c r="J304" s="17" t="n"/>
      <c r="K304" s="17" t="n"/>
      <c r="L304" s="17" t="n"/>
      <c r="M304" s="16" t="n"/>
      <c r="N304" s="16" t="n"/>
      <c r="O304" s="18" t="n"/>
      <c r="P304" s="18" t="n"/>
      <c r="Q304" s="16" t="n"/>
    </row>
    <row r="305">
      <c r="E305" s="15" t="n"/>
      <c r="F305" s="15" t="n"/>
      <c r="G305" s="15" t="n"/>
      <c r="H305" s="16" t="n"/>
      <c r="I305" s="16" t="n"/>
      <c r="J305" s="17" t="n"/>
      <c r="K305" s="17" t="n"/>
      <c r="L305" s="17" t="n"/>
      <c r="M305" s="16" t="n"/>
      <c r="N305" s="16" t="n"/>
      <c r="O305" s="18" t="n"/>
      <c r="P305" s="18" t="n"/>
      <c r="Q305" s="16" t="n"/>
    </row>
    <row r="306">
      <c r="E306" s="15" t="n"/>
      <c r="F306" s="15" t="n"/>
      <c r="G306" s="15" t="n"/>
      <c r="H306" s="16" t="n"/>
      <c r="I306" s="16" t="n"/>
      <c r="J306" s="17" t="n"/>
      <c r="K306" s="17" t="n"/>
      <c r="L306" s="17" t="n"/>
      <c r="M306" s="16" t="n"/>
      <c r="N306" s="16" t="n"/>
      <c r="O306" s="18" t="n"/>
      <c r="P306" s="18" t="n"/>
      <c r="Q306" s="16" t="n"/>
    </row>
    <row r="307">
      <c r="E307" s="15" t="n"/>
      <c r="F307" s="15" t="n"/>
      <c r="G307" s="15" t="n"/>
      <c r="H307" s="16" t="n"/>
      <c r="I307" s="16" t="n"/>
      <c r="J307" s="17" t="n"/>
      <c r="K307" s="17" t="n"/>
      <c r="L307" s="17" t="n"/>
      <c r="M307" s="16" t="n"/>
      <c r="N307" s="16" t="n"/>
      <c r="O307" s="18" t="n"/>
      <c r="P307" s="18" t="n"/>
      <c r="Q307" s="16" t="n"/>
    </row>
    <row r="308">
      <c r="E308" s="15" t="n"/>
      <c r="F308" s="15" t="n"/>
      <c r="G308" s="15" t="n"/>
      <c r="H308" s="16" t="n"/>
      <c r="I308" s="16" t="n"/>
      <c r="J308" s="17" t="n"/>
      <c r="K308" s="17" t="n"/>
      <c r="L308" s="17" t="n"/>
      <c r="M308" s="16" t="n"/>
      <c r="N308" s="16" t="n"/>
      <c r="O308" s="18" t="n"/>
      <c r="P308" s="18" t="n"/>
      <c r="Q308" s="16" t="n"/>
    </row>
    <row r="309">
      <c r="E309" s="15" t="n"/>
      <c r="F309" s="15" t="n"/>
      <c r="G309" s="15" t="n"/>
      <c r="H309" s="16" t="n"/>
      <c r="I309" s="16" t="n"/>
      <c r="J309" s="17" t="n"/>
      <c r="K309" s="17" t="n"/>
      <c r="L309" s="17" t="n"/>
      <c r="M309" s="16" t="n"/>
      <c r="N309" s="16" t="n"/>
      <c r="O309" s="18" t="n"/>
      <c r="P309" s="18" t="n"/>
      <c r="Q309" s="16" t="n"/>
    </row>
    <row r="310">
      <c r="E310" s="15" t="n"/>
      <c r="F310" s="15" t="n"/>
      <c r="G310" s="15" t="n"/>
      <c r="H310" s="16" t="n"/>
      <c r="I310" s="16" t="n"/>
      <c r="J310" s="17" t="n"/>
      <c r="K310" s="17" t="n"/>
      <c r="L310" s="17" t="n"/>
      <c r="M310" s="16" t="n"/>
      <c r="N310" s="16" t="n"/>
      <c r="O310" s="18" t="n"/>
      <c r="P310" s="18" t="n"/>
      <c r="Q310" s="16" t="n"/>
    </row>
    <row r="311">
      <c r="E311" s="15" t="n"/>
      <c r="F311" s="15" t="n"/>
      <c r="G311" s="15" t="n"/>
      <c r="H311" s="16" t="n"/>
      <c r="I311" s="16" t="n"/>
      <c r="J311" s="17" t="n"/>
      <c r="K311" s="17" t="n"/>
      <c r="L311" s="17" t="n"/>
      <c r="M311" s="16" t="n"/>
      <c r="N311" s="16" t="n"/>
      <c r="O311" s="18" t="n"/>
      <c r="P311" s="18" t="n"/>
      <c r="Q311" s="16" t="n"/>
    </row>
    <row r="312">
      <c r="E312" s="15" t="n"/>
      <c r="F312" s="15" t="n"/>
      <c r="G312" s="15" t="n"/>
      <c r="H312" s="16" t="n"/>
      <c r="I312" s="16" t="n"/>
      <c r="J312" s="17" t="n"/>
      <c r="K312" s="17" t="n"/>
      <c r="L312" s="17" t="n"/>
      <c r="M312" s="16" t="n"/>
      <c r="N312" s="16" t="n"/>
      <c r="O312" s="18" t="n"/>
      <c r="P312" s="18" t="n"/>
      <c r="Q312" s="16" t="n"/>
    </row>
    <row r="313">
      <c r="E313" s="15" t="n"/>
      <c r="F313" s="15" t="n"/>
      <c r="G313" s="15" t="n"/>
      <c r="H313" s="16" t="n"/>
      <c r="I313" s="16" t="n"/>
      <c r="J313" s="17" t="n"/>
      <c r="K313" s="17" t="n"/>
      <c r="L313" s="17" t="n"/>
      <c r="M313" s="16" t="n"/>
      <c r="N313" s="16" t="n"/>
      <c r="O313" s="18" t="n"/>
      <c r="P313" s="18" t="n"/>
      <c r="Q313" s="16" t="n"/>
    </row>
    <row r="314">
      <c r="E314" s="15" t="n"/>
      <c r="F314" s="15" t="n"/>
      <c r="G314" s="15" t="n"/>
      <c r="H314" s="16" t="n"/>
      <c r="I314" s="16" t="n"/>
      <c r="J314" s="17" t="n"/>
      <c r="K314" s="17" t="n"/>
      <c r="L314" s="17" t="n"/>
      <c r="M314" s="16" t="n"/>
      <c r="N314" s="16" t="n"/>
      <c r="O314" s="18" t="n"/>
      <c r="P314" s="18" t="n"/>
      <c r="Q314" s="16" t="n"/>
    </row>
    <row r="315">
      <c r="E315" s="15" t="n"/>
      <c r="F315" s="15" t="n"/>
      <c r="G315" s="15" t="n"/>
      <c r="H315" s="16" t="n"/>
      <c r="I315" s="16" t="n"/>
      <c r="J315" s="17" t="n"/>
      <c r="K315" s="17" t="n"/>
      <c r="L315" s="17" t="n"/>
      <c r="M315" s="16" t="n"/>
      <c r="N315" s="16" t="n"/>
      <c r="O315" s="18" t="n"/>
      <c r="P315" s="18" t="n"/>
      <c r="Q315" s="16" t="n"/>
    </row>
    <row r="316">
      <c r="E316" s="15" t="n"/>
      <c r="F316" s="15" t="n"/>
      <c r="G316" s="15" t="n"/>
      <c r="H316" s="16" t="n"/>
      <c r="I316" s="16" t="n"/>
      <c r="J316" s="17" t="n"/>
      <c r="K316" s="17" t="n"/>
      <c r="L316" s="17" t="n"/>
      <c r="M316" s="16" t="n"/>
      <c r="N316" s="16" t="n"/>
      <c r="O316" s="18" t="n"/>
      <c r="P316" s="18" t="n"/>
      <c r="Q316" s="16" t="n"/>
    </row>
    <row r="317">
      <c r="E317" s="15" t="n"/>
      <c r="F317" s="15" t="n"/>
      <c r="G317" s="15" t="n"/>
      <c r="H317" s="16" t="n"/>
      <c r="I317" s="16" t="n"/>
      <c r="J317" s="17" t="n"/>
      <c r="K317" s="17" t="n"/>
      <c r="L317" s="17" t="n"/>
      <c r="M317" s="16" t="n"/>
      <c r="N317" s="16" t="n"/>
      <c r="O317" s="18" t="n"/>
      <c r="P317" s="18" t="n"/>
      <c r="Q317" s="16" t="n"/>
    </row>
    <row r="318">
      <c r="E318" s="15" t="n"/>
      <c r="F318" s="15" t="n"/>
      <c r="G318" s="15" t="n"/>
      <c r="H318" s="16" t="n"/>
      <c r="I318" s="16" t="n"/>
      <c r="J318" s="17" t="n"/>
      <c r="K318" s="17" t="n"/>
      <c r="L318" s="17" t="n"/>
      <c r="M318" s="16" t="n"/>
      <c r="N318" s="16" t="n"/>
      <c r="O318" s="18" t="n"/>
      <c r="P318" s="18" t="n"/>
      <c r="Q318" s="16" t="n"/>
    </row>
    <row r="319">
      <c r="E319" s="15" t="n"/>
      <c r="F319" s="15" t="n"/>
      <c r="G319" s="15" t="n"/>
      <c r="H319" s="16" t="n"/>
      <c r="I319" s="16" t="n"/>
      <c r="J319" s="17" t="n"/>
      <c r="K319" s="17" t="n"/>
      <c r="L319" s="17" t="n"/>
      <c r="M319" s="16" t="n"/>
      <c r="N319" s="16" t="n"/>
      <c r="O319" s="18" t="n"/>
      <c r="P319" s="18" t="n"/>
      <c r="Q319" s="16" t="n"/>
    </row>
    <row r="320">
      <c r="E320" s="15" t="n"/>
      <c r="F320" s="15" t="n"/>
      <c r="G320" s="15" t="n"/>
      <c r="H320" s="16" t="n"/>
      <c r="I320" s="16" t="n"/>
      <c r="J320" s="17" t="n"/>
      <c r="K320" s="17" t="n"/>
      <c r="L320" s="17" t="n"/>
      <c r="M320" s="16" t="n"/>
      <c r="N320" s="16" t="n"/>
      <c r="O320" s="18" t="n"/>
      <c r="P320" s="18" t="n"/>
      <c r="Q320" s="16" t="n"/>
    </row>
    <row r="321">
      <c r="E321" s="15" t="n"/>
      <c r="F321" s="15" t="n"/>
      <c r="G321" s="15" t="n"/>
      <c r="H321" s="16" t="n"/>
      <c r="I321" s="16" t="n"/>
      <c r="J321" s="17" t="n"/>
      <c r="K321" s="17" t="n"/>
      <c r="L321" s="17" t="n"/>
      <c r="M321" s="16" t="n"/>
      <c r="N321" s="16" t="n"/>
      <c r="O321" s="18" t="n"/>
      <c r="P321" s="18" t="n"/>
      <c r="Q321" s="16" t="n"/>
    </row>
    <row r="322">
      <c r="E322" s="15" t="n"/>
      <c r="F322" s="15" t="n"/>
      <c r="G322" s="15" t="n"/>
      <c r="H322" s="16" t="n"/>
      <c r="I322" s="16" t="n"/>
      <c r="J322" s="17" t="n"/>
      <c r="K322" s="17" t="n"/>
      <c r="L322" s="17" t="n"/>
      <c r="M322" s="16" t="n"/>
      <c r="N322" s="16" t="n"/>
      <c r="O322" s="18" t="n"/>
      <c r="P322" s="18" t="n"/>
      <c r="Q322" s="16" t="n"/>
    </row>
    <row r="323">
      <c r="E323" s="15" t="n"/>
      <c r="F323" s="15" t="n"/>
      <c r="G323" s="15" t="n"/>
      <c r="H323" s="16" t="n"/>
      <c r="I323" s="16" t="n"/>
      <c r="J323" s="17" t="n"/>
      <c r="K323" s="17" t="n"/>
      <c r="L323" s="17" t="n"/>
      <c r="M323" s="16" t="n"/>
      <c r="N323" s="16" t="n"/>
      <c r="O323" s="18" t="n"/>
      <c r="P323" s="18" t="n"/>
      <c r="Q323" s="16" t="n"/>
    </row>
    <row r="324">
      <c r="E324" s="15" t="n"/>
      <c r="F324" s="15" t="n"/>
      <c r="G324" s="15" t="n"/>
      <c r="H324" s="16" t="n"/>
      <c r="I324" s="16" t="n"/>
      <c r="J324" s="17" t="n"/>
      <c r="K324" s="17" t="n"/>
      <c r="L324" s="17" t="n"/>
      <c r="M324" s="16" t="n"/>
      <c r="N324" s="16" t="n"/>
      <c r="O324" s="18" t="n"/>
      <c r="P324" s="18" t="n"/>
      <c r="Q324" s="16" t="n"/>
    </row>
    <row r="325">
      <c r="E325" s="15" t="n"/>
      <c r="F325" s="15" t="n"/>
      <c r="G325" s="15" t="n"/>
      <c r="H325" s="16" t="n"/>
      <c r="I325" s="16" t="n"/>
      <c r="J325" s="17" t="n"/>
      <c r="K325" s="17" t="n"/>
      <c r="L325" s="17" t="n"/>
      <c r="M325" s="16" t="n"/>
      <c r="N325" s="16" t="n"/>
      <c r="O325" s="18" t="n"/>
      <c r="P325" s="18" t="n"/>
      <c r="Q325" s="16" t="n"/>
    </row>
    <row r="326">
      <c r="E326" s="15" t="n"/>
      <c r="F326" s="15" t="n"/>
      <c r="G326" s="15" t="n"/>
      <c r="H326" s="16" t="n"/>
      <c r="I326" s="16" t="n"/>
      <c r="J326" s="17" t="n"/>
      <c r="K326" s="17" t="n"/>
      <c r="L326" s="17" t="n"/>
      <c r="M326" s="16" t="n"/>
      <c r="N326" s="16" t="n"/>
      <c r="O326" s="18" t="n"/>
      <c r="P326" s="18" t="n"/>
      <c r="Q326" s="16" t="n"/>
    </row>
    <row r="327">
      <c r="E327" s="15" t="n"/>
      <c r="F327" s="15" t="n"/>
      <c r="G327" s="15" t="n"/>
      <c r="H327" s="16" t="n"/>
      <c r="I327" s="16" t="n"/>
      <c r="J327" s="17" t="n"/>
      <c r="K327" s="17" t="n"/>
      <c r="L327" s="17" t="n"/>
      <c r="M327" s="16" t="n"/>
      <c r="N327" s="16" t="n"/>
      <c r="O327" s="18" t="n"/>
      <c r="P327" s="18" t="n"/>
      <c r="Q327" s="16" t="n"/>
    </row>
    <row r="328">
      <c r="E328" s="15" t="n"/>
      <c r="F328" s="15" t="n"/>
      <c r="G328" s="15" t="n"/>
      <c r="H328" s="16" t="n"/>
      <c r="I328" s="16" t="n"/>
      <c r="J328" s="17" t="n"/>
      <c r="K328" s="17" t="n"/>
      <c r="L328" s="17" t="n"/>
      <c r="M328" s="16" t="n"/>
      <c r="N328" s="16" t="n"/>
      <c r="O328" s="18" t="n"/>
      <c r="P328" s="18" t="n"/>
      <c r="Q328" s="16" t="n"/>
    </row>
    <row r="329">
      <c r="E329" s="15" t="n"/>
      <c r="F329" s="15" t="n"/>
      <c r="G329" s="15" t="n"/>
      <c r="H329" s="16" t="n"/>
      <c r="I329" s="16" t="n"/>
      <c r="J329" s="17" t="n"/>
      <c r="K329" s="17" t="n"/>
      <c r="L329" s="17" t="n"/>
      <c r="M329" s="16" t="n"/>
      <c r="N329" s="16" t="n"/>
      <c r="O329" s="18" t="n"/>
      <c r="P329" s="18" t="n"/>
      <c r="Q329" s="16" t="n"/>
    </row>
    <row r="330">
      <c r="E330" s="15" t="n"/>
      <c r="F330" s="15" t="n"/>
      <c r="G330" s="15" t="n"/>
      <c r="H330" s="16" t="n"/>
      <c r="I330" s="16" t="n"/>
      <c r="J330" s="17" t="n"/>
      <c r="K330" s="17" t="n"/>
      <c r="L330" s="17" t="n"/>
      <c r="M330" s="16" t="n"/>
      <c r="N330" s="16" t="n"/>
      <c r="O330" s="18" t="n"/>
      <c r="P330" s="18" t="n"/>
      <c r="Q330" s="16" t="n"/>
    </row>
    <row r="331">
      <c r="E331" s="15" t="n"/>
      <c r="F331" s="15" t="n"/>
      <c r="G331" s="15" t="n"/>
      <c r="H331" s="16" t="n"/>
      <c r="I331" s="16" t="n"/>
      <c r="J331" s="17" t="n"/>
      <c r="K331" s="17" t="n"/>
      <c r="L331" s="17" t="n"/>
      <c r="M331" s="16" t="n"/>
      <c r="N331" s="16" t="n"/>
      <c r="O331" s="18" t="n"/>
      <c r="P331" s="18" t="n"/>
      <c r="Q331" s="16" t="n"/>
    </row>
    <row r="332">
      <c r="E332" s="15" t="n"/>
      <c r="F332" s="15" t="n"/>
      <c r="G332" s="15" t="n"/>
      <c r="H332" s="16" t="n"/>
      <c r="I332" s="16" t="n"/>
      <c r="J332" s="17" t="n"/>
      <c r="K332" s="17" t="n"/>
      <c r="L332" s="17" t="n"/>
      <c r="M332" s="16" t="n"/>
      <c r="N332" s="16" t="n"/>
      <c r="O332" s="18" t="n"/>
      <c r="P332" s="18" t="n"/>
      <c r="Q332" s="16" t="n"/>
    </row>
    <row r="333">
      <c r="E333" s="15" t="n"/>
      <c r="F333" s="15" t="n"/>
      <c r="G333" s="15" t="n"/>
      <c r="H333" s="16" t="n"/>
      <c r="I333" s="16" t="n"/>
      <c r="J333" s="17" t="n"/>
      <c r="K333" s="17" t="n"/>
      <c r="L333" s="17" t="n"/>
      <c r="M333" s="16" t="n"/>
      <c r="N333" s="16" t="n"/>
      <c r="O333" s="18" t="n"/>
      <c r="P333" s="18" t="n"/>
      <c r="Q333" s="16" t="n"/>
    </row>
    <row r="334">
      <c r="E334" s="15" t="n"/>
      <c r="F334" s="15" t="n"/>
      <c r="G334" s="15" t="n"/>
      <c r="H334" s="16" t="n"/>
      <c r="I334" s="16" t="n"/>
      <c r="J334" s="17" t="n"/>
      <c r="K334" s="17" t="n"/>
      <c r="L334" s="17" t="n"/>
      <c r="M334" s="16" t="n"/>
      <c r="N334" s="16" t="n"/>
      <c r="O334" s="18" t="n"/>
      <c r="P334" s="18" t="n"/>
      <c r="Q334" s="16" t="n"/>
    </row>
    <row r="335">
      <c r="E335" s="15" t="n"/>
      <c r="F335" s="15" t="n"/>
      <c r="G335" s="15" t="n"/>
      <c r="H335" s="16" t="n"/>
      <c r="I335" s="16" t="n"/>
      <c r="J335" s="17" t="n"/>
      <c r="K335" s="17" t="n"/>
      <c r="L335" s="17" t="n"/>
      <c r="M335" s="16" t="n"/>
      <c r="N335" s="16" t="n"/>
      <c r="O335" s="18" t="n"/>
      <c r="P335" s="18" t="n"/>
      <c r="Q335" s="16" t="n"/>
    </row>
    <row r="336">
      <c r="E336" s="15" t="n"/>
      <c r="F336" s="15" t="n"/>
      <c r="G336" s="15" t="n"/>
      <c r="H336" s="16" t="n"/>
      <c r="I336" s="16" t="n"/>
      <c r="J336" s="17" t="n"/>
      <c r="K336" s="17" t="n"/>
      <c r="L336" s="17" t="n"/>
      <c r="M336" s="16" t="n"/>
      <c r="N336" s="16" t="n"/>
      <c r="O336" s="18" t="n"/>
      <c r="P336" s="18" t="n"/>
      <c r="Q336" s="16" t="n"/>
    </row>
    <row r="337">
      <c r="E337" s="15" t="n"/>
      <c r="F337" s="15" t="n"/>
      <c r="G337" s="15" t="n"/>
      <c r="H337" s="16" t="n"/>
      <c r="I337" s="16" t="n"/>
      <c r="J337" s="17" t="n"/>
      <c r="K337" s="17" t="n"/>
      <c r="L337" s="17" t="n"/>
      <c r="M337" s="16" t="n"/>
      <c r="N337" s="16" t="n"/>
      <c r="O337" s="18" t="n"/>
      <c r="P337" s="18" t="n"/>
      <c r="Q337" s="16" t="n"/>
    </row>
    <row r="338">
      <c r="E338" s="15" t="n"/>
      <c r="F338" s="15" t="n"/>
      <c r="G338" s="15" t="n"/>
      <c r="H338" s="16" t="n"/>
      <c r="I338" s="16" t="n"/>
      <c r="J338" s="17" t="n"/>
      <c r="K338" s="17" t="n"/>
      <c r="L338" s="17" t="n"/>
      <c r="M338" s="16" t="n"/>
      <c r="N338" s="16" t="n"/>
      <c r="O338" s="18" t="n"/>
      <c r="P338" s="18" t="n"/>
      <c r="Q338" s="16" t="n"/>
    </row>
    <row r="339">
      <c r="E339" s="15" t="n"/>
      <c r="F339" s="15" t="n"/>
      <c r="G339" s="15" t="n"/>
      <c r="H339" s="16" t="n"/>
      <c r="I339" s="16" t="n"/>
      <c r="J339" s="17" t="n"/>
      <c r="K339" s="17" t="n"/>
      <c r="L339" s="17" t="n"/>
      <c r="M339" s="16" t="n"/>
      <c r="N339" s="16" t="n"/>
      <c r="O339" s="18" t="n"/>
      <c r="P339" s="18" t="n"/>
      <c r="Q339" s="16" t="n"/>
    </row>
    <row r="340">
      <c r="E340" s="15" t="n"/>
      <c r="F340" s="15" t="n"/>
      <c r="G340" s="15" t="n"/>
      <c r="H340" s="16" t="n"/>
      <c r="I340" s="16" t="n"/>
      <c r="J340" s="17" t="n"/>
      <c r="K340" s="17" t="n"/>
      <c r="L340" s="17" t="n"/>
      <c r="M340" s="16" t="n"/>
      <c r="N340" s="16" t="n"/>
      <c r="O340" s="18" t="n"/>
      <c r="P340" s="18" t="n"/>
      <c r="Q340" s="16" t="n"/>
    </row>
    <row r="341">
      <c r="E341" s="15" t="n"/>
      <c r="F341" s="15" t="n"/>
      <c r="G341" s="15" t="n"/>
      <c r="H341" s="16" t="n"/>
      <c r="I341" s="16" t="n"/>
      <c r="J341" s="17" t="n"/>
      <c r="K341" s="17" t="n"/>
      <c r="L341" s="17" t="n"/>
      <c r="M341" s="16" t="n"/>
      <c r="N341" s="16" t="n"/>
      <c r="O341" s="18" t="n"/>
      <c r="P341" s="18" t="n"/>
      <c r="Q341" s="16" t="n"/>
    </row>
    <row r="342">
      <c r="E342" s="15" t="n"/>
      <c r="F342" s="15" t="n"/>
      <c r="G342" s="15" t="n"/>
      <c r="H342" s="16" t="n"/>
      <c r="I342" s="16" t="n"/>
      <c r="J342" s="17" t="n"/>
      <c r="K342" s="17" t="n"/>
      <c r="L342" s="17" t="n"/>
      <c r="M342" s="16" t="n"/>
      <c r="N342" s="16" t="n"/>
      <c r="O342" s="18" t="n"/>
      <c r="P342" s="18" t="n"/>
      <c r="Q342" s="16" t="n"/>
    </row>
    <row r="343">
      <c r="E343" s="15" t="n"/>
      <c r="F343" s="15" t="n"/>
      <c r="G343" s="15" t="n"/>
      <c r="H343" s="16" t="n"/>
      <c r="I343" s="16" t="n"/>
      <c r="J343" s="17" t="n"/>
      <c r="K343" s="17" t="n"/>
      <c r="L343" s="17" t="n"/>
      <c r="M343" s="16" t="n"/>
      <c r="N343" s="16" t="n"/>
      <c r="O343" s="18" t="n"/>
      <c r="P343" s="18" t="n"/>
      <c r="Q343" s="16" t="n"/>
    </row>
    <row r="344">
      <c r="E344" s="15" t="n"/>
      <c r="F344" s="15" t="n"/>
      <c r="G344" s="15" t="n"/>
      <c r="H344" s="16" t="n"/>
      <c r="I344" s="16" t="n"/>
      <c r="J344" s="17" t="n"/>
      <c r="K344" s="17" t="n"/>
      <c r="L344" s="17" t="n"/>
      <c r="M344" s="16" t="n"/>
      <c r="N344" s="16" t="n"/>
      <c r="O344" s="18" t="n"/>
      <c r="P344" s="18" t="n"/>
      <c r="Q344" s="16" t="n"/>
    </row>
    <row r="345">
      <c r="E345" s="15" t="n"/>
      <c r="F345" s="15" t="n"/>
      <c r="G345" s="15" t="n"/>
      <c r="H345" s="16" t="n"/>
      <c r="I345" s="16" t="n"/>
      <c r="J345" s="17" t="n"/>
      <c r="K345" s="17" t="n"/>
      <c r="L345" s="17" t="n"/>
      <c r="M345" s="16" t="n"/>
      <c r="N345" s="16" t="n"/>
      <c r="O345" s="18" t="n"/>
      <c r="P345" s="18" t="n"/>
      <c r="Q345" s="16" t="n"/>
    </row>
    <row r="346">
      <c r="E346" s="15" t="n"/>
      <c r="F346" s="15" t="n"/>
      <c r="G346" s="15" t="n"/>
      <c r="H346" s="16" t="n"/>
      <c r="I346" s="16" t="n"/>
      <c r="J346" s="17" t="n"/>
      <c r="K346" s="17" t="n"/>
      <c r="L346" s="17" t="n"/>
      <c r="M346" s="16" t="n"/>
      <c r="N346" s="16" t="n"/>
      <c r="O346" s="18" t="n"/>
      <c r="P346" s="18" t="n"/>
      <c r="Q346" s="16" t="n"/>
    </row>
    <row r="347">
      <c r="E347" s="15" t="n"/>
      <c r="F347" s="15" t="n"/>
      <c r="G347" s="15" t="n"/>
      <c r="H347" s="16" t="n"/>
      <c r="I347" s="16" t="n"/>
      <c r="J347" s="17" t="n"/>
      <c r="K347" s="17" t="n"/>
      <c r="L347" s="17" t="n"/>
      <c r="M347" s="16" t="n"/>
      <c r="N347" s="16" t="n"/>
      <c r="O347" s="18" t="n"/>
      <c r="P347" s="18" t="n"/>
      <c r="Q347" s="16" t="n"/>
    </row>
    <row r="348">
      <c r="E348" s="15" t="n"/>
      <c r="F348" s="15" t="n"/>
      <c r="G348" s="15" t="n"/>
      <c r="H348" s="16" t="n"/>
      <c r="I348" s="16" t="n"/>
      <c r="J348" s="17" t="n"/>
      <c r="K348" s="17" t="n"/>
      <c r="L348" s="17" t="n"/>
      <c r="M348" s="16" t="n"/>
      <c r="N348" s="16" t="n"/>
      <c r="O348" s="18" t="n"/>
      <c r="P348" s="18" t="n"/>
      <c r="Q348" s="16" t="n"/>
    </row>
    <row r="349">
      <c r="E349" s="15" t="n"/>
      <c r="F349" s="15" t="n"/>
      <c r="G349" s="15" t="n"/>
      <c r="H349" s="16" t="n"/>
      <c r="I349" s="16" t="n"/>
      <c r="J349" s="17" t="n"/>
      <c r="K349" s="17" t="n"/>
      <c r="L349" s="17" t="n"/>
      <c r="M349" s="16" t="n"/>
      <c r="N349" s="16" t="n"/>
      <c r="O349" s="18" t="n"/>
      <c r="P349" s="18" t="n"/>
      <c r="Q349" s="16" t="n"/>
    </row>
    <row r="350">
      <c r="E350" s="15" t="n"/>
      <c r="F350" s="15" t="n"/>
      <c r="G350" s="15" t="n"/>
      <c r="H350" s="16" t="n"/>
      <c r="I350" s="16" t="n"/>
      <c r="J350" s="17" t="n"/>
      <c r="K350" s="17" t="n"/>
      <c r="L350" s="17" t="n"/>
      <c r="M350" s="16" t="n"/>
      <c r="N350" s="16" t="n"/>
      <c r="O350" s="18" t="n"/>
      <c r="P350" s="18" t="n"/>
      <c r="Q350" s="16" t="n"/>
    </row>
    <row r="351">
      <c r="E351" s="15" t="n"/>
      <c r="F351" s="15" t="n"/>
      <c r="G351" s="15" t="n"/>
      <c r="H351" s="16" t="n"/>
      <c r="I351" s="16" t="n"/>
      <c r="J351" s="17" t="n"/>
      <c r="K351" s="17" t="n"/>
      <c r="L351" s="17" t="n"/>
      <c r="M351" s="16" t="n"/>
      <c r="N351" s="16" t="n"/>
      <c r="O351" s="18" t="n"/>
      <c r="P351" s="18" t="n"/>
      <c r="Q351" s="16" t="n"/>
    </row>
    <row r="352">
      <c r="E352" s="15" t="n"/>
      <c r="F352" s="15" t="n"/>
      <c r="G352" s="15" t="n"/>
      <c r="H352" s="16" t="n"/>
      <c r="I352" s="16" t="n"/>
      <c r="J352" s="17" t="n"/>
      <c r="K352" s="17" t="n"/>
      <c r="L352" s="17" t="n"/>
      <c r="M352" s="16" t="n"/>
      <c r="N352" s="16" t="n"/>
      <c r="O352" s="18" t="n"/>
      <c r="P352" s="18" t="n"/>
      <c r="Q352" s="16" t="n"/>
    </row>
    <row r="353">
      <c r="E353" s="15" t="n"/>
      <c r="F353" s="15" t="n"/>
      <c r="G353" s="15" t="n"/>
      <c r="H353" s="16" t="n"/>
      <c r="I353" s="16" t="n"/>
      <c r="J353" s="17" t="n"/>
      <c r="K353" s="17" t="n"/>
      <c r="L353" s="17" t="n"/>
      <c r="M353" s="16" t="n"/>
      <c r="N353" s="16" t="n"/>
      <c r="O353" s="18" t="n"/>
      <c r="P353" s="18" t="n"/>
      <c r="Q353" s="16" t="n"/>
    </row>
    <row r="354">
      <c r="E354" s="15" t="n"/>
      <c r="F354" s="15" t="n"/>
      <c r="G354" s="15" t="n"/>
      <c r="H354" s="16" t="n"/>
      <c r="I354" s="16" t="n"/>
      <c r="J354" s="17" t="n"/>
      <c r="K354" s="17" t="n"/>
      <c r="L354" s="17" t="n"/>
      <c r="M354" s="16" t="n"/>
      <c r="N354" s="16" t="n"/>
      <c r="O354" s="18" t="n"/>
      <c r="P354" s="18" t="n"/>
      <c r="Q354" s="16" t="n"/>
    </row>
    <row r="355">
      <c r="E355" s="15" t="n"/>
      <c r="F355" s="15" t="n"/>
      <c r="G355" s="15" t="n"/>
      <c r="H355" s="16" t="n"/>
      <c r="I355" s="16" t="n"/>
      <c r="J355" s="17" t="n"/>
      <c r="K355" s="17" t="n"/>
      <c r="L355" s="17" t="n"/>
      <c r="M355" s="16" t="n"/>
      <c r="N355" s="16" t="n"/>
      <c r="O355" s="18" t="n"/>
      <c r="P355" s="18" t="n"/>
      <c r="Q355" s="16" t="n"/>
    </row>
    <row r="356">
      <c r="E356" s="15" t="n"/>
      <c r="F356" s="15" t="n"/>
      <c r="G356" s="15" t="n"/>
      <c r="H356" s="16" t="n"/>
      <c r="I356" s="16" t="n"/>
      <c r="J356" s="17" t="n"/>
      <c r="K356" s="17" t="n"/>
      <c r="L356" s="17" t="n"/>
      <c r="M356" s="16" t="n"/>
      <c r="N356" s="16" t="n"/>
      <c r="O356" s="18" t="n"/>
      <c r="P356" s="18" t="n"/>
      <c r="Q356" s="16" t="n"/>
    </row>
    <row r="357">
      <c r="E357" s="15" t="n"/>
      <c r="F357" s="15" t="n"/>
      <c r="G357" s="15" t="n"/>
      <c r="H357" s="16" t="n"/>
      <c r="I357" s="16" t="n"/>
      <c r="J357" s="17" t="n"/>
      <c r="K357" s="17" t="n"/>
      <c r="L357" s="17" t="n"/>
      <c r="M357" s="16" t="n"/>
      <c r="N357" s="16" t="n"/>
      <c r="O357" s="18" t="n"/>
      <c r="P357" s="18" t="n"/>
      <c r="Q357" s="16" t="n"/>
    </row>
    <row r="358">
      <c r="E358" s="15" t="n"/>
      <c r="F358" s="15" t="n"/>
      <c r="G358" s="15" t="n"/>
      <c r="H358" s="16" t="n"/>
      <c r="I358" s="16" t="n"/>
      <c r="J358" s="17" t="n"/>
      <c r="K358" s="17" t="n"/>
      <c r="L358" s="17" t="n"/>
      <c r="M358" s="16" t="n"/>
      <c r="N358" s="16" t="n"/>
      <c r="O358" s="18" t="n"/>
      <c r="P358" s="18" t="n"/>
      <c r="Q358" s="16" t="n"/>
    </row>
    <row r="359">
      <c r="E359" s="15" t="n"/>
      <c r="F359" s="15" t="n"/>
      <c r="G359" s="15" t="n"/>
      <c r="H359" s="16" t="n"/>
      <c r="I359" s="16" t="n"/>
      <c r="J359" s="17" t="n"/>
      <c r="K359" s="17" t="n"/>
      <c r="L359" s="17" t="n"/>
      <c r="M359" s="16" t="n"/>
      <c r="N359" s="16" t="n"/>
      <c r="O359" s="18" t="n"/>
      <c r="P359" s="18" t="n"/>
      <c r="Q359" s="16" t="n"/>
    </row>
    <row r="360">
      <c r="E360" s="15" t="n"/>
      <c r="F360" s="15" t="n"/>
      <c r="G360" s="15" t="n"/>
      <c r="H360" s="16" t="n"/>
      <c r="I360" s="16" t="n"/>
      <c r="J360" s="17" t="n"/>
      <c r="K360" s="17" t="n"/>
      <c r="L360" s="17" t="n"/>
      <c r="M360" s="16" t="n"/>
      <c r="N360" s="16" t="n"/>
      <c r="O360" s="18" t="n"/>
      <c r="P360" s="18" t="n"/>
      <c r="Q360" s="16" t="n"/>
    </row>
    <row r="361">
      <c r="E361" s="15" t="n"/>
      <c r="F361" s="15" t="n"/>
      <c r="G361" s="15" t="n"/>
      <c r="H361" s="16" t="n"/>
      <c r="I361" s="16" t="n"/>
      <c r="J361" s="17" t="n"/>
      <c r="K361" s="17" t="n"/>
      <c r="L361" s="17" t="n"/>
      <c r="M361" s="16" t="n"/>
      <c r="N361" s="16" t="n"/>
      <c r="O361" s="18" t="n"/>
      <c r="P361" s="18" t="n"/>
      <c r="Q361" s="16" t="n"/>
    </row>
    <row r="362">
      <c r="E362" s="15" t="n"/>
      <c r="F362" s="15" t="n"/>
      <c r="G362" s="15" t="n"/>
      <c r="H362" s="16" t="n"/>
      <c r="I362" s="16" t="n"/>
      <c r="J362" s="17" t="n"/>
      <c r="K362" s="17" t="n"/>
      <c r="L362" s="17" t="n"/>
      <c r="M362" s="16" t="n"/>
      <c r="N362" s="16" t="n"/>
      <c r="O362" s="18" t="n"/>
      <c r="P362" s="18" t="n"/>
      <c r="Q362" s="16" t="n"/>
    </row>
    <row r="363">
      <c r="E363" s="15" t="n"/>
      <c r="F363" s="15" t="n"/>
      <c r="G363" s="15" t="n"/>
      <c r="H363" s="16" t="n"/>
      <c r="I363" s="16" t="n"/>
      <c r="J363" s="17" t="n"/>
      <c r="K363" s="17" t="n"/>
      <c r="L363" s="17" t="n"/>
      <c r="M363" s="16" t="n"/>
      <c r="N363" s="16" t="n"/>
      <c r="O363" s="18" t="n"/>
      <c r="P363" s="18" t="n"/>
      <c r="Q363" s="16" t="n"/>
    </row>
    <row r="364">
      <c r="E364" s="15" t="n"/>
      <c r="F364" s="15" t="n"/>
      <c r="G364" s="15" t="n"/>
      <c r="H364" s="16" t="n"/>
      <c r="I364" s="16" t="n"/>
      <c r="J364" s="17" t="n"/>
      <c r="K364" s="17" t="n"/>
      <c r="L364" s="17" t="n"/>
      <c r="M364" s="16" t="n"/>
      <c r="N364" s="16" t="n"/>
      <c r="O364" s="18" t="n"/>
      <c r="P364" s="18" t="n"/>
      <c r="Q364" s="16" t="n"/>
    </row>
    <row r="365">
      <c r="E365" s="15" t="n"/>
      <c r="F365" s="15" t="n"/>
      <c r="G365" s="15" t="n"/>
      <c r="H365" s="16" t="n"/>
      <c r="I365" s="16" t="n"/>
      <c r="J365" s="17" t="n"/>
      <c r="K365" s="17" t="n"/>
      <c r="L365" s="17" t="n"/>
      <c r="M365" s="16" t="n"/>
      <c r="N365" s="16" t="n"/>
      <c r="O365" s="18" t="n"/>
      <c r="P365" s="18" t="n"/>
      <c r="Q365" s="16" t="n"/>
    </row>
    <row r="366">
      <c r="E366" s="15" t="n"/>
      <c r="F366" s="15" t="n"/>
      <c r="G366" s="15" t="n"/>
      <c r="H366" s="16" t="n"/>
      <c r="I366" s="16" t="n"/>
      <c r="J366" s="17" t="n"/>
      <c r="K366" s="17" t="n"/>
      <c r="L366" s="17" t="n"/>
      <c r="M366" s="16" t="n"/>
      <c r="N366" s="16" t="n"/>
      <c r="O366" s="18" t="n"/>
      <c r="P366" s="18" t="n"/>
      <c r="Q366" s="16" t="n"/>
    </row>
    <row r="367">
      <c r="E367" s="15" t="n"/>
      <c r="F367" s="15" t="n"/>
      <c r="G367" s="15" t="n"/>
      <c r="H367" s="16" t="n"/>
      <c r="I367" s="16" t="n"/>
      <c r="J367" s="17" t="n"/>
      <c r="K367" s="17" t="n"/>
      <c r="L367" s="17" t="n"/>
      <c r="M367" s="16" t="n"/>
      <c r="N367" s="16" t="n"/>
      <c r="O367" s="18" t="n"/>
      <c r="P367" s="18" t="n"/>
      <c r="Q367" s="16" t="n"/>
    </row>
    <row r="368">
      <c r="E368" s="15" t="n"/>
      <c r="F368" s="15" t="n"/>
      <c r="G368" s="15" t="n"/>
      <c r="H368" s="16" t="n"/>
      <c r="I368" s="16" t="n"/>
      <c r="J368" s="17" t="n"/>
      <c r="K368" s="17" t="n"/>
      <c r="L368" s="17" t="n"/>
      <c r="M368" s="16" t="n"/>
      <c r="N368" s="16" t="n"/>
      <c r="O368" s="18" t="n"/>
      <c r="P368" s="18" t="n"/>
      <c r="Q368" s="16" t="n"/>
    </row>
    <row r="369">
      <c r="E369" s="15" t="n"/>
      <c r="F369" s="15" t="n"/>
      <c r="G369" s="15" t="n"/>
      <c r="H369" s="16" t="n"/>
      <c r="I369" s="16" t="n"/>
      <c r="J369" s="17" t="n"/>
      <c r="K369" s="17" t="n"/>
      <c r="L369" s="17" t="n"/>
      <c r="M369" s="16" t="n"/>
      <c r="N369" s="16" t="n"/>
      <c r="O369" s="18" t="n"/>
      <c r="P369" s="18" t="n"/>
      <c r="Q369" s="16" t="n"/>
    </row>
    <row r="370">
      <c r="E370" s="15" t="n"/>
      <c r="F370" s="15" t="n"/>
      <c r="G370" s="15" t="n"/>
      <c r="H370" s="16" t="n"/>
      <c r="I370" s="16" t="n"/>
      <c r="J370" s="17" t="n"/>
      <c r="K370" s="17" t="n"/>
      <c r="L370" s="17" t="n"/>
      <c r="M370" s="16" t="n"/>
      <c r="N370" s="16" t="n"/>
      <c r="O370" s="18" t="n"/>
      <c r="P370" s="18" t="n"/>
      <c r="Q370" s="16" t="n"/>
    </row>
    <row r="371">
      <c r="E371" s="15" t="n"/>
      <c r="F371" s="15" t="n"/>
      <c r="G371" s="15" t="n"/>
      <c r="H371" s="16" t="n"/>
      <c r="I371" s="16" t="n"/>
      <c r="J371" s="17" t="n"/>
      <c r="K371" s="17" t="n"/>
      <c r="L371" s="17" t="n"/>
      <c r="M371" s="16" t="n"/>
      <c r="N371" s="16" t="n"/>
      <c r="O371" s="18" t="n"/>
      <c r="P371" s="18" t="n"/>
      <c r="Q371" s="16" t="n"/>
    </row>
    <row r="372">
      <c r="E372" s="15" t="n"/>
      <c r="F372" s="15" t="n"/>
      <c r="G372" s="15" t="n"/>
      <c r="H372" s="16" t="n"/>
      <c r="I372" s="16" t="n"/>
      <c r="J372" s="17" t="n"/>
      <c r="K372" s="17" t="n"/>
      <c r="L372" s="17" t="n"/>
      <c r="M372" s="16" t="n"/>
      <c r="N372" s="16" t="n"/>
      <c r="O372" s="18" t="n"/>
      <c r="P372" s="18" t="n"/>
      <c r="Q372" s="16" t="n"/>
    </row>
    <row r="373">
      <c r="E373" s="15" t="n"/>
      <c r="F373" s="15" t="n"/>
      <c r="G373" s="15" t="n"/>
      <c r="H373" s="16" t="n"/>
      <c r="I373" s="16" t="n"/>
      <c r="J373" s="17" t="n"/>
      <c r="K373" s="17" t="n"/>
      <c r="L373" s="17" t="n"/>
      <c r="M373" s="16" t="n"/>
      <c r="N373" s="16" t="n"/>
      <c r="O373" s="18" t="n"/>
      <c r="P373" s="18" t="n"/>
      <c r="Q373" s="16" t="n"/>
    </row>
    <row r="374">
      <c r="E374" s="15" t="n"/>
      <c r="F374" s="15" t="n"/>
      <c r="G374" s="15" t="n"/>
      <c r="H374" s="16" t="n"/>
      <c r="I374" s="16" t="n"/>
      <c r="J374" s="17" t="n"/>
      <c r="K374" s="17" t="n"/>
      <c r="L374" s="17" t="n"/>
      <c r="M374" s="16" t="n"/>
      <c r="N374" s="16" t="n"/>
      <c r="O374" s="18" t="n"/>
      <c r="P374" s="18" t="n"/>
      <c r="Q374" s="16" t="n"/>
    </row>
    <row r="375">
      <c r="E375" s="15" t="n"/>
      <c r="F375" s="15" t="n"/>
      <c r="G375" s="15" t="n"/>
      <c r="H375" s="16" t="n"/>
      <c r="I375" s="16" t="n"/>
      <c r="J375" s="17" t="n"/>
      <c r="K375" s="17" t="n"/>
      <c r="L375" s="17" t="n"/>
      <c r="M375" s="16" t="n"/>
      <c r="N375" s="16" t="n"/>
      <c r="O375" s="18" t="n"/>
      <c r="P375" s="18" t="n"/>
      <c r="Q375" s="16" t="n"/>
    </row>
    <row r="376">
      <c r="E376" s="15" t="n"/>
      <c r="F376" s="15" t="n"/>
      <c r="G376" s="15" t="n"/>
      <c r="H376" s="16" t="n"/>
      <c r="I376" s="16" t="n"/>
      <c r="J376" s="17" t="n"/>
      <c r="K376" s="17" t="n"/>
      <c r="L376" s="17" t="n"/>
      <c r="M376" s="16" t="n"/>
      <c r="N376" s="16" t="n"/>
      <c r="O376" s="18" t="n"/>
      <c r="P376" s="18" t="n"/>
      <c r="Q376" s="16" t="n"/>
    </row>
    <row r="377">
      <c r="E377" s="15" t="n"/>
      <c r="F377" s="15" t="n"/>
      <c r="G377" s="15" t="n"/>
      <c r="H377" s="16" t="n"/>
      <c r="I377" s="16" t="n"/>
      <c r="J377" s="17" t="n"/>
      <c r="K377" s="17" t="n"/>
      <c r="L377" s="17" t="n"/>
      <c r="M377" s="16" t="n"/>
      <c r="N377" s="16" t="n"/>
      <c r="O377" s="18" t="n"/>
      <c r="P377" s="18" t="n"/>
      <c r="Q377" s="16" t="n"/>
    </row>
    <row r="378">
      <c r="E378" s="15" t="n"/>
      <c r="F378" s="15" t="n"/>
      <c r="G378" s="15" t="n"/>
      <c r="H378" s="16" t="n"/>
      <c r="I378" s="16" t="n"/>
      <c r="J378" s="17" t="n"/>
      <c r="K378" s="17" t="n"/>
      <c r="L378" s="17" t="n"/>
      <c r="M378" s="16" t="n"/>
      <c r="N378" s="16" t="n"/>
      <c r="O378" s="18" t="n"/>
      <c r="P378" s="18" t="n"/>
      <c r="Q378" s="16" t="n"/>
    </row>
    <row r="379">
      <c r="E379" s="15" t="n"/>
      <c r="F379" s="15" t="n"/>
      <c r="G379" s="15" t="n"/>
      <c r="H379" s="16" t="n"/>
      <c r="I379" s="16" t="n"/>
      <c r="J379" s="17" t="n"/>
      <c r="K379" s="17" t="n"/>
      <c r="L379" s="17" t="n"/>
      <c r="M379" s="16" t="n"/>
      <c r="N379" s="16" t="n"/>
      <c r="O379" s="18" t="n"/>
      <c r="P379" s="18" t="n"/>
      <c r="Q379" s="16" t="n"/>
    </row>
    <row r="380">
      <c r="E380" s="15" t="n"/>
      <c r="F380" s="15" t="n"/>
      <c r="G380" s="15" t="n"/>
      <c r="H380" s="16" t="n"/>
      <c r="I380" s="16" t="n"/>
      <c r="J380" s="17" t="n"/>
      <c r="K380" s="17" t="n"/>
      <c r="L380" s="17" t="n"/>
      <c r="M380" s="16" t="n"/>
      <c r="N380" s="16" t="n"/>
      <c r="O380" s="18" t="n"/>
      <c r="P380" s="18" t="n"/>
      <c r="Q380" s="16" t="n"/>
    </row>
    <row r="381">
      <c r="E381" s="15" t="n"/>
      <c r="F381" s="15" t="n"/>
      <c r="G381" s="15" t="n"/>
      <c r="H381" s="16" t="n"/>
      <c r="I381" s="16" t="n"/>
      <c r="J381" s="17" t="n"/>
      <c r="K381" s="17" t="n"/>
      <c r="L381" s="17" t="n"/>
      <c r="M381" s="16" t="n"/>
      <c r="N381" s="16" t="n"/>
      <c r="O381" s="18" t="n"/>
      <c r="P381" s="18" t="n"/>
      <c r="Q381" s="16" t="n"/>
    </row>
    <row r="382">
      <c r="E382" s="15" t="n"/>
      <c r="F382" s="15" t="n"/>
      <c r="G382" s="15" t="n"/>
      <c r="H382" s="16" t="n"/>
      <c r="I382" s="16" t="n"/>
      <c r="J382" s="17" t="n"/>
      <c r="K382" s="17" t="n"/>
      <c r="L382" s="17" t="n"/>
      <c r="M382" s="16" t="n"/>
      <c r="N382" s="16" t="n"/>
      <c r="O382" s="18" t="n"/>
      <c r="P382" s="18" t="n"/>
      <c r="Q382" s="16" t="n"/>
    </row>
    <row r="383">
      <c r="E383" s="15" t="n"/>
      <c r="F383" s="15" t="n"/>
      <c r="G383" s="15" t="n"/>
      <c r="H383" s="16" t="n"/>
      <c r="I383" s="16" t="n"/>
      <c r="J383" s="17" t="n"/>
      <c r="K383" s="17" t="n"/>
      <c r="L383" s="17" t="n"/>
      <c r="M383" s="16" t="n"/>
      <c r="N383" s="16" t="n"/>
      <c r="O383" s="18" t="n"/>
      <c r="P383" s="18" t="n"/>
      <c r="Q383" s="16" t="n"/>
    </row>
    <row r="384">
      <c r="E384" s="15" t="n"/>
      <c r="F384" s="15" t="n"/>
      <c r="G384" s="15" t="n"/>
      <c r="H384" s="16" t="n"/>
      <c r="I384" s="16" t="n"/>
      <c r="J384" s="17" t="n"/>
      <c r="K384" s="17" t="n"/>
      <c r="L384" s="17" t="n"/>
      <c r="M384" s="16" t="n"/>
      <c r="N384" s="16" t="n"/>
      <c r="O384" s="18" t="n"/>
      <c r="P384" s="18" t="n"/>
      <c r="Q384" s="16" t="n"/>
    </row>
    <row r="385">
      <c r="E385" s="15" t="n"/>
      <c r="F385" s="15" t="n"/>
      <c r="G385" s="15" t="n"/>
      <c r="H385" s="16" t="n"/>
      <c r="I385" s="16" t="n"/>
      <c r="J385" s="17" t="n"/>
      <c r="K385" s="17" t="n"/>
      <c r="L385" s="17" t="n"/>
      <c r="M385" s="16" t="n"/>
      <c r="N385" s="16" t="n"/>
      <c r="O385" s="18" t="n"/>
      <c r="P385" s="18" t="n"/>
      <c r="Q385" s="16" t="n"/>
    </row>
    <row r="386">
      <c r="E386" s="15" t="n"/>
      <c r="F386" s="15" t="n"/>
      <c r="G386" s="15" t="n"/>
      <c r="H386" s="16" t="n"/>
      <c r="I386" s="16" t="n"/>
      <c r="J386" s="17" t="n"/>
      <c r="K386" s="17" t="n"/>
      <c r="L386" s="17" t="n"/>
      <c r="M386" s="16" t="n"/>
      <c r="N386" s="16" t="n"/>
      <c r="O386" s="18" t="n"/>
      <c r="P386" s="18" t="n"/>
      <c r="Q386" s="16" t="n"/>
    </row>
    <row r="387">
      <c r="E387" s="15" t="n"/>
      <c r="F387" s="15" t="n"/>
      <c r="G387" s="15" t="n"/>
      <c r="H387" s="16" t="n"/>
      <c r="I387" s="16" t="n"/>
      <c r="J387" s="17" t="n"/>
      <c r="K387" s="17" t="n"/>
      <c r="L387" s="17" t="n"/>
      <c r="M387" s="16" t="n"/>
      <c r="N387" s="16" t="n"/>
      <c r="O387" s="18" t="n"/>
      <c r="P387" s="18" t="n"/>
      <c r="Q387" s="16" t="n"/>
    </row>
    <row r="388">
      <c r="E388" s="15" t="n"/>
      <c r="F388" s="15" t="n"/>
      <c r="G388" s="15" t="n"/>
      <c r="H388" s="16" t="n"/>
      <c r="I388" s="16" t="n"/>
      <c r="J388" s="17" t="n"/>
      <c r="K388" s="17" t="n"/>
      <c r="L388" s="17" t="n"/>
      <c r="M388" s="16" t="n"/>
      <c r="N388" s="16" t="n"/>
      <c r="O388" s="18" t="n"/>
      <c r="P388" s="18" t="n"/>
      <c r="Q388" s="16" t="n"/>
    </row>
    <row r="389">
      <c r="E389" s="15" t="n"/>
      <c r="F389" s="15" t="n"/>
      <c r="G389" s="15" t="n"/>
      <c r="H389" s="16" t="n"/>
      <c r="I389" s="16" t="n"/>
      <c r="J389" s="17" t="n"/>
      <c r="K389" s="17" t="n"/>
      <c r="L389" s="17" t="n"/>
      <c r="M389" s="16" t="n"/>
      <c r="N389" s="16" t="n"/>
      <c r="O389" s="18" t="n"/>
      <c r="P389" s="18" t="n"/>
      <c r="Q389" s="16" t="n"/>
    </row>
    <row r="390">
      <c r="E390" s="15" t="n"/>
      <c r="F390" s="15" t="n"/>
      <c r="G390" s="15" t="n"/>
      <c r="H390" s="16" t="n"/>
      <c r="I390" s="16" t="n"/>
      <c r="J390" s="17" t="n"/>
      <c r="K390" s="17" t="n"/>
      <c r="L390" s="17" t="n"/>
      <c r="M390" s="16" t="n"/>
      <c r="N390" s="16" t="n"/>
      <c r="O390" s="18" t="n"/>
      <c r="P390" s="18" t="n"/>
      <c r="Q390" s="16" t="n"/>
    </row>
    <row r="391">
      <c r="E391" s="15" t="n"/>
      <c r="F391" s="15" t="n"/>
      <c r="G391" s="15" t="n"/>
      <c r="H391" s="16" t="n"/>
      <c r="I391" s="16" t="n"/>
      <c r="J391" s="17" t="n"/>
      <c r="K391" s="17" t="n"/>
      <c r="L391" s="17" t="n"/>
      <c r="M391" s="16" t="n"/>
      <c r="N391" s="16" t="n"/>
      <c r="O391" s="18" t="n"/>
      <c r="P391" s="18" t="n"/>
      <c r="Q391" s="16" t="n"/>
    </row>
    <row r="392">
      <c r="E392" s="15" t="n"/>
      <c r="F392" s="15" t="n"/>
      <c r="G392" s="15" t="n"/>
      <c r="H392" s="16" t="n"/>
      <c r="I392" s="16" t="n"/>
      <c r="J392" s="17" t="n"/>
      <c r="K392" s="17" t="n"/>
      <c r="L392" s="17" t="n"/>
      <c r="M392" s="16" t="n"/>
      <c r="N392" s="16" t="n"/>
      <c r="O392" s="18" t="n"/>
      <c r="P392" s="18" t="n"/>
      <c r="Q392" s="16" t="n"/>
    </row>
    <row r="393">
      <c r="E393" s="15" t="n"/>
      <c r="F393" s="15" t="n"/>
      <c r="G393" s="15" t="n"/>
      <c r="H393" s="16" t="n"/>
      <c r="I393" s="16" t="n"/>
      <c r="J393" s="17" t="n"/>
      <c r="K393" s="17" t="n"/>
      <c r="L393" s="17" t="n"/>
      <c r="M393" s="16" t="n"/>
      <c r="N393" s="16" t="n"/>
      <c r="O393" s="18" t="n"/>
      <c r="P393" s="18" t="n"/>
      <c r="Q393" s="16" t="n"/>
    </row>
    <row r="394">
      <c r="E394" s="15" t="n"/>
      <c r="F394" s="15" t="n"/>
      <c r="G394" s="15" t="n"/>
      <c r="H394" s="16" t="n"/>
      <c r="I394" s="16" t="n"/>
      <c r="J394" s="17" t="n"/>
      <c r="K394" s="17" t="n"/>
      <c r="L394" s="17" t="n"/>
      <c r="M394" s="16" t="n"/>
      <c r="N394" s="16" t="n"/>
      <c r="O394" s="18" t="n"/>
      <c r="P394" s="18" t="n"/>
      <c r="Q394" s="16" t="n"/>
    </row>
    <row r="395">
      <c r="E395" s="15" t="n"/>
      <c r="F395" s="15" t="n"/>
      <c r="G395" s="15" t="n"/>
      <c r="H395" s="16" t="n"/>
      <c r="I395" s="16" t="n"/>
      <c r="J395" s="17" t="n"/>
      <c r="K395" s="17" t="n"/>
      <c r="L395" s="17" t="n"/>
      <c r="M395" s="16" t="n"/>
      <c r="N395" s="16" t="n"/>
      <c r="O395" s="18" t="n"/>
      <c r="P395" s="18" t="n"/>
      <c r="Q395" s="16" t="n"/>
    </row>
    <row r="396">
      <c r="E396" s="15" t="n"/>
      <c r="F396" s="15" t="n"/>
      <c r="G396" s="15" t="n"/>
      <c r="H396" s="16" t="n"/>
      <c r="I396" s="16" t="n"/>
      <c r="J396" s="17" t="n"/>
      <c r="K396" s="17" t="n"/>
      <c r="L396" s="17" t="n"/>
      <c r="M396" s="16" t="n"/>
      <c r="N396" s="16" t="n"/>
      <c r="O396" s="18" t="n"/>
      <c r="P396" s="18" t="n"/>
      <c r="Q396" s="16" t="n"/>
    </row>
    <row r="397">
      <c r="E397" s="15" t="n"/>
      <c r="F397" s="15" t="n"/>
      <c r="G397" s="15" t="n"/>
      <c r="H397" s="16" t="n"/>
      <c r="I397" s="16" t="n"/>
      <c r="J397" s="17" t="n"/>
      <c r="K397" s="17" t="n"/>
      <c r="L397" s="17" t="n"/>
      <c r="M397" s="16" t="n"/>
      <c r="N397" s="16" t="n"/>
      <c r="O397" s="18" t="n"/>
      <c r="P397" s="18" t="n"/>
      <c r="Q397" s="16" t="n"/>
    </row>
    <row r="398">
      <c r="E398" s="15" t="n"/>
      <c r="F398" s="15" t="n"/>
      <c r="G398" s="15" t="n"/>
      <c r="H398" s="16" t="n"/>
      <c r="I398" s="16" t="n"/>
      <c r="J398" s="17" t="n"/>
      <c r="K398" s="17" t="n"/>
      <c r="L398" s="17" t="n"/>
      <c r="M398" s="16" t="n"/>
      <c r="N398" s="16" t="n"/>
      <c r="O398" s="18" t="n"/>
      <c r="P398" s="18" t="n"/>
      <c r="Q398" s="16" t="n"/>
    </row>
    <row r="399">
      <c r="E399" s="15" t="n"/>
      <c r="F399" s="15" t="n"/>
      <c r="G399" s="15" t="n"/>
      <c r="H399" s="16" t="n"/>
      <c r="I399" s="16" t="n"/>
      <c r="J399" s="17" t="n"/>
      <c r="K399" s="17" t="n"/>
      <c r="L399" s="17" t="n"/>
      <c r="M399" s="16" t="n"/>
      <c r="N399" s="16" t="n"/>
      <c r="O399" s="18" t="n"/>
      <c r="P399" s="18" t="n"/>
      <c r="Q399" s="16" t="n"/>
    </row>
    <row r="400">
      <c r="E400" s="15" t="n"/>
      <c r="F400" s="15" t="n"/>
      <c r="G400" s="15" t="n"/>
      <c r="H400" s="16" t="n"/>
      <c r="I400" s="16" t="n"/>
      <c r="J400" s="17" t="n"/>
      <c r="K400" s="17" t="n"/>
      <c r="L400" s="17" t="n"/>
      <c r="M400" s="16" t="n"/>
      <c r="N400" s="16" t="n"/>
      <c r="O400" s="18" t="n"/>
      <c r="P400" s="18" t="n"/>
      <c r="Q400" s="16" t="n"/>
    </row>
    <row r="401">
      <c r="E401" s="15" t="n"/>
      <c r="F401" s="15" t="n"/>
      <c r="G401" s="15" t="n"/>
      <c r="H401" s="16" t="n"/>
      <c r="I401" s="16" t="n"/>
      <c r="J401" s="17" t="n"/>
      <c r="K401" s="17" t="n"/>
      <c r="L401" s="17" t="n"/>
      <c r="M401" s="16" t="n"/>
      <c r="N401" s="16" t="n"/>
      <c r="O401" s="18" t="n"/>
      <c r="P401" s="18" t="n"/>
      <c r="Q401" s="16" t="n"/>
    </row>
    <row r="402">
      <c r="E402" s="15" t="n"/>
      <c r="F402" s="15" t="n"/>
      <c r="G402" s="15" t="n"/>
      <c r="H402" s="16" t="n"/>
      <c r="I402" s="16" t="n"/>
      <c r="J402" s="17" t="n"/>
      <c r="K402" s="17" t="n"/>
      <c r="L402" s="17" t="n"/>
      <c r="M402" s="16" t="n"/>
      <c r="N402" s="16" t="n"/>
      <c r="O402" s="18" t="n"/>
      <c r="P402" s="18" t="n"/>
      <c r="Q402" s="16" t="n"/>
    </row>
    <row r="403">
      <c r="E403" s="15" t="n"/>
      <c r="F403" s="15" t="n"/>
      <c r="G403" s="15" t="n"/>
      <c r="H403" s="16" t="n"/>
      <c r="I403" s="16" t="n"/>
      <c r="J403" s="17" t="n"/>
      <c r="K403" s="17" t="n"/>
      <c r="L403" s="17" t="n"/>
      <c r="M403" s="16" t="n"/>
      <c r="N403" s="16" t="n"/>
      <c r="O403" s="18" t="n"/>
      <c r="P403" s="18" t="n"/>
      <c r="Q403" s="16" t="n"/>
    </row>
    <row r="404">
      <c r="E404" s="15" t="n"/>
      <c r="F404" s="15" t="n"/>
      <c r="G404" s="15" t="n"/>
      <c r="H404" s="16" t="n"/>
      <c r="I404" s="16" t="n"/>
      <c r="J404" s="17" t="n"/>
      <c r="K404" s="17" t="n"/>
      <c r="L404" s="17" t="n"/>
      <c r="M404" s="16" t="n"/>
      <c r="N404" s="16" t="n"/>
      <c r="O404" s="18" t="n"/>
      <c r="P404" s="18" t="n"/>
      <c r="Q404" s="16" t="n"/>
    </row>
    <row r="405">
      <c r="E405" s="15" t="n"/>
      <c r="F405" s="15" t="n"/>
      <c r="G405" s="15" t="n"/>
      <c r="H405" s="16" t="n"/>
      <c r="I405" s="16" t="n"/>
      <c r="J405" s="17" t="n"/>
      <c r="K405" s="17" t="n"/>
      <c r="L405" s="17" t="n"/>
      <c r="M405" s="16" t="n"/>
      <c r="N405" s="16" t="n"/>
      <c r="O405" s="18" t="n"/>
      <c r="P405" s="18" t="n"/>
      <c r="Q405" s="16" t="n"/>
    </row>
    <row r="406">
      <c r="E406" s="15" t="n"/>
      <c r="F406" s="15" t="n"/>
      <c r="G406" s="15" t="n"/>
      <c r="H406" s="16" t="n"/>
      <c r="I406" s="16" t="n"/>
      <c r="J406" s="17" t="n"/>
      <c r="K406" s="17" t="n"/>
      <c r="L406" s="17" t="n"/>
      <c r="M406" s="16" t="n"/>
      <c r="N406" s="16" t="n"/>
      <c r="O406" s="18" t="n"/>
      <c r="P406" s="18" t="n"/>
      <c r="Q406" s="16" t="n"/>
    </row>
    <row r="407">
      <c r="E407" s="15" t="n"/>
      <c r="F407" s="15" t="n"/>
      <c r="G407" s="15" t="n"/>
      <c r="H407" s="16" t="n"/>
      <c r="I407" s="16" t="n"/>
      <c r="J407" s="17" t="n"/>
      <c r="K407" s="17" t="n"/>
      <c r="L407" s="17" t="n"/>
      <c r="M407" s="16" t="n"/>
      <c r="N407" s="16" t="n"/>
      <c r="O407" s="18" t="n"/>
      <c r="P407" s="18" t="n"/>
      <c r="Q407" s="16" t="n"/>
    </row>
    <row r="408">
      <c r="E408" s="15" t="n"/>
      <c r="F408" s="15" t="n"/>
      <c r="G408" s="15" t="n"/>
      <c r="H408" s="16" t="n"/>
      <c r="I408" s="16" t="n"/>
      <c r="J408" s="17" t="n"/>
      <c r="K408" s="17" t="n"/>
      <c r="L408" s="17" t="n"/>
      <c r="M408" s="16" t="n"/>
      <c r="N408" s="16" t="n"/>
      <c r="O408" s="18" t="n"/>
      <c r="P408" s="18" t="n"/>
      <c r="Q408" s="16" t="n"/>
    </row>
    <row r="409">
      <c r="E409" s="15" t="n"/>
      <c r="F409" s="15" t="n"/>
      <c r="G409" s="15" t="n"/>
      <c r="H409" s="16" t="n"/>
      <c r="I409" s="16" t="n"/>
      <c r="J409" s="17" t="n"/>
      <c r="K409" s="17" t="n"/>
      <c r="L409" s="17" t="n"/>
      <c r="M409" s="16" t="n"/>
      <c r="N409" s="16" t="n"/>
      <c r="O409" s="18" t="n"/>
      <c r="P409" s="18" t="n"/>
      <c r="Q409" s="16" t="n"/>
    </row>
    <row r="410">
      <c r="E410" s="15" t="n"/>
      <c r="F410" s="15" t="n"/>
      <c r="G410" s="15" t="n"/>
      <c r="H410" s="16" t="n"/>
      <c r="I410" s="16" t="n"/>
      <c r="J410" s="17" t="n"/>
      <c r="K410" s="17" t="n"/>
      <c r="L410" s="17" t="n"/>
      <c r="M410" s="16" t="n"/>
      <c r="N410" s="16" t="n"/>
      <c r="O410" s="18" t="n"/>
      <c r="P410" s="18" t="n"/>
      <c r="Q410" s="16" t="n"/>
    </row>
    <row r="411">
      <c r="E411" s="15" t="n"/>
      <c r="F411" s="15" t="n"/>
      <c r="G411" s="15" t="n"/>
      <c r="H411" s="16" t="n"/>
      <c r="I411" s="16" t="n"/>
      <c r="J411" s="17" t="n"/>
      <c r="K411" s="17" t="n"/>
      <c r="L411" s="17" t="n"/>
      <c r="M411" s="16" t="n"/>
      <c r="N411" s="16" t="n"/>
      <c r="O411" s="18" t="n"/>
      <c r="P411" s="18" t="n"/>
      <c r="Q411" s="16" t="n"/>
    </row>
    <row r="412">
      <c r="E412" s="15" t="n"/>
      <c r="F412" s="15" t="n"/>
      <c r="G412" s="15" t="n"/>
      <c r="H412" s="16" t="n"/>
      <c r="I412" s="16" t="n"/>
      <c r="J412" s="17" t="n"/>
      <c r="K412" s="17" t="n"/>
      <c r="L412" s="17" t="n"/>
      <c r="M412" s="16" t="n"/>
      <c r="N412" s="16" t="n"/>
      <c r="O412" s="18" t="n"/>
      <c r="P412" s="18" t="n"/>
      <c r="Q412" s="16" t="n"/>
    </row>
    <row r="413">
      <c r="E413" s="15" t="n"/>
      <c r="F413" s="15" t="n"/>
      <c r="G413" s="15" t="n"/>
      <c r="H413" s="16" t="n"/>
      <c r="I413" s="16" t="n"/>
      <c r="J413" s="17" t="n"/>
      <c r="K413" s="17" t="n"/>
      <c r="L413" s="17" t="n"/>
      <c r="M413" s="16" t="n"/>
      <c r="N413" s="16" t="n"/>
      <c r="O413" s="18" t="n"/>
      <c r="P413" s="18" t="n"/>
      <c r="Q413" s="16" t="n"/>
    </row>
    <row r="414">
      <c r="E414" s="15" t="n"/>
      <c r="F414" s="15" t="n"/>
      <c r="G414" s="15" t="n"/>
      <c r="H414" s="16" t="n"/>
      <c r="I414" s="16" t="n"/>
      <c r="J414" s="17" t="n"/>
      <c r="K414" s="17" t="n"/>
      <c r="L414" s="17" t="n"/>
      <c r="M414" s="16" t="n"/>
      <c r="N414" s="16" t="n"/>
      <c r="O414" s="18" t="n"/>
      <c r="P414" s="18" t="n"/>
      <c r="Q414" s="16" t="n"/>
    </row>
    <row r="415">
      <c r="E415" s="15" t="n"/>
      <c r="F415" s="15" t="n"/>
      <c r="G415" s="15" t="n"/>
      <c r="H415" s="16" t="n"/>
      <c r="I415" s="16" t="n"/>
      <c r="J415" s="17" t="n"/>
      <c r="K415" s="17" t="n"/>
      <c r="L415" s="17" t="n"/>
      <c r="M415" s="16" t="n"/>
      <c r="N415" s="16" t="n"/>
      <c r="O415" s="18" t="n"/>
      <c r="P415" s="18" t="n"/>
      <c r="Q415" s="16" t="n"/>
    </row>
    <row r="416">
      <c r="E416" s="15" t="n"/>
      <c r="F416" s="15" t="n"/>
      <c r="G416" s="15" t="n"/>
      <c r="H416" s="16" t="n"/>
      <c r="I416" s="16" t="n"/>
      <c r="J416" s="17" t="n"/>
      <c r="K416" s="17" t="n"/>
      <c r="L416" s="17" t="n"/>
      <c r="M416" s="16" t="n"/>
      <c r="N416" s="16" t="n"/>
      <c r="O416" s="18" t="n"/>
      <c r="P416" s="18" t="n"/>
      <c r="Q416" s="16" t="n"/>
    </row>
    <row r="417">
      <c r="E417" s="15" t="n"/>
      <c r="F417" s="15" t="n"/>
      <c r="G417" s="15" t="n"/>
      <c r="H417" s="16" t="n"/>
      <c r="I417" s="16" t="n"/>
      <c r="J417" s="17" t="n"/>
      <c r="K417" s="17" t="n"/>
      <c r="L417" s="17" t="n"/>
      <c r="M417" s="16" t="n"/>
      <c r="N417" s="16" t="n"/>
      <c r="O417" s="18" t="n"/>
      <c r="P417" s="18" t="n"/>
      <c r="Q417" s="16" t="n"/>
    </row>
    <row r="418">
      <c r="E418" s="15" t="n"/>
      <c r="F418" s="15" t="n"/>
      <c r="G418" s="15" t="n"/>
      <c r="H418" s="16" t="n"/>
      <c r="I418" s="16" t="n"/>
      <c r="J418" s="17" t="n"/>
      <c r="K418" s="17" t="n"/>
      <c r="L418" s="17" t="n"/>
      <c r="M418" s="16" t="n"/>
      <c r="N418" s="16" t="n"/>
      <c r="O418" s="18" t="n"/>
      <c r="P418" s="18" t="n"/>
      <c r="Q418" s="16" t="n"/>
    </row>
    <row r="419">
      <c r="E419" s="15" t="n"/>
      <c r="F419" s="15" t="n"/>
      <c r="G419" s="15" t="n"/>
      <c r="H419" s="16" t="n"/>
      <c r="I419" s="16" t="n"/>
      <c r="J419" s="17" t="n"/>
      <c r="K419" s="17" t="n"/>
      <c r="L419" s="17" t="n"/>
      <c r="M419" s="16" t="n"/>
      <c r="N419" s="16" t="n"/>
      <c r="O419" s="18" t="n"/>
      <c r="P419" s="18" t="n"/>
      <c r="Q419" s="16" t="n"/>
    </row>
    <row r="420">
      <c r="E420" s="15" t="n"/>
      <c r="F420" s="15" t="n"/>
      <c r="G420" s="15" t="n"/>
      <c r="H420" s="16" t="n"/>
      <c r="I420" s="16" t="n"/>
      <c r="J420" s="17" t="n"/>
      <c r="K420" s="17" t="n"/>
      <c r="L420" s="17" t="n"/>
      <c r="M420" s="16" t="n"/>
      <c r="N420" s="16" t="n"/>
      <c r="O420" s="18" t="n"/>
      <c r="P420" s="18" t="n"/>
      <c r="Q420" s="16" t="n"/>
    </row>
    <row r="421">
      <c r="E421" s="15" t="n"/>
      <c r="F421" s="15" t="n"/>
      <c r="G421" s="15" t="n"/>
      <c r="H421" s="16" t="n"/>
      <c r="I421" s="16" t="n"/>
      <c r="J421" s="17" t="n"/>
      <c r="K421" s="17" t="n"/>
      <c r="L421" s="17" t="n"/>
      <c r="M421" s="16" t="n"/>
      <c r="N421" s="16" t="n"/>
      <c r="O421" s="18" t="n"/>
      <c r="P421" s="18" t="n"/>
      <c r="Q421" s="16" t="n"/>
    </row>
    <row r="422">
      <c r="E422" s="15" t="n"/>
      <c r="F422" s="15" t="n"/>
      <c r="G422" s="15" t="n"/>
      <c r="H422" s="16" t="n"/>
      <c r="I422" s="16" t="n"/>
      <c r="J422" s="17" t="n"/>
      <c r="K422" s="17" t="n"/>
      <c r="L422" s="17" t="n"/>
      <c r="M422" s="16" t="n"/>
      <c r="N422" s="16" t="n"/>
      <c r="O422" s="18" t="n"/>
      <c r="P422" s="18" t="n"/>
      <c r="Q422" s="16" t="n"/>
    </row>
    <row r="423">
      <c r="E423" s="15" t="n"/>
      <c r="F423" s="15" t="n"/>
      <c r="G423" s="15" t="n"/>
      <c r="H423" s="16" t="n"/>
      <c r="I423" s="16" t="n"/>
      <c r="J423" s="17" t="n"/>
      <c r="K423" s="17" t="n"/>
      <c r="L423" s="17" t="n"/>
      <c r="M423" s="16" t="n"/>
      <c r="N423" s="16" t="n"/>
      <c r="O423" s="18" t="n"/>
      <c r="P423" s="18" t="n"/>
      <c r="Q423" s="16" t="n"/>
    </row>
    <row r="424">
      <c r="E424" s="15" t="n"/>
      <c r="F424" s="15" t="n"/>
      <c r="G424" s="15" t="n"/>
      <c r="H424" s="16" t="n"/>
      <c r="I424" s="16" t="n"/>
      <c r="J424" s="17" t="n"/>
      <c r="K424" s="17" t="n"/>
      <c r="L424" s="17" t="n"/>
      <c r="M424" s="16" t="n"/>
      <c r="N424" s="16" t="n"/>
      <c r="O424" s="18" t="n"/>
      <c r="P424" s="18" t="n"/>
      <c r="Q424" s="16" t="n"/>
    </row>
    <row r="425">
      <c r="E425" s="15" t="n"/>
      <c r="F425" s="15" t="n"/>
      <c r="G425" s="15" t="n"/>
      <c r="H425" s="16" t="n"/>
      <c r="I425" s="16" t="n"/>
      <c r="J425" s="17" t="n"/>
      <c r="K425" s="17" t="n"/>
      <c r="L425" s="17" t="n"/>
      <c r="M425" s="16" t="n"/>
      <c r="N425" s="16" t="n"/>
      <c r="O425" s="18" t="n"/>
      <c r="P425" s="18" t="n"/>
      <c r="Q425" s="16" t="n"/>
    </row>
    <row r="426">
      <c r="E426" s="15" t="n"/>
      <c r="F426" s="15" t="n"/>
      <c r="G426" s="15" t="n"/>
      <c r="H426" s="16" t="n"/>
      <c r="I426" s="16" t="n"/>
      <c r="J426" s="17" t="n"/>
      <c r="K426" s="17" t="n"/>
      <c r="L426" s="17" t="n"/>
      <c r="M426" s="16" t="n"/>
      <c r="N426" s="16" t="n"/>
      <c r="O426" s="18" t="n"/>
      <c r="P426" s="18" t="n"/>
      <c r="Q426" s="16" t="n"/>
    </row>
    <row r="427">
      <c r="E427" s="15" t="n"/>
      <c r="F427" s="15" t="n"/>
      <c r="G427" s="15" t="n"/>
      <c r="H427" s="16" t="n"/>
      <c r="I427" s="16" t="n"/>
      <c r="J427" s="17" t="n"/>
      <c r="K427" s="17" t="n"/>
      <c r="L427" s="17" t="n"/>
      <c r="M427" s="16" t="n"/>
      <c r="N427" s="16" t="n"/>
      <c r="O427" s="18" t="n"/>
      <c r="P427" s="18" t="n"/>
      <c r="Q427" s="16" t="n"/>
    </row>
    <row r="428">
      <c r="E428" s="15" t="n"/>
      <c r="F428" s="15" t="n"/>
      <c r="G428" s="15" t="n"/>
      <c r="H428" s="16" t="n"/>
      <c r="I428" s="16" t="n"/>
      <c r="J428" s="17" t="n"/>
      <c r="K428" s="17" t="n"/>
      <c r="L428" s="17" t="n"/>
      <c r="M428" s="16" t="n"/>
      <c r="N428" s="16" t="n"/>
      <c r="O428" s="18" t="n"/>
      <c r="P428" s="18" t="n"/>
      <c r="Q428" s="16" t="n"/>
    </row>
    <row r="429">
      <c r="E429" s="15" t="n"/>
      <c r="F429" s="15" t="n"/>
      <c r="G429" s="15" t="n"/>
      <c r="H429" s="16" t="n"/>
      <c r="I429" s="16" t="n"/>
      <c r="J429" s="17" t="n"/>
      <c r="K429" s="17" t="n"/>
      <c r="L429" s="17" t="n"/>
      <c r="M429" s="16" t="n"/>
      <c r="N429" s="16" t="n"/>
      <c r="O429" s="18" t="n"/>
      <c r="P429" s="18" t="n"/>
      <c r="Q429" s="16" t="n"/>
    </row>
    <row r="430">
      <c r="E430" s="15" t="n"/>
      <c r="F430" s="15" t="n"/>
      <c r="G430" s="15" t="n"/>
      <c r="H430" s="16" t="n"/>
      <c r="I430" s="16" t="n"/>
      <c r="J430" s="17" t="n"/>
      <c r="K430" s="17" t="n"/>
      <c r="L430" s="17" t="n"/>
      <c r="M430" s="16" t="n"/>
      <c r="N430" s="16" t="n"/>
      <c r="O430" s="18" t="n"/>
      <c r="P430" s="18" t="n"/>
      <c r="Q430" s="16" t="n"/>
    </row>
    <row r="431">
      <c r="E431" s="15" t="n"/>
      <c r="F431" s="15" t="n"/>
      <c r="G431" s="15" t="n"/>
      <c r="H431" s="16" t="n"/>
      <c r="I431" s="16" t="n"/>
      <c r="J431" s="17" t="n"/>
      <c r="K431" s="17" t="n"/>
      <c r="L431" s="17" t="n"/>
      <c r="M431" s="16" t="n"/>
      <c r="N431" s="16" t="n"/>
      <c r="O431" s="18" t="n"/>
      <c r="P431" s="18" t="n"/>
      <c r="Q431" s="16" t="n"/>
    </row>
    <row r="432">
      <c r="E432" s="15" t="n"/>
      <c r="F432" s="15" t="n"/>
      <c r="G432" s="15" t="n"/>
      <c r="H432" s="16" t="n"/>
      <c r="I432" s="16" t="n"/>
      <c r="J432" s="17" t="n"/>
      <c r="K432" s="17" t="n"/>
      <c r="L432" s="17" t="n"/>
      <c r="M432" s="16" t="n"/>
      <c r="N432" s="16" t="n"/>
      <c r="O432" s="18" t="n"/>
      <c r="P432" s="18" t="n"/>
      <c r="Q432" s="16" t="n"/>
    </row>
    <row r="433">
      <c r="E433" s="15" t="n"/>
      <c r="F433" s="15" t="n"/>
      <c r="G433" s="15" t="n"/>
      <c r="H433" s="16" t="n"/>
      <c r="I433" s="16" t="n"/>
      <c r="J433" s="17" t="n"/>
      <c r="K433" s="17" t="n"/>
      <c r="L433" s="17" t="n"/>
      <c r="M433" s="16" t="n"/>
      <c r="N433" s="16" t="n"/>
      <c r="O433" s="18" t="n"/>
      <c r="P433" s="18" t="n"/>
      <c r="Q433" s="16" t="n"/>
    </row>
    <row r="434">
      <c r="E434" s="15" t="n"/>
      <c r="F434" s="15" t="n"/>
      <c r="G434" s="15" t="n"/>
      <c r="H434" s="16" t="n"/>
      <c r="I434" s="16" t="n"/>
      <c r="J434" s="17" t="n"/>
      <c r="K434" s="17" t="n"/>
      <c r="L434" s="17" t="n"/>
      <c r="M434" s="16" t="n"/>
      <c r="N434" s="16" t="n"/>
      <c r="O434" s="18" t="n"/>
      <c r="P434" s="18" t="n"/>
      <c r="Q434" s="16" t="n"/>
    </row>
    <row r="435">
      <c r="E435" s="15" t="n"/>
      <c r="F435" s="15" t="n"/>
      <c r="G435" s="15" t="n"/>
      <c r="H435" s="16" t="n"/>
      <c r="I435" s="16" t="n"/>
      <c r="J435" s="17" t="n"/>
      <c r="K435" s="17" t="n"/>
      <c r="L435" s="17" t="n"/>
      <c r="M435" s="16" t="n"/>
      <c r="N435" s="16" t="n"/>
      <c r="O435" s="18" t="n"/>
      <c r="P435" s="18" t="n"/>
      <c r="Q435" s="16" t="n"/>
    </row>
    <row r="436">
      <c r="E436" s="15" t="n"/>
      <c r="F436" s="15" t="n"/>
      <c r="G436" s="15" t="n"/>
      <c r="H436" s="16" t="n"/>
      <c r="I436" s="16" t="n"/>
      <c r="J436" s="17" t="n"/>
      <c r="K436" s="17" t="n"/>
      <c r="L436" s="17" t="n"/>
      <c r="M436" s="16" t="n"/>
      <c r="N436" s="16" t="n"/>
      <c r="O436" s="18" t="n"/>
      <c r="P436" s="18" t="n"/>
      <c r="Q436" s="16" t="n"/>
    </row>
    <row r="437">
      <c r="E437" s="15" t="n"/>
      <c r="F437" s="15" t="n"/>
      <c r="G437" s="15" t="n"/>
      <c r="H437" s="16" t="n"/>
      <c r="I437" s="16" t="n"/>
      <c r="J437" s="17" t="n"/>
      <c r="K437" s="17" t="n"/>
      <c r="L437" s="17" t="n"/>
      <c r="M437" s="16" t="n"/>
      <c r="N437" s="16" t="n"/>
      <c r="O437" s="18" t="n"/>
      <c r="P437" s="18" t="n"/>
      <c r="Q437" s="16" t="n"/>
    </row>
    <row r="438">
      <c r="E438" s="15" t="n"/>
      <c r="F438" s="15" t="n"/>
      <c r="G438" s="15" t="n"/>
      <c r="H438" s="16" t="n"/>
      <c r="I438" s="16" t="n"/>
      <c r="J438" s="17" t="n"/>
      <c r="K438" s="17" t="n"/>
      <c r="L438" s="17" t="n"/>
      <c r="M438" s="16" t="n"/>
      <c r="N438" s="16" t="n"/>
      <c r="O438" s="18" t="n"/>
      <c r="P438" s="18" t="n"/>
      <c r="Q438" s="16" t="n"/>
    </row>
    <row r="439">
      <c r="E439" s="15" t="n"/>
      <c r="F439" s="15" t="n"/>
      <c r="G439" s="15" t="n"/>
      <c r="H439" s="16" t="n"/>
      <c r="I439" s="16" t="n"/>
      <c r="J439" s="17" t="n"/>
      <c r="K439" s="17" t="n"/>
      <c r="L439" s="17" t="n"/>
      <c r="M439" s="16" t="n"/>
      <c r="N439" s="16" t="n"/>
      <c r="O439" s="18" t="n"/>
      <c r="P439" s="18" t="n"/>
      <c r="Q439" s="16" t="n"/>
    </row>
    <row r="440">
      <c r="E440" s="15" t="n"/>
      <c r="F440" s="15" t="n"/>
      <c r="G440" s="15" t="n"/>
      <c r="H440" s="16" t="n"/>
      <c r="I440" s="16" t="n"/>
      <c r="J440" s="17" t="n"/>
      <c r="K440" s="17" t="n"/>
      <c r="L440" s="17" t="n"/>
      <c r="M440" s="16" t="n"/>
      <c r="N440" s="16" t="n"/>
      <c r="O440" s="18" t="n"/>
      <c r="P440" s="18" t="n"/>
      <c r="Q440" s="16" t="n"/>
    </row>
    <row r="441">
      <c r="E441" s="15" t="n"/>
      <c r="F441" s="15" t="n"/>
      <c r="G441" s="15" t="n"/>
      <c r="H441" s="16" t="n"/>
      <c r="I441" s="16" t="n"/>
      <c r="J441" s="17" t="n"/>
      <c r="K441" s="17" t="n"/>
      <c r="L441" s="17" t="n"/>
      <c r="M441" s="16" t="n"/>
      <c r="N441" s="16" t="n"/>
      <c r="O441" s="18" t="n"/>
      <c r="P441" s="18" t="n"/>
      <c r="Q441" s="16" t="n"/>
    </row>
    <row r="442">
      <c r="E442" s="15" t="n"/>
      <c r="F442" s="15" t="n"/>
      <c r="G442" s="15" t="n"/>
      <c r="H442" s="16" t="n"/>
      <c r="I442" s="16" t="n"/>
      <c r="J442" s="17" t="n"/>
      <c r="K442" s="17" t="n"/>
      <c r="L442" s="17" t="n"/>
      <c r="M442" s="16" t="n"/>
      <c r="N442" s="16" t="n"/>
      <c r="O442" s="18" t="n"/>
      <c r="P442" s="18" t="n"/>
      <c r="Q442" s="16" t="n"/>
    </row>
    <row r="443">
      <c r="E443" s="15" t="n"/>
      <c r="F443" s="15" t="n"/>
      <c r="G443" s="15" t="n"/>
      <c r="H443" s="16" t="n"/>
      <c r="I443" s="16" t="n"/>
      <c r="J443" s="17" t="n"/>
      <c r="K443" s="17" t="n"/>
      <c r="L443" s="17" t="n"/>
      <c r="M443" s="16" t="n"/>
      <c r="N443" s="16" t="n"/>
      <c r="O443" s="18" t="n"/>
      <c r="P443" s="18" t="n"/>
      <c r="Q443" s="16" t="n"/>
    </row>
    <row r="444">
      <c r="E444" s="15" t="n"/>
      <c r="F444" s="15" t="n"/>
      <c r="G444" s="15" t="n"/>
      <c r="H444" s="16" t="n"/>
      <c r="I444" s="16" t="n"/>
      <c r="J444" s="17" t="n"/>
      <c r="K444" s="17" t="n"/>
      <c r="L444" s="17" t="n"/>
      <c r="M444" s="16" t="n"/>
      <c r="N444" s="16" t="n"/>
      <c r="O444" s="18" t="n"/>
      <c r="P444" s="18" t="n"/>
      <c r="Q444" s="16" t="n"/>
    </row>
    <row r="445">
      <c r="E445" s="15" t="n"/>
      <c r="F445" s="15" t="n"/>
      <c r="G445" s="15" t="n"/>
      <c r="H445" s="16" t="n"/>
      <c r="I445" s="16" t="n"/>
      <c r="J445" s="17" t="n"/>
      <c r="K445" s="17" t="n"/>
      <c r="L445" s="17" t="n"/>
      <c r="M445" s="16" t="n"/>
      <c r="N445" s="16" t="n"/>
      <c r="O445" s="18" t="n"/>
      <c r="P445" s="18" t="n"/>
      <c r="Q445" s="16" t="n"/>
    </row>
    <row r="446">
      <c r="E446" s="15" t="n"/>
      <c r="F446" s="15" t="n"/>
      <c r="G446" s="15" t="n"/>
      <c r="H446" s="16" t="n"/>
      <c r="I446" s="16" t="n"/>
      <c r="J446" s="17" t="n"/>
      <c r="K446" s="17" t="n"/>
      <c r="L446" s="17" t="n"/>
      <c r="M446" s="16" t="n"/>
      <c r="N446" s="16" t="n"/>
      <c r="O446" s="18" t="n"/>
      <c r="P446" s="18" t="n"/>
      <c r="Q446" s="16" t="n"/>
    </row>
    <row r="447">
      <c r="E447" s="15" t="n"/>
      <c r="F447" s="15" t="n"/>
      <c r="G447" s="15" t="n"/>
      <c r="H447" s="16" t="n"/>
      <c r="I447" s="16" t="n"/>
      <c r="J447" s="17" t="n"/>
      <c r="K447" s="17" t="n"/>
      <c r="L447" s="17" t="n"/>
      <c r="M447" s="16" t="n"/>
      <c r="N447" s="16" t="n"/>
      <c r="O447" s="18" t="n"/>
      <c r="P447" s="18" t="n"/>
      <c r="Q447" s="16" t="n"/>
    </row>
    <row r="448">
      <c r="E448" s="15" t="n"/>
      <c r="F448" s="15" t="n"/>
      <c r="G448" s="15" t="n"/>
      <c r="H448" s="16" t="n"/>
      <c r="I448" s="16" t="n"/>
      <c r="J448" s="17" t="n"/>
      <c r="K448" s="17" t="n"/>
      <c r="L448" s="17" t="n"/>
      <c r="M448" s="16" t="n"/>
      <c r="N448" s="16" t="n"/>
      <c r="O448" s="18" t="n"/>
      <c r="P448" s="18" t="n"/>
      <c r="Q448" s="16" t="n"/>
    </row>
    <row r="449">
      <c r="E449" s="15" t="n"/>
      <c r="F449" s="15" t="n"/>
      <c r="G449" s="15" t="n"/>
      <c r="H449" s="16" t="n"/>
      <c r="I449" s="16" t="n"/>
      <c r="J449" s="17" t="n"/>
      <c r="K449" s="17" t="n"/>
      <c r="L449" s="17" t="n"/>
      <c r="M449" s="16" t="n"/>
      <c r="N449" s="16" t="n"/>
      <c r="O449" s="18" t="n"/>
      <c r="P449" s="18" t="n"/>
      <c r="Q449" s="16" t="n"/>
    </row>
    <row r="450">
      <c r="E450" s="15" t="n"/>
      <c r="F450" s="15" t="n"/>
      <c r="G450" s="15" t="n"/>
      <c r="H450" s="16" t="n"/>
      <c r="I450" s="16" t="n"/>
      <c r="J450" s="17" t="n"/>
      <c r="K450" s="17" t="n"/>
      <c r="L450" s="17" t="n"/>
      <c r="M450" s="16" t="n"/>
      <c r="N450" s="16" t="n"/>
      <c r="O450" s="18" t="n"/>
      <c r="P450" s="18" t="n"/>
      <c r="Q450" s="16" t="n"/>
    </row>
    <row r="451">
      <c r="E451" s="15" t="n"/>
      <c r="F451" s="15" t="n"/>
      <c r="G451" s="15" t="n"/>
      <c r="H451" s="16" t="n"/>
      <c r="I451" s="16" t="n"/>
      <c r="J451" s="17" t="n"/>
      <c r="K451" s="17" t="n"/>
      <c r="L451" s="17" t="n"/>
      <c r="M451" s="16" t="n"/>
      <c r="N451" s="16" t="n"/>
      <c r="O451" s="18" t="n"/>
      <c r="P451" s="18" t="n"/>
      <c r="Q451" s="16" t="n"/>
    </row>
    <row r="452">
      <c r="E452" s="15" t="n"/>
      <c r="F452" s="15" t="n"/>
      <c r="G452" s="15" t="n"/>
      <c r="H452" s="16" t="n"/>
      <c r="I452" s="16" t="n"/>
      <c r="J452" s="17" t="n"/>
      <c r="K452" s="17" t="n"/>
      <c r="L452" s="17" t="n"/>
      <c r="M452" s="16" t="n"/>
      <c r="N452" s="16" t="n"/>
      <c r="O452" s="18" t="n"/>
      <c r="P452" s="18" t="n"/>
      <c r="Q452" s="16" t="n"/>
    </row>
    <row r="453">
      <c r="E453" s="15" t="n"/>
      <c r="F453" s="15" t="n"/>
      <c r="G453" s="15" t="n"/>
      <c r="H453" s="16" t="n"/>
      <c r="I453" s="16" t="n"/>
      <c r="J453" s="17" t="n"/>
      <c r="K453" s="17" t="n"/>
      <c r="L453" s="17" t="n"/>
      <c r="M453" s="16" t="n"/>
      <c r="N453" s="16" t="n"/>
      <c r="O453" s="18" t="n"/>
      <c r="P453" s="18" t="n"/>
      <c r="Q453" s="16" t="n"/>
    </row>
    <row r="454">
      <c r="E454" s="15" t="n"/>
      <c r="F454" s="15" t="n"/>
      <c r="G454" s="15" t="n"/>
      <c r="H454" s="16" t="n"/>
      <c r="I454" s="16" t="n"/>
      <c r="J454" s="17" t="n"/>
      <c r="K454" s="17" t="n"/>
      <c r="L454" s="17" t="n"/>
      <c r="M454" s="16" t="n"/>
      <c r="N454" s="16" t="n"/>
      <c r="O454" s="18" t="n"/>
      <c r="P454" s="18" t="n"/>
      <c r="Q454" s="16" t="n"/>
    </row>
    <row r="455">
      <c r="E455" s="15" t="n"/>
      <c r="F455" s="15" t="n"/>
      <c r="G455" s="15" t="n"/>
      <c r="H455" s="16" t="n"/>
      <c r="I455" s="16" t="n"/>
      <c r="J455" s="17" t="n"/>
      <c r="K455" s="17" t="n"/>
      <c r="L455" s="17" t="n"/>
      <c r="M455" s="16" t="n"/>
      <c r="N455" s="16" t="n"/>
      <c r="O455" s="18" t="n"/>
      <c r="P455" s="18" t="n"/>
      <c r="Q455" s="16" t="n"/>
    </row>
    <row r="456">
      <c r="E456" s="15" t="n"/>
      <c r="F456" s="15" t="n"/>
      <c r="G456" s="15" t="n"/>
      <c r="H456" s="16" t="n"/>
      <c r="I456" s="16" t="n"/>
      <c r="J456" s="17" t="n"/>
      <c r="K456" s="17" t="n"/>
      <c r="L456" s="17" t="n"/>
      <c r="M456" s="16" t="n"/>
      <c r="N456" s="16" t="n"/>
      <c r="O456" s="18" t="n"/>
      <c r="P456" s="18" t="n"/>
      <c r="Q456" s="16" t="n"/>
    </row>
    <row r="457">
      <c r="E457" s="15" t="n"/>
      <c r="F457" s="15" t="n"/>
      <c r="G457" s="15" t="n"/>
      <c r="H457" s="16" t="n"/>
      <c r="I457" s="16" t="n"/>
      <c r="J457" s="17" t="n"/>
      <c r="K457" s="17" t="n"/>
      <c r="L457" s="17" t="n"/>
      <c r="M457" s="16" t="n"/>
      <c r="N457" s="16" t="n"/>
      <c r="O457" s="18" t="n"/>
      <c r="P457" s="18" t="n"/>
      <c r="Q457" s="16" t="n"/>
    </row>
    <row r="458">
      <c r="E458" s="15" t="n"/>
      <c r="F458" s="15" t="n"/>
      <c r="G458" s="15" t="n"/>
      <c r="H458" s="16" t="n"/>
      <c r="I458" s="16" t="n"/>
      <c r="J458" s="17" t="n"/>
      <c r="K458" s="17" t="n"/>
      <c r="L458" s="17" t="n"/>
      <c r="M458" s="16" t="n"/>
      <c r="N458" s="16" t="n"/>
      <c r="O458" s="18" t="n"/>
      <c r="P458" s="18" t="n"/>
      <c r="Q458" s="16" t="n"/>
    </row>
    <row r="459">
      <c r="E459" s="15" t="n"/>
      <c r="F459" s="15" t="n"/>
      <c r="G459" s="15" t="n"/>
      <c r="H459" s="16" t="n"/>
      <c r="I459" s="16" t="n"/>
      <c r="J459" s="17" t="n"/>
      <c r="K459" s="17" t="n"/>
      <c r="L459" s="17" t="n"/>
      <c r="M459" s="16" t="n"/>
      <c r="N459" s="16" t="n"/>
      <c r="O459" s="18" t="n"/>
      <c r="P459" s="18" t="n"/>
      <c r="Q459" s="16" t="n"/>
    </row>
    <row r="460">
      <c r="E460" s="15" t="n"/>
      <c r="F460" s="15" t="n"/>
      <c r="G460" s="15" t="n"/>
      <c r="H460" s="16" t="n"/>
      <c r="I460" s="16" t="n"/>
      <c r="J460" s="17" t="n"/>
      <c r="K460" s="17" t="n"/>
      <c r="L460" s="17" t="n"/>
      <c r="M460" s="16" t="n"/>
      <c r="N460" s="16" t="n"/>
      <c r="O460" s="18" t="n"/>
      <c r="P460" s="18" t="n"/>
      <c r="Q460" s="16" t="n"/>
    </row>
    <row r="461">
      <c r="E461" s="15" t="n"/>
      <c r="F461" s="15" t="n"/>
      <c r="G461" s="15" t="n"/>
      <c r="H461" s="16" t="n"/>
      <c r="I461" s="16" t="n"/>
      <c r="J461" s="17" t="n"/>
      <c r="K461" s="17" t="n"/>
      <c r="L461" s="17" t="n"/>
      <c r="M461" s="16" t="n"/>
      <c r="N461" s="16" t="n"/>
      <c r="O461" s="18" t="n"/>
      <c r="P461" s="18" t="n"/>
      <c r="Q461" s="16" t="n"/>
    </row>
    <row r="462">
      <c r="E462" s="15" t="n"/>
      <c r="F462" s="15" t="n"/>
      <c r="G462" s="15" t="n"/>
      <c r="H462" s="16" t="n"/>
      <c r="I462" s="16" t="n"/>
      <c r="J462" s="17" t="n"/>
      <c r="K462" s="17" t="n"/>
      <c r="L462" s="17" t="n"/>
      <c r="M462" s="16" t="n"/>
      <c r="N462" s="16" t="n"/>
      <c r="O462" s="18" t="n"/>
      <c r="P462" s="18" t="n"/>
      <c r="Q462" s="16" t="n"/>
    </row>
    <row r="463">
      <c r="E463" s="15" t="n"/>
      <c r="F463" s="15" t="n"/>
      <c r="G463" s="15" t="n"/>
      <c r="H463" s="16" t="n"/>
      <c r="I463" s="16" t="n"/>
      <c r="J463" s="17" t="n"/>
      <c r="K463" s="17" t="n"/>
      <c r="L463" s="17" t="n"/>
      <c r="M463" s="16" t="n"/>
      <c r="N463" s="16" t="n"/>
      <c r="O463" s="18" t="n"/>
      <c r="P463" s="18" t="n"/>
      <c r="Q463" s="16" t="n"/>
    </row>
    <row r="464">
      <c r="E464" s="15" t="n"/>
      <c r="F464" s="15" t="n"/>
      <c r="G464" s="15" t="n"/>
      <c r="H464" s="16" t="n"/>
      <c r="I464" s="16" t="n"/>
      <c r="J464" s="17" t="n"/>
      <c r="K464" s="17" t="n"/>
      <c r="L464" s="17" t="n"/>
      <c r="M464" s="16" t="n"/>
      <c r="N464" s="16" t="n"/>
      <c r="O464" s="18" t="n"/>
      <c r="P464" s="18" t="n"/>
      <c r="Q464" s="16" t="n"/>
    </row>
    <row r="465">
      <c r="E465" s="15" t="n"/>
      <c r="F465" s="15" t="n"/>
      <c r="G465" s="15" t="n"/>
      <c r="H465" s="16" t="n"/>
      <c r="I465" s="16" t="n"/>
      <c r="J465" s="17" t="n"/>
      <c r="K465" s="17" t="n"/>
      <c r="L465" s="17" t="n"/>
      <c r="M465" s="16" t="n"/>
      <c r="N465" s="16" t="n"/>
      <c r="O465" s="18" t="n"/>
      <c r="P465" s="18" t="n"/>
      <c r="Q465" s="16" t="n"/>
    </row>
    <row r="466">
      <c r="E466" s="15" t="n"/>
      <c r="F466" s="15" t="n"/>
      <c r="G466" s="15" t="n"/>
      <c r="H466" s="16" t="n"/>
      <c r="I466" s="16" t="n"/>
      <c r="J466" s="17" t="n"/>
      <c r="K466" s="17" t="n"/>
      <c r="L466" s="17" t="n"/>
      <c r="M466" s="16" t="n"/>
      <c r="N466" s="16" t="n"/>
      <c r="O466" s="18" t="n"/>
      <c r="P466" s="18" t="n"/>
      <c r="Q466" s="16" t="n"/>
    </row>
    <row r="467">
      <c r="E467" s="15" t="n"/>
      <c r="F467" s="15" t="n"/>
      <c r="G467" s="15" t="n"/>
      <c r="H467" s="16" t="n"/>
      <c r="I467" s="16" t="n"/>
      <c r="J467" s="17" t="n"/>
      <c r="K467" s="17" t="n"/>
      <c r="L467" s="17" t="n"/>
      <c r="M467" s="16" t="n"/>
      <c r="N467" s="16" t="n"/>
      <c r="O467" s="18" t="n"/>
      <c r="P467" s="18" t="n"/>
      <c r="Q467" s="16" t="n"/>
    </row>
    <row r="468">
      <c r="E468" s="15" t="n"/>
      <c r="F468" s="15" t="n"/>
      <c r="G468" s="15" t="n"/>
      <c r="H468" s="16" t="n"/>
      <c r="I468" s="16" t="n"/>
      <c r="J468" s="17" t="n"/>
      <c r="K468" s="17" t="n"/>
      <c r="L468" s="17" t="n"/>
      <c r="M468" s="16" t="n"/>
      <c r="N468" s="16" t="n"/>
      <c r="O468" s="18" t="n"/>
      <c r="P468" s="18" t="n"/>
      <c r="Q468" s="16" t="n"/>
    </row>
    <row r="469">
      <c r="E469" s="15" t="n"/>
      <c r="F469" s="15" t="n"/>
      <c r="G469" s="15" t="n"/>
      <c r="H469" s="16" t="n"/>
      <c r="I469" s="16" t="n"/>
      <c r="J469" s="17" t="n"/>
      <c r="K469" s="17" t="n"/>
      <c r="L469" s="17" t="n"/>
      <c r="M469" s="16" t="n"/>
      <c r="N469" s="16" t="n"/>
      <c r="O469" s="18" t="n"/>
      <c r="P469" s="18" t="n"/>
      <c r="Q469" s="16" t="n"/>
    </row>
    <row r="470">
      <c r="E470" s="15" t="n"/>
      <c r="F470" s="15" t="n"/>
      <c r="G470" s="15" t="n"/>
      <c r="H470" s="16" t="n"/>
      <c r="I470" s="16" t="n"/>
      <c r="J470" s="17" t="n"/>
      <c r="K470" s="17" t="n"/>
      <c r="L470" s="17" t="n"/>
      <c r="M470" s="16" t="n"/>
      <c r="N470" s="16" t="n"/>
      <c r="O470" s="18" t="n"/>
      <c r="P470" s="18" t="n"/>
      <c r="Q470" s="16" t="n"/>
    </row>
    <row r="471">
      <c r="E471" s="15" t="n"/>
      <c r="F471" s="15" t="n"/>
      <c r="G471" s="15" t="n"/>
      <c r="H471" s="16" t="n"/>
      <c r="I471" s="16" t="n"/>
      <c r="J471" s="17" t="n"/>
      <c r="K471" s="17" t="n"/>
      <c r="L471" s="17" t="n"/>
      <c r="M471" s="16" t="n"/>
      <c r="N471" s="16" t="n"/>
      <c r="O471" s="18" t="n"/>
      <c r="P471" s="18" t="n"/>
      <c r="Q471" s="16" t="n"/>
    </row>
    <row r="472">
      <c r="E472" s="15" t="n"/>
      <c r="F472" s="15" t="n"/>
      <c r="G472" s="15" t="n"/>
      <c r="H472" s="16" t="n"/>
      <c r="I472" s="16" t="n"/>
      <c r="J472" s="17" t="n"/>
      <c r="K472" s="17" t="n"/>
      <c r="L472" s="17" t="n"/>
      <c r="M472" s="16" t="n"/>
      <c r="N472" s="16" t="n"/>
      <c r="O472" s="18" t="n"/>
      <c r="P472" s="18" t="n"/>
      <c r="Q472" s="16" t="n"/>
    </row>
    <row r="473">
      <c r="E473" s="15" t="n"/>
      <c r="F473" s="15" t="n"/>
      <c r="G473" s="15" t="n"/>
      <c r="H473" s="16" t="n"/>
      <c r="I473" s="16" t="n"/>
      <c r="J473" s="17" t="n"/>
      <c r="K473" s="17" t="n"/>
      <c r="L473" s="17" t="n"/>
      <c r="M473" s="16" t="n"/>
      <c r="N473" s="16" t="n"/>
      <c r="O473" s="18" t="n"/>
      <c r="P473" s="18" t="n"/>
      <c r="Q473" s="16" t="n"/>
    </row>
    <row r="474">
      <c r="E474" s="15" t="n"/>
      <c r="F474" s="15" t="n"/>
      <c r="G474" s="15" t="n"/>
      <c r="H474" s="16" t="n"/>
      <c r="I474" s="16" t="n"/>
      <c r="J474" s="17" t="n"/>
      <c r="K474" s="17" t="n"/>
      <c r="L474" s="17" t="n"/>
      <c r="M474" s="16" t="n"/>
      <c r="N474" s="16" t="n"/>
      <c r="O474" s="18" t="n"/>
      <c r="P474" s="18" t="n"/>
      <c r="Q474" s="16" t="n"/>
    </row>
    <row r="475">
      <c r="E475" s="15" t="n"/>
      <c r="F475" s="15" t="n"/>
      <c r="G475" s="15" t="n"/>
      <c r="H475" s="16" t="n"/>
      <c r="I475" s="16" t="n"/>
      <c r="J475" s="17" t="n"/>
      <c r="K475" s="17" t="n"/>
      <c r="L475" s="17" t="n"/>
      <c r="M475" s="16" t="n"/>
      <c r="N475" s="16" t="n"/>
      <c r="O475" s="18" t="n"/>
      <c r="P475" s="18" t="n"/>
      <c r="Q475" s="16" t="n"/>
    </row>
    <row r="476">
      <c r="E476" s="15" t="n"/>
      <c r="F476" s="15" t="n"/>
      <c r="G476" s="15" t="n"/>
      <c r="H476" s="16" t="n"/>
      <c r="I476" s="16" t="n"/>
      <c r="J476" s="17" t="n"/>
      <c r="K476" s="17" t="n"/>
      <c r="L476" s="17" t="n"/>
      <c r="M476" s="16" t="n"/>
      <c r="N476" s="16" t="n"/>
      <c r="O476" s="18" t="n"/>
      <c r="P476" s="18" t="n"/>
      <c r="Q476" s="16" t="n"/>
    </row>
    <row r="477">
      <c r="E477" s="15" t="n"/>
      <c r="F477" s="15" t="n"/>
      <c r="G477" s="15" t="n"/>
      <c r="H477" s="16" t="n"/>
      <c r="I477" s="16" t="n"/>
      <c r="J477" s="17" t="n"/>
      <c r="K477" s="17" t="n"/>
      <c r="L477" s="17" t="n"/>
      <c r="M477" s="16" t="n"/>
      <c r="N477" s="16" t="n"/>
      <c r="O477" s="18" t="n"/>
      <c r="P477" s="18" t="n"/>
      <c r="Q477" s="16" t="n"/>
    </row>
    <row r="478">
      <c r="E478" s="15" t="n"/>
      <c r="F478" s="15" t="n"/>
      <c r="G478" s="15" t="n"/>
      <c r="H478" s="16" t="n"/>
      <c r="I478" s="16" t="n"/>
      <c r="J478" s="17" t="n"/>
      <c r="K478" s="17" t="n"/>
      <c r="L478" s="17" t="n"/>
      <c r="M478" s="16" t="n"/>
      <c r="N478" s="16" t="n"/>
      <c r="O478" s="18" t="n"/>
      <c r="P478" s="18" t="n"/>
      <c r="Q478" s="16" t="n"/>
    </row>
    <row r="479">
      <c r="E479" s="15" t="n"/>
      <c r="F479" s="15" t="n"/>
      <c r="G479" s="15" t="n"/>
      <c r="H479" s="16" t="n"/>
      <c r="I479" s="16" t="n"/>
      <c r="J479" s="17" t="n"/>
      <c r="K479" s="17" t="n"/>
      <c r="L479" s="17" t="n"/>
      <c r="M479" s="16" t="n"/>
      <c r="N479" s="16" t="n"/>
      <c r="O479" s="18" t="n"/>
      <c r="P479" s="18" t="n"/>
      <c r="Q479" s="16" t="n"/>
    </row>
    <row r="480">
      <c r="E480" s="15" t="n"/>
      <c r="F480" s="15" t="n"/>
      <c r="G480" s="15" t="n"/>
      <c r="H480" s="16" t="n"/>
      <c r="I480" s="16" t="n"/>
      <c r="J480" s="17" t="n"/>
      <c r="K480" s="17" t="n"/>
      <c r="L480" s="17" t="n"/>
      <c r="M480" s="16" t="n"/>
      <c r="N480" s="16" t="n"/>
      <c r="O480" s="18" t="n"/>
      <c r="P480" s="18" t="n"/>
      <c r="Q480" s="16" t="n"/>
    </row>
    <row r="481">
      <c r="E481" s="15" t="n"/>
      <c r="F481" s="15" t="n"/>
      <c r="G481" s="15" t="n"/>
      <c r="H481" s="16" t="n"/>
      <c r="I481" s="16" t="n"/>
      <c r="J481" s="17" t="n"/>
      <c r="K481" s="17" t="n"/>
      <c r="L481" s="17" t="n"/>
      <c r="M481" s="16" t="n"/>
      <c r="N481" s="16" t="n"/>
      <c r="O481" s="18" t="n"/>
      <c r="P481" s="18" t="n"/>
      <c r="Q481" s="16" t="n"/>
    </row>
    <row r="482">
      <c r="E482" s="15" t="n"/>
      <c r="F482" s="15" t="n"/>
      <c r="G482" s="15" t="n"/>
      <c r="H482" s="16" t="n"/>
      <c r="I482" s="16" t="n"/>
      <c r="J482" s="17" t="n"/>
      <c r="K482" s="17" t="n"/>
      <c r="L482" s="17" t="n"/>
      <c r="M482" s="16" t="n"/>
      <c r="N482" s="16" t="n"/>
      <c r="O482" s="18" t="n"/>
      <c r="P482" s="18" t="n"/>
      <c r="Q482" s="16" t="n"/>
    </row>
    <row r="483">
      <c r="E483" s="15" t="n"/>
      <c r="F483" s="15" t="n"/>
      <c r="G483" s="15" t="n"/>
      <c r="H483" s="16" t="n"/>
      <c r="I483" s="16" t="n"/>
      <c r="J483" s="17" t="n"/>
      <c r="K483" s="17" t="n"/>
      <c r="L483" s="17" t="n"/>
      <c r="M483" s="16" t="n"/>
      <c r="N483" s="16" t="n"/>
      <c r="O483" s="18" t="n"/>
      <c r="P483" s="18" t="n"/>
      <c r="Q483" s="16" t="n"/>
    </row>
    <row r="484">
      <c r="E484" s="15" t="n"/>
      <c r="F484" s="15" t="n"/>
      <c r="G484" s="15" t="n"/>
      <c r="H484" s="16" t="n"/>
      <c r="I484" s="16" t="n"/>
      <c r="J484" s="17" t="n"/>
      <c r="K484" s="17" t="n"/>
      <c r="L484" s="17" t="n"/>
      <c r="M484" s="16" t="n"/>
      <c r="N484" s="16" t="n"/>
      <c r="O484" s="18" t="n"/>
      <c r="P484" s="18" t="n"/>
      <c r="Q484" s="16" t="n"/>
    </row>
    <row r="485">
      <c r="E485" s="15" t="n"/>
      <c r="F485" s="15" t="n"/>
      <c r="G485" s="15" t="n"/>
      <c r="H485" s="16" t="n"/>
      <c r="I485" s="16" t="n"/>
      <c r="J485" s="17" t="n"/>
      <c r="K485" s="17" t="n"/>
      <c r="L485" s="17" t="n"/>
      <c r="M485" s="16" t="n"/>
      <c r="N485" s="16" t="n"/>
      <c r="O485" s="18" t="n"/>
      <c r="P485" s="18" t="n"/>
      <c r="Q485" s="16" t="n"/>
    </row>
    <row r="486">
      <c r="E486" s="15" t="n"/>
      <c r="F486" s="15" t="n"/>
      <c r="G486" s="15" t="n"/>
      <c r="H486" s="16" t="n"/>
      <c r="I486" s="16" t="n"/>
      <c r="J486" s="17" t="n"/>
      <c r="K486" s="17" t="n"/>
      <c r="L486" s="17" t="n"/>
      <c r="M486" s="16" t="n"/>
      <c r="N486" s="16" t="n"/>
      <c r="O486" s="18" t="n"/>
      <c r="P486" s="18" t="n"/>
      <c r="Q486" s="16" t="n"/>
    </row>
    <row r="487">
      <c r="E487" s="15" t="n"/>
      <c r="F487" s="15" t="n"/>
      <c r="G487" s="15" t="n"/>
      <c r="H487" s="16" t="n"/>
      <c r="I487" s="16" t="n"/>
      <c r="J487" s="17" t="n"/>
      <c r="K487" s="17" t="n"/>
      <c r="L487" s="17" t="n"/>
      <c r="M487" s="16" t="n"/>
      <c r="N487" s="16" t="n"/>
      <c r="O487" s="18" t="n"/>
      <c r="P487" s="18" t="n"/>
      <c r="Q487" s="16" t="n"/>
    </row>
    <row r="488">
      <c r="E488" s="15" t="n"/>
      <c r="F488" s="15" t="n"/>
      <c r="G488" s="15" t="n"/>
      <c r="H488" s="16" t="n"/>
      <c r="I488" s="16" t="n"/>
      <c r="J488" s="17" t="n"/>
      <c r="K488" s="17" t="n"/>
      <c r="L488" s="17" t="n"/>
      <c r="M488" s="16" t="n"/>
      <c r="N488" s="16" t="n"/>
      <c r="O488" s="18" t="n"/>
      <c r="P488" s="18" t="n"/>
      <c r="Q488" s="16" t="n"/>
    </row>
    <row r="489">
      <c r="E489" s="15" t="n"/>
      <c r="F489" s="15" t="n"/>
      <c r="G489" s="15" t="n"/>
      <c r="H489" s="16" t="n"/>
      <c r="I489" s="16" t="n"/>
      <c r="J489" s="17" t="n"/>
      <c r="K489" s="17" t="n"/>
      <c r="L489" s="17" t="n"/>
      <c r="M489" s="16" t="n"/>
      <c r="N489" s="16" t="n"/>
      <c r="O489" s="18" t="n"/>
      <c r="P489" s="18" t="n"/>
      <c r="Q489" s="16" t="n"/>
    </row>
    <row r="490">
      <c r="E490" s="15" t="n"/>
      <c r="F490" s="15" t="n"/>
      <c r="G490" s="15" t="n"/>
      <c r="H490" s="16" t="n"/>
      <c r="I490" s="16" t="n"/>
      <c r="J490" s="17" t="n"/>
      <c r="K490" s="17" t="n"/>
      <c r="L490" s="17" t="n"/>
      <c r="M490" s="16" t="n"/>
      <c r="N490" s="16" t="n"/>
      <c r="O490" s="18" t="n"/>
      <c r="P490" s="18" t="n"/>
      <c r="Q490" s="16" t="n"/>
    </row>
    <row r="491">
      <c r="E491" s="15" t="n"/>
      <c r="F491" s="15" t="n"/>
      <c r="G491" s="15" t="n"/>
      <c r="H491" s="16" t="n"/>
      <c r="I491" s="16" t="n"/>
      <c r="J491" s="17" t="n"/>
      <c r="K491" s="17" t="n"/>
      <c r="L491" s="17" t="n"/>
      <c r="M491" s="16" t="n"/>
      <c r="N491" s="16" t="n"/>
      <c r="O491" s="18" t="n"/>
      <c r="P491" s="18" t="n"/>
      <c r="Q491" s="16" t="n"/>
    </row>
    <row r="492">
      <c r="E492" s="15" t="n"/>
      <c r="F492" s="15" t="n"/>
      <c r="G492" s="15" t="n"/>
      <c r="H492" s="16" t="n"/>
      <c r="I492" s="16" t="n"/>
      <c r="J492" s="17" t="n"/>
      <c r="K492" s="17" t="n"/>
      <c r="L492" s="17" t="n"/>
      <c r="M492" s="16" t="n"/>
      <c r="N492" s="16" t="n"/>
      <c r="O492" s="18" t="n"/>
      <c r="P492" s="18" t="n"/>
      <c r="Q492" s="16" t="n"/>
    </row>
    <row r="493">
      <c r="E493" s="15" t="n"/>
      <c r="F493" s="15" t="n"/>
      <c r="G493" s="15" t="n"/>
      <c r="H493" s="16" t="n"/>
      <c r="I493" s="16" t="n"/>
      <c r="J493" s="17" t="n"/>
      <c r="K493" s="17" t="n"/>
      <c r="L493" s="17" t="n"/>
      <c r="M493" s="16" t="n"/>
      <c r="N493" s="16" t="n"/>
      <c r="O493" s="18" t="n"/>
      <c r="P493" s="18" t="n"/>
      <c r="Q493" s="16" t="n"/>
    </row>
    <row r="494">
      <c r="E494" s="15" t="n"/>
      <c r="F494" s="15" t="n"/>
      <c r="G494" s="15" t="n"/>
      <c r="H494" s="16" t="n"/>
      <c r="I494" s="16" t="n"/>
      <c r="J494" s="17" t="n"/>
      <c r="K494" s="17" t="n"/>
      <c r="L494" s="17" t="n"/>
      <c r="M494" s="16" t="n"/>
      <c r="N494" s="16" t="n"/>
      <c r="O494" s="18" t="n"/>
      <c r="P494" s="18" t="n"/>
      <c r="Q494" s="16" t="n"/>
    </row>
    <row r="495">
      <c r="E495" s="15" t="n"/>
      <c r="F495" s="15" t="n"/>
      <c r="G495" s="15" t="n"/>
      <c r="H495" s="16" t="n"/>
      <c r="I495" s="16" t="n"/>
      <c r="J495" s="17" t="n"/>
      <c r="K495" s="17" t="n"/>
      <c r="L495" s="17" t="n"/>
      <c r="M495" s="16" t="n"/>
      <c r="N495" s="16" t="n"/>
      <c r="O495" s="18" t="n"/>
      <c r="P495" s="18" t="n"/>
      <c r="Q495" s="16" t="n"/>
    </row>
    <row r="496">
      <c r="E496" s="15" t="n"/>
      <c r="F496" s="15" t="n"/>
      <c r="G496" s="15" t="n"/>
      <c r="H496" s="16" t="n"/>
      <c r="I496" s="16" t="n"/>
      <c r="J496" s="17" t="n"/>
      <c r="K496" s="17" t="n"/>
      <c r="L496" s="17" t="n"/>
      <c r="M496" s="16" t="n"/>
      <c r="N496" s="16" t="n"/>
      <c r="O496" s="18" t="n"/>
      <c r="P496" s="18" t="n"/>
      <c r="Q496" s="16" t="n"/>
    </row>
    <row r="497">
      <c r="E497" s="15" t="n"/>
      <c r="F497" s="15" t="n"/>
      <c r="G497" s="15" t="n"/>
      <c r="H497" s="16" t="n"/>
      <c r="I497" s="16" t="n"/>
      <c r="J497" s="17" t="n"/>
      <c r="K497" s="17" t="n"/>
      <c r="L497" s="17" t="n"/>
      <c r="M497" s="16" t="n"/>
      <c r="N497" s="16" t="n"/>
      <c r="O497" s="18" t="n"/>
      <c r="P497" s="18" t="n"/>
      <c r="Q497" s="16" t="n"/>
    </row>
    <row r="498">
      <c r="E498" s="15" t="n"/>
      <c r="F498" s="15" t="n"/>
      <c r="G498" s="15" t="n"/>
      <c r="H498" s="16" t="n"/>
      <c r="I498" s="16" t="n"/>
      <c r="J498" s="17" t="n"/>
      <c r="K498" s="17" t="n"/>
      <c r="L498" s="17" t="n"/>
      <c r="M498" s="16" t="n"/>
      <c r="N498" s="16" t="n"/>
      <c r="O498" s="18" t="n"/>
      <c r="P498" s="18" t="n"/>
      <c r="Q498" s="16" t="n"/>
    </row>
    <row r="499">
      <c r="E499" s="15" t="n"/>
      <c r="F499" s="15" t="n"/>
      <c r="G499" s="15" t="n"/>
      <c r="H499" s="16" t="n"/>
      <c r="I499" s="16" t="n"/>
      <c r="J499" s="17" t="n"/>
      <c r="K499" s="17" t="n"/>
      <c r="L499" s="17" t="n"/>
      <c r="M499" s="16" t="n"/>
      <c r="N499" s="16" t="n"/>
      <c r="O499" s="18" t="n"/>
      <c r="P499" s="18" t="n"/>
      <c r="Q499" s="16" t="n"/>
    </row>
    <row r="500">
      <c r="E500" s="15" t="n"/>
      <c r="F500" s="15" t="n"/>
      <c r="G500" s="15" t="n"/>
      <c r="H500" s="16" t="n"/>
      <c r="I500" s="16" t="n"/>
      <c r="J500" s="17" t="n"/>
      <c r="K500" s="17" t="n"/>
      <c r="L500" s="17" t="n"/>
      <c r="M500" s="16" t="n"/>
      <c r="N500" s="16" t="n"/>
      <c r="O500" s="18" t="n"/>
      <c r="P500" s="18" t="n"/>
      <c r="Q500" s="16" t="n"/>
    </row>
    <row r="501">
      <c r="E501" s="15" t="n"/>
      <c r="F501" s="15" t="n"/>
      <c r="G501" s="15" t="n"/>
      <c r="H501" s="16" t="n"/>
      <c r="I501" s="16" t="n"/>
      <c r="J501" s="17" t="n"/>
      <c r="K501" s="17" t="n"/>
      <c r="L501" s="17" t="n"/>
      <c r="M501" s="16" t="n"/>
      <c r="N501" s="16" t="n"/>
      <c r="O501" s="18" t="n"/>
      <c r="P501" s="18" t="n"/>
      <c r="Q501" s="16" t="n"/>
    </row>
    <row r="502">
      <c r="E502" s="15" t="n"/>
      <c r="F502" s="15" t="n"/>
      <c r="G502" s="15" t="n"/>
      <c r="H502" s="16" t="n"/>
      <c r="I502" s="16" t="n"/>
      <c r="J502" s="17" t="n"/>
      <c r="K502" s="17" t="n"/>
      <c r="L502" s="17" t="n"/>
      <c r="M502" s="16" t="n"/>
      <c r="N502" s="16" t="n"/>
      <c r="O502" s="18" t="n"/>
      <c r="P502" s="18" t="n"/>
      <c r="Q502" s="16" t="n"/>
    </row>
    <row r="503">
      <c r="E503" s="15" t="n"/>
      <c r="F503" s="15" t="n"/>
      <c r="G503" s="15" t="n"/>
      <c r="H503" s="16" t="n"/>
      <c r="I503" s="16" t="n"/>
      <c r="J503" s="17" t="n"/>
      <c r="K503" s="17" t="n"/>
      <c r="L503" s="17" t="n"/>
      <c r="M503" s="16" t="n"/>
      <c r="N503" s="16" t="n"/>
      <c r="O503" s="18" t="n"/>
      <c r="P503" s="18" t="n"/>
      <c r="Q503" s="16" t="n"/>
    </row>
    <row r="504">
      <c r="E504" s="15" t="n"/>
      <c r="F504" s="15" t="n"/>
      <c r="G504" s="15" t="n"/>
      <c r="H504" s="16" t="n"/>
      <c r="I504" s="16" t="n"/>
      <c r="J504" s="17" t="n"/>
      <c r="K504" s="17" t="n"/>
      <c r="L504" s="17" t="n"/>
      <c r="M504" s="16" t="n"/>
      <c r="N504" s="16" t="n"/>
      <c r="O504" s="18" t="n"/>
      <c r="P504" s="18" t="n"/>
      <c r="Q504" s="16" t="n"/>
    </row>
    <row r="505">
      <c r="E505" s="15" t="n"/>
      <c r="F505" s="15" t="n"/>
      <c r="G505" s="15" t="n"/>
      <c r="H505" s="16" t="n"/>
      <c r="I505" s="16" t="n"/>
      <c r="J505" s="17" t="n"/>
      <c r="K505" s="17" t="n"/>
      <c r="L505" s="17" t="n"/>
      <c r="M505" s="16" t="n"/>
      <c r="N505" s="16" t="n"/>
      <c r="O505" s="18" t="n"/>
      <c r="P505" s="18" t="n"/>
      <c r="Q505" s="16" t="n"/>
    </row>
    <row r="506">
      <c r="E506" s="15" t="n"/>
      <c r="F506" s="15" t="n"/>
      <c r="G506" s="15" t="n"/>
      <c r="H506" s="16" t="n"/>
      <c r="I506" s="16" t="n"/>
      <c r="J506" s="17" t="n"/>
      <c r="K506" s="17" t="n"/>
      <c r="L506" s="17" t="n"/>
      <c r="M506" s="16" t="n"/>
      <c r="N506" s="16" t="n"/>
      <c r="O506" s="18" t="n"/>
      <c r="P506" s="18" t="n"/>
      <c r="Q506" s="16" t="n"/>
    </row>
    <row r="507">
      <c r="E507" s="15" t="n"/>
      <c r="F507" s="15" t="n"/>
      <c r="G507" s="15" t="n"/>
      <c r="H507" s="16" t="n"/>
      <c r="I507" s="16" t="n"/>
      <c r="J507" s="17" t="n"/>
      <c r="K507" s="17" t="n"/>
      <c r="L507" s="17" t="n"/>
      <c r="M507" s="16" t="n"/>
      <c r="N507" s="16" t="n"/>
      <c r="O507" s="18" t="n"/>
      <c r="P507" s="18" t="n"/>
      <c r="Q507" s="16" t="n"/>
    </row>
    <row r="508">
      <c r="E508" s="15" t="n"/>
      <c r="F508" s="15" t="n"/>
      <c r="G508" s="15" t="n"/>
      <c r="H508" s="16" t="n"/>
      <c r="I508" s="16" t="n"/>
      <c r="J508" s="17" t="n"/>
      <c r="K508" s="17" t="n"/>
      <c r="L508" s="17" t="n"/>
      <c r="M508" s="16" t="n"/>
      <c r="N508" s="16" t="n"/>
      <c r="O508" s="18" t="n"/>
      <c r="P508" s="18" t="n"/>
      <c r="Q508" s="16" t="n"/>
    </row>
    <row r="509">
      <c r="E509" s="15" t="n"/>
      <c r="F509" s="15" t="n"/>
      <c r="G509" s="15" t="n"/>
      <c r="H509" s="16" t="n"/>
      <c r="I509" s="16" t="n"/>
      <c r="J509" s="17" t="n"/>
      <c r="K509" s="17" t="n"/>
      <c r="L509" s="17" t="n"/>
      <c r="M509" s="16" t="n"/>
      <c r="N509" s="16" t="n"/>
      <c r="O509" s="18" t="n"/>
      <c r="P509" s="18" t="n"/>
      <c r="Q509" s="16" t="n"/>
    </row>
    <row r="510">
      <c r="E510" s="15" t="n"/>
      <c r="F510" s="15" t="n"/>
      <c r="G510" s="15" t="n"/>
      <c r="H510" s="16" t="n"/>
      <c r="I510" s="16" t="n"/>
      <c r="J510" s="17" t="n"/>
      <c r="K510" s="17" t="n"/>
      <c r="L510" s="17" t="n"/>
      <c r="M510" s="16" t="n"/>
      <c r="N510" s="16" t="n"/>
      <c r="O510" s="18" t="n"/>
      <c r="P510" s="18" t="n"/>
      <c r="Q510" s="16" t="n"/>
    </row>
    <row r="511">
      <c r="E511" s="15" t="n"/>
      <c r="F511" s="15" t="n"/>
      <c r="G511" s="15" t="n"/>
      <c r="H511" s="16" t="n"/>
      <c r="I511" s="16" t="n"/>
      <c r="J511" s="17" t="n"/>
      <c r="K511" s="17" t="n"/>
      <c r="L511" s="17" t="n"/>
      <c r="M511" s="16" t="n"/>
      <c r="N511" s="16" t="n"/>
      <c r="O511" s="18" t="n"/>
      <c r="P511" s="18" t="n"/>
      <c r="Q511" s="16" t="n"/>
    </row>
    <row r="512">
      <c r="E512" s="15" t="n"/>
      <c r="F512" s="15" t="n"/>
      <c r="G512" s="15" t="n"/>
      <c r="H512" s="16" t="n"/>
      <c r="I512" s="16" t="n"/>
      <c r="J512" s="17" t="n"/>
      <c r="K512" s="17" t="n"/>
      <c r="L512" s="17" t="n"/>
      <c r="M512" s="16" t="n"/>
      <c r="N512" s="16" t="n"/>
      <c r="O512" s="18" t="n"/>
      <c r="P512" s="18" t="n"/>
      <c r="Q512" s="16" t="n"/>
    </row>
    <row r="513">
      <c r="E513" s="15" t="n"/>
      <c r="F513" s="15" t="n"/>
      <c r="G513" s="15" t="n"/>
      <c r="H513" s="16" t="n"/>
      <c r="I513" s="16" t="n"/>
      <c r="J513" s="17" t="n"/>
      <c r="K513" s="17" t="n"/>
      <c r="L513" s="17" t="n"/>
      <c r="M513" s="16" t="n"/>
      <c r="N513" s="16" t="n"/>
      <c r="O513" s="18" t="n"/>
      <c r="P513" s="18" t="n"/>
      <c r="Q513" s="16" t="n"/>
    </row>
    <row r="514">
      <c r="E514" s="15" t="n"/>
      <c r="F514" s="15" t="n"/>
      <c r="G514" s="15" t="n"/>
      <c r="H514" s="16" t="n"/>
      <c r="I514" s="16" t="n"/>
      <c r="J514" s="17" t="n"/>
      <c r="K514" s="17" t="n"/>
      <c r="L514" s="17" t="n"/>
      <c r="M514" s="16" t="n"/>
      <c r="N514" s="16" t="n"/>
      <c r="O514" s="18" t="n"/>
      <c r="P514" s="18" t="n"/>
      <c r="Q514" s="16" t="n"/>
    </row>
    <row r="515">
      <c r="E515" s="15" t="n"/>
      <c r="F515" s="15" t="n"/>
      <c r="G515" s="15" t="n"/>
      <c r="H515" s="16" t="n"/>
      <c r="I515" s="16" t="n"/>
      <c r="J515" s="17" t="n"/>
      <c r="K515" s="17" t="n"/>
      <c r="L515" s="17" t="n"/>
      <c r="M515" s="16" t="n"/>
      <c r="N515" s="16" t="n"/>
      <c r="O515" s="18" t="n"/>
      <c r="P515" s="18" t="n"/>
      <c r="Q515" s="16" t="n"/>
    </row>
    <row r="516">
      <c r="E516" s="15" t="n"/>
      <c r="F516" s="15" t="n"/>
      <c r="G516" s="15" t="n"/>
      <c r="H516" s="16" t="n"/>
      <c r="I516" s="16" t="n"/>
      <c r="J516" s="17" t="n"/>
      <c r="K516" s="17" t="n"/>
      <c r="L516" s="17" t="n"/>
      <c r="M516" s="16" t="n"/>
      <c r="N516" s="16" t="n"/>
      <c r="O516" s="18" t="n"/>
      <c r="P516" s="18" t="n"/>
      <c r="Q516" s="16" t="n"/>
    </row>
    <row r="517">
      <c r="E517" s="15" t="n"/>
      <c r="F517" s="15" t="n"/>
      <c r="G517" s="15" t="n"/>
      <c r="H517" s="16" t="n"/>
      <c r="I517" s="16" t="n"/>
      <c r="J517" s="17" t="n"/>
      <c r="K517" s="17" t="n"/>
      <c r="L517" s="17" t="n"/>
      <c r="M517" s="16" t="n"/>
      <c r="N517" s="16" t="n"/>
      <c r="O517" s="18" t="n"/>
      <c r="P517" s="18" t="n"/>
      <c r="Q517" s="16" t="n"/>
    </row>
    <row r="518">
      <c r="E518" s="15" t="n"/>
      <c r="F518" s="15" t="n"/>
      <c r="G518" s="15" t="n"/>
      <c r="H518" s="16" t="n"/>
      <c r="I518" s="16" t="n"/>
      <c r="J518" s="17" t="n"/>
      <c r="K518" s="17" t="n"/>
      <c r="L518" s="17" t="n"/>
      <c r="M518" s="16" t="n"/>
      <c r="N518" s="16" t="n"/>
      <c r="O518" s="18" t="n"/>
      <c r="P518" s="18" t="n"/>
      <c r="Q518" s="16" t="n"/>
    </row>
    <row r="519">
      <c r="E519" s="15" t="n"/>
      <c r="F519" s="15" t="n"/>
      <c r="G519" s="15" t="n"/>
      <c r="H519" s="16" t="n"/>
      <c r="I519" s="16" t="n"/>
      <c r="J519" s="17" t="n"/>
      <c r="K519" s="17" t="n"/>
      <c r="L519" s="17" t="n"/>
      <c r="M519" s="16" t="n"/>
      <c r="N519" s="16" t="n"/>
      <c r="O519" s="18" t="n"/>
      <c r="P519" s="18" t="n"/>
      <c r="Q519" s="16" t="n"/>
    </row>
    <row r="520">
      <c r="E520" s="15" t="n"/>
      <c r="F520" s="15" t="n"/>
      <c r="G520" s="15" t="n"/>
      <c r="H520" s="16" t="n"/>
      <c r="I520" s="16" t="n"/>
      <c r="J520" s="17" t="n"/>
      <c r="K520" s="17" t="n"/>
      <c r="L520" s="17" t="n"/>
      <c r="M520" s="16" t="n"/>
      <c r="N520" s="16" t="n"/>
      <c r="O520" s="18" t="n"/>
      <c r="P520" s="18" t="n"/>
      <c r="Q520" s="16" t="n"/>
    </row>
    <row r="521">
      <c r="E521" s="15" t="n"/>
      <c r="F521" s="15" t="n"/>
      <c r="G521" s="15" t="n"/>
      <c r="H521" s="16" t="n"/>
      <c r="I521" s="16" t="n"/>
      <c r="J521" s="17" t="n"/>
      <c r="K521" s="17" t="n"/>
      <c r="L521" s="17" t="n"/>
      <c r="M521" s="16" t="n"/>
      <c r="N521" s="16" t="n"/>
      <c r="O521" s="18" t="n"/>
      <c r="P521" s="18" t="n"/>
      <c r="Q521" s="16" t="n"/>
    </row>
    <row r="522">
      <c r="E522" s="15" t="n"/>
      <c r="F522" s="15" t="n"/>
      <c r="G522" s="15" t="n"/>
      <c r="H522" s="16" t="n"/>
      <c r="I522" s="16" t="n"/>
      <c r="J522" s="17" t="n"/>
      <c r="K522" s="17" t="n"/>
      <c r="L522" s="17" t="n"/>
      <c r="M522" s="16" t="n"/>
      <c r="N522" s="16" t="n"/>
      <c r="O522" s="18" t="n"/>
      <c r="P522" s="18" t="n"/>
      <c r="Q522" s="16" t="n"/>
    </row>
    <row r="523">
      <c r="E523" s="15" t="n"/>
      <c r="F523" s="15" t="n"/>
      <c r="G523" s="15" t="n"/>
      <c r="H523" s="16" t="n"/>
      <c r="I523" s="16" t="n"/>
      <c r="J523" s="17" t="n"/>
      <c r="K523" s="17" t="n"/>
      <c r="L523" s="17" t="n"/>
      <c r="M523" s="16" t="n"/>
      <c r="N523" s="16" t="n"/>
      <c r="O523" s="18" t="n"/>
      <c r="P523" s="18" t="n"/>
      <c r="Q523" s="16" t="n"/>
    </row>
    <row r="524">
      <c r="E524" s="15" t="n"/>
      <c r="F524" s="15" t="n"/>
      <c r="G524" s="15" t="n"/>
      <c r="H524" s="16" t="n"/>
      <c r="I524" s="16" t="n"/>
      <c r="J524" s="17" t="n"/>
      <c r="K524" s="17" t="n"/>
      <c r="L524" s="17" t="n"/>
      <c r="M524" s="16" t="n"/>
      <c r="N524" s="16" t="n"/>
      <c r="O524" s="18" t="n"/>
      <c r="P524" s="18" t="n"/>
      <c r="Q524" s="16" t="n"/>
    </row>
    <row r="525">
      <c r="E525" s="15" t="n"/>
      <c r="F525" s="15" t="n"/>
      <c r="G525" s="15" t="n"/>
      <c r="H525" s="16" t="n"/>
      <c r="I525" s="16" t="n"/>
      <c r="J525" s="17" t="n"/>
      <c r="K525" s="17" t="n"/>
      <c r="L525" s="17" t="n"/>
      <c r="M525" s="16" t="n"/>
      <c r="N525" s="16" t="n"/>
      <c r="O525" s="18" t="n"/>
      <c r="P525" s="18" t="n"/>
      <c r="Q525" s="16" t="n"/>
    </row>
    <row r="526">
      <c r="E526" s="15" t="n"/>
      <c r="F526" s="15" t="n"/>
      <c r="G526" s="15" t="n"/>
      <c r="H526" s="16" t="n"/>
      <c r="I526" s="16" t="n"/>
      <c r="J526" s="17" t="n"/>
      <c r="K526" s="17" t="n"/>
      <c r="L526" s="17" t="n"/>
      <c r="M526" s="16" t="n"/>
      <c r="N526" s="16" t="n"/>
      <c r="O526" s="18" t="n"/>
      <c r="P526" s="18" t="n"/>
      <c r="Q526" s="16" t="n"/>
    </row>
    <row r="527">
      <c r="E527" s="15" t="n"/>
      <c r="F527" s="15" t="n"/>
      <c r="G527" s="15" t="n"/>
      <c r="H527" s="16" t="n"/>
      <c r="I527" s="16" t="n"/>
      <c r="J527" s="17" t="n"/>
      <c r="K527" s="17" t="n"/>
      <c r="L527" s="17" t="n"/>
      <c r="M527" s="16" t="n"/>
      <c r="N527" s="16" t="n"/>
      <c r="O527" s="18" t="n"/>
      <c r="P527" s="18" t="n"/>
      <c r="Q527" s="16" t="n"/>
    </row>
    <row r="528">
      <c r="E528" s="15" t="n"/>
      <c r="F528" s="15" t="n"/>
      <c r="G528" s="15" t="n"/>
      <c r="H528" s="16" t="n"/>
      <c r="I528" s="16" t="n"/>
      <c r="J528" s="17" t="n"/>
      <c r="K528" s="17" t="n"/>
      <c r="L528" s="17" t="n"/>
      <c r="M528" s="16" t="n"/>
      <c r="N528" s="16" t="n"/>
      <c r="O528" s="18" t="n"/>
      <c r="P528" s="18" t="n"/>
      <c r="Q528" s="16" t="n"/>
    </row>
    <row r="529">
      <c r="E529" s="15" t="n"/>
      <c r="F529" s="15" t="n"/>
      <c r="G529" s="15" t="n"/>
      <c r="H529" s="16" t="n"/>
      <c r="I529" s="16" t="n"/>
      <c r="J529" s="17" t="n"/>
      <c r="K529" s="17" t="n"/>
      <c r="L529" s="17" t="n"/>
      <c r="M529" s="16" t="n"/>
      <c r="N529" s="16" t="n"/>
      <c r="O529" s="18" t="n"/>
      <c r="P529" s="18" t="n"/>
      <c r="Q529" s="16" t="n"/>
    </row>
    <row r="530">
      <c r="E530" s="15" t="n"/>
      <c r="F530" s="15" t="n"/>
      <c r="G530" s="15" t="n"/>
      <c r="H530" s="16" t="n"/>
      <c r="I530" s="16" t="n"/>
      <c r="J530" s="17" t="n"/>
      <c r="K530" s="17" t="n"/>
      <c r="L530" s="17" t="n"/>
      <c r="M530" s="16" t="n"/>
      <c r="N530" s="16" t="n"/>
      <c r="O530" s="18" t="n"/>
      <c r="P530" s="18" t="n"/>
      <c r="Q530" s="16" t="n"/>
    </row>
    <row r="531">
      <c r="E531" s="15" t="n"/>
      <c r="F531" s="15" t="n"/>
      <c r="G531" s="15" t="n"/>
      <c r="H531" s="16" t="n"/>
      <c r="I531" s="16" t="n"/>
      <c r="J531" s="17" t="n"/>
      <c r="K531" s="17" t="n"/>
      <c r="L531" s="17" t="n"/>
      <c r="M531" s="16" t="n"/>
      <c r="N531" s="16" t="n"/>
      <c r="O531" s="18" t="n"/>
      <c r="P531" s="18" t="n"/>
      <c r="Q531" s="16" t="n"/>
    </row>
    <row r="532">
      <c r="E532" s="15" t="n"/>
      <c r="F532" s="15" t="n"/>
      <c r="G532" s="15" t="n"/>
      <c r="H532" s="16" t="n"/>
      <c r="I532" s="16" t="n"/>
      <c r="J532" s="17" t="n"/>
      <c r="K532" s="17" t="n"/>
      <c r="L532" s="17" t="n"/>
      <c r="M532" s="16" t="n"/>
      <c r="N532" s="16" t="n"/>
      <c r="O532" s="18" t="n"/>
      <c r="P532" s="18" t="n"/>
      <c r="Q532" s="16" t="n"/>
    </row>
    <row r="533">
      <c r="E533" s="15" t="n"/>
      <c r="F533" s="15" t="n"/>
      <c r="G533" s="15" t="n"/>
      <c r="H533" s="16" t="n"/>
      <c r="I533" s="16" t="n"/>
      <c r="J533" s="17" t="n"/>
      <c r="K533" s="17" t="n"/>
      <c r="L533" s="17" t="n"/>
      <c r="M533" s="16" t="n"/>
      <c r="N533" s="16" t="n"/>
      <c r="O533" s="18" t="n"/>
      <c r="P533" s="18" t="n"/>
      <c r="Q533" s="16" t="n"/>
    </row>
    <row r="534">
      <c r="E534" s="15" t="n"/>
      <c r="F534" s="15" t="n"/>
      <c r="G534" s="15" t="n"/>
      <c r="H534" s="16" t="n"/>
      <c r="I534" s="16" t="n"/>
      <c r="J534" s="17" t="n"/>
      <c r="K534" s="17" t="n"/>
      <c r="L534" s="17" t="n"/>
      <c r="M534" s="16" t="n"/>
      <c r="N534" s="16" t="n"/>
      <c r="O534" s="18" t="n"/>
      <c r="P534" s="18" t="n"/>
      <c r="Q534" s="16" t="n"/>
    </row>
    <row r="535">
      <c r="E535" s="15" t="n"/>
      <c r="F535" s="15" t="n"/>
      <c r="G535" s="15" t="n"/>
      <c r="H535" s="16" t="n"/>
      <c r="I535" s="16" t="n"/>
      <c r="J535" s="17" t="n"/>
      <c r="K535" s="17" t="n"/>
      <c r="L535" s="17" t="n"/>
      <c r="M535" s="16" t="n"/>
      <c r="N535" s="16" t="n"/>
      <c r="O535" s="18" t="n"/>
      <c r="P535" s="18" t="n"/>
      <c r="Q535" s="16" t="n"/>
    </row>
    <row r="536">
      <c r="E536" s="15" t="n"/>
      <c r="F536" s="15" t="n"/>
      <c r="G536" s="15" t="n"/>
      <c r="H536" s="16" t="n"/>
      <c r="I536" s="16" t="n"/>
      <c r="J536" s="17" t="n"/>
      <c r="K536" s="17" t="n"/>
      <c r="L536" s="17" t="n"/>
      <c r="M536" s="16" t="n"/>
      <c r="N536" s="16" t="n"/>
      <c r="O536" s="18" t="n"/>
      <c r="P536" s="18" t="n"/>
      <c r="Q536" s="16" t="n"/>
    </row>
    <row r="537">
      <c r="E537" s="15" t="n"/>
      <c r="F537" s="15" t="n"/>
      <c r="G537" s="15" t="n"/>
      <c r="H537" s="16" t="n"/>
      <c r="I537" s="16" t="n"/>
      <c r="J537" s="17" t="n"/>
      <c r="K537" s="17" t="n"/>
      <c r="L537" s="17" t="n"/>
      <c r="M537" s="16" t="n"/>
      <c r="N537" s="16" t="n"/>
      <c r="O537" s="18" t="n"/>
      <c r="P537" s="18" t="n"/>
      <c r="Q537" s="16" t="n"/>
    </row>
    <row r="538">
      <c r="E538" s="15" t="n"/>
      <c r="F538" s="15" t="n"/>
      <c r="G538" s="15" t="n"/>
      <c r="H538" s="16" t="n"/>
      <c r="I538" s="16" t="n"/>
      <c r="J538" s="17" t="n"/>
      <c r="K538" s="17" t="n"/>
      <c r="L538" s="17" t="n"/>
      <c r="M538" s="16" t="n"/>
      <c r="N538" s="16" t="n"/>
      <c r="O538" s="18" t="n"/>
      <c r="P538" s="18" t="n"/>
      <c r="Q538" s="16" t="n"/>
    </row>
    <row r="539">
      <c r="E539" s="15" t="n"/>
      <c r="F539" s="15" t="n"/>
      <c r="G539" s="15" t="n"/>
      <c r="H539" s="16" t="n"/>
      <c r="I539" s="16" t="n"/>
      <c r="J539" s="17" t="n"/>
      <c r="K539" s="17" t="n"/>
      <c r="L539" s="17" t="n"/>
      <c r="M539" s="16" t="n"/>
      <c r="N539" s="16" t="n"/>
      <c r="O539" s="18" t="n"/>
      <c r="P539" s="18" t="n"/>
      <c r="Q539" s="16" t="n"/>
    </row>
    <row r="540">
      <c r="E540" s="15" t="n"/>
      <c r="F540" s="15" t="n"/>
      <c r="G540" s="15" t="n"/>
      <c r="H540" s="16" t="n"/>
      <c r="I540" s="16" t="n"/>
      <c r="J540" s="17" t="n"/>
      <c r="K540" s="17" t="n"/>
      <c r="L540" s="17" t="n"/>
      <c r="M540" s="16" t="n"/>
      <c r="N540" s="16" t="n"/>
      <c r="O540" s="18" t="n"/>
      <c r="P540" s="18" t="n"/>
      <c r="Q540" s="16" t="n"/>
    </row>
    <row r="541">
      <c r="E541" s="15" t="n"/>
      <c r="F541" s="15" t="n"/>
      <c r="G541" s="15" t="n"/>
      <c r="H541" s="16" t="n"/>
      <c r="I541" s="16" t="n"/>
      <c r="J541" s="17" t="n"/>
      <c r="K541" s="17" t="n"/>
      <c r="L541" s="17" t="n"/>
      <c r="M541" s="16" t="n"/>
      <c r="N541" s="16" t="n"/>
      <c r="O541" s="18" t="n"/>
      <c r="P541" s="18" t="n"/>
      <c r="Q541" s="16" t="n"/>
    </row>
    <row r="542">
      <c r="E542" s="15" t="n"/>
      <c r="F542" s="15" t="n"/>
      <c r="G542" s="15" t="n"/>
      <c r="H542" s="16" t="n"/>
      <c r="I542" s="16" t="n"/>
      <c r="J542" s="17" t="n"/>
      <c r="K542" s="17" t="n"/>
      <c r="L542" s="17" t="n"/>
      <c r="M542" s="16" t="n"/>
      <c r="N542" s="16" t="n"/>
      <c r="O542" s="18" t="n"/>
      <c r="P542" s="18" t="n"/>
      <c r="Q542" s="16" t="n"/>
    </row>
    <row r="543">
      <c r="E543" s="15" t="n"/>
      <c r="F543" s="15" t="n"/>
      <c r="G543" s="15" t="n"/>
      <c r="H543" s="16" t="n"/>
      <c r="I543" s="16" t="n"/>
      <c r="J543" s="17" t="n"/>
      <c r="K543" s="17" t="n"/>
      <c r="L543" s="17" t="n"/>
      <c r="M543" s="16" t="n"/>
      <c r="N543" s="16" t="n"/>
      <c r="O543" s="18" t="n"/>
      <c r="P543" s="18" t="n"/>
      <c r="Q543" s="16" t="n"/>
    </row>
    <row r="544">
      <c r="E544" s="15" t="n"/>
      <c r="F544" s="15" t="n"/>
      <c r="G544" s="15" t="n"/>
      <c r="H544" s="16" t="n"/>
      <c r="I544" s="16" t="n"/>
      <c r="J544" s="17" t="n"/>
      <c r="K544" s="17" t="n"/>
      <c r="L544" s="17" t="n"/>
      <c r="M544" s="16" t="n"/>
      <c r="N544" s="16" t="n"/>
      <c r="O544" s="18" t="n"/>
      <c r="P544" s="18" t="n"/>
      <c r="Q544" s="16" t="n"/>
    </row>
    <row r="545">
      <c r="E545" s="15" t="n"/>
      <c r="F545" s="15" t="n"/>
      <c r="G545" s="15" t="n"/>
      <c r="H545" s="16" t="n"/>
      <c r="I545" s="16" t="n"/>
      <c r="J545" s="17" t="n"/>
      <c r="K545" s="17" t="n"/>
      <c r="L545" s="17" t="n"/>
      <c r="M545" s="16" t="n"/>
      <c r="N545" s="16" t="n"/>
      <c r="O545" s="18" t="n"/>
      <c r="P545" s="18" t="n"/>
      <c r="Q545" s="16" t="n"/>
    </row>
    <row r="546">
      <c r="E546" s="15" t="n"/>
      <c r="F546" s="15" t="n"/>
      <c r="G546" s="15" t="n"/>
      <c r="H546" s="16" t="n"/>
      <c r="I546" s="16" t="n"/>
      <c r="J546" s="17" t="n"/>
      <c r="K546" s="17" t="n"/>
      <c r="L546" s="17" t="n"/>
      <c r="M546" s="16" t="n"/>
      <c r="N546" s="16" t="n"/>
      <c r="O546" s="18" t="n"/>
      <c r="P546" s="18" t="n"/>
      <c r="Q546" s="16" t="n"/>
    </row>
    <row r="547">
      <c r="E547" s="15" t="n"/>
      <c r="F547" s="15" t="n"/>
      <c r="G547" s="15" t="n"/>
      <c r="H547" s="16" t="n"/>
      <c r="I547" s="16" t="n"/>
      <c r="J547" s="17" t="n"/>
      <c r="K547" s="17" t="n"/>
      <c r="L547" s="17" t="n"/>
      <c r="M547" s="16" t="n"/>
      <c r="N547" s="16" t="n"/>
      <c r="O547" s="18" t="n"/>
      <c r="P547" s="18" t="n"/>
      <c r="Q547" s="16" t="n"/>
    </row>
    <row r="548">
      <c r="E548" s="15" t="n"/>
      <c r="F548" s="15" t="n"/>
      <c r="G548" s="15" t="n"/>
      <c r="H548" s="16" t="n"/>
      <c r="I548" s="16" t="n"/>
      <c r="J548" s="17" t="n"/>
      <c r="K548" s="17" t="n"/>
      <c r="L548" s="17" t="n"/>
      <c r="M548" s="16" t="n"/>
      <c r="N548" s="16" t="n"/>
      <c r="O548" s="18" t="n"/>
      <c r="P548" s="18" t="n"/>
      <c r="Q548" s="16" t="n"/>
    </row>
    <row r="549">
      <c r="E549" s="15" t="n"/>
      <c r="F549" s="15" t="n"/>
      <c r="G549" s="15" t="n"/>
      <c r="H549" s="16" t="n"/>
      <c r="I549" s="16" t="n"/>
      <c r="J549" s="17" t="n"/>
      <c r="K549" s="17" t="n"/>
      <c r="L549" s="17" t="n"/>
      <c r="M549" s="16" t="n"/>
      <c r="N549" s="16" t="n"/>
      <c r="O549" s="18" t="n"/>
      <c r="P549" s="18" t="n"/>
      <c r="Q549" s="16" t="n"/>
    </row>
    <row r="550">
      <c r="E550" s="15" t="n"/>
      <c r="F550" s="15" t="n"/>
      <c r="G550" s="15" t="n"/>
      <c r="H550" s="16" t="n"/>
      <c r="I550" s="16" t="n"/>
      <c r="J550" s="17" t="n"/>
      <c r="K550" s="17" t="n"/>
      <c r="L550" s="17" t="n"/>
      <c r="M550" s="16" t="n"/>
      <c r="N550" s="16" t="n"/>
      <c r="O550" s="18" t="n"/>
      <c r="P550" s="18" t="n"/>
      <c r="Q550" s="16" t="n"/>
    </row>
    <row r="551">
      <c r="E551" s="15" t="n"/>
      <c r="F551" s="15" t="n"/>
      <c r="G551" s="15" t="n"/>
      <c r="H551" s="16" t="n"/>
      <c r="I551" s="16" t="n"/>
      <c r="J551" s="17" t="n"/>
      <c r="K551" s="17" t="n"/>
      <c r="L551" s="17" t="n"/>
      <c r="M551" s="16" t="n"/>
      <c r="N551" s="16" t="n"/>
      <c r="O551" s="18" t="n"/>
      <c r="P551" s="18" t="n"/>
      <c r="Q551" s="16" t="n"/>
    </row>
    <row r="552">
      <c r="E552" s="15" t="n"/>
      <c r="F552" s="15" t="n"/>
      <c r="G552" s="15" t="n"/>
      <c r="H552" s="16" t="n"/>
      <c r="I552" s="16" t="n"/>
      <c r="J552" s="17" t="n"/>
      <c r="K552" s="17" t="n"/>
      <c r="L552" s="17" t="n"/>
      <c r="M552" s="16" t="n"/>
      <c r="N552" s="16" t="n"/>
      <c r="O552" s="18" t="n"/>
      <c r="P552" s="18" t="n"/>
      <c r="Q552" s="16" t="n"/>
    </row>
    <row r="553">
      <c r="E553" s="15" t="n"/>
      <c r="F553" s="15" t="n"/>
      <c r="G553" s="15" t="n"/>
      <c r="H553" s="16" t="n"/>
      <c r="I553" s="16" t="n"/>
      <c r="J553" s="17" t="n"/>
      <c r="K553" s="17" t="n"/>
      <c r="L553" s="17" t="n"/>
      <c r="M553" s="16" t="n"/>
      <c r="N553" s="16" t="n"/>
      <c r="O553" s="18" t="n"/>
      <c r="P553" s="18" t="n"/>
      <c r="Q553" s="16" t="n"/>
    </row>
    <row r="554">
      <c r="E554" s="15" t="n"/>
      <c r="F554" s="15" t="n"/>
      <c r="G554" s="15" t="n"/>
      <c r="H554" s="16" t="n"/>
      <c r="I554" s="16" t="n"/>
      <c r="J554" s="17" t="n"/>
      <c r="K554" s="17" t="n"/>
      <c r="L554" s="17" t="n"/>
      <c r="M554" s="16" t="n"/>
      <c r="N554" s="16" t="n"/>
      <c r="O554" s="18" t="n"/>
      <c r="P554" s="18" t="n"/>
      <c r="Q554" s="16" t="n"/>
    </row>
    <row r="555">
      <c r="E555" s="15" t="n"/>
      <c r="F555" s="15" t="n"/>
      <c r="G555" s="15" t="n"/>
      <c r="H555" s="16" t="n"/>
      <c r="I555" s="16" t="n"/>
      <c r="J555" s="17" t="n"/>
      <c r="K555" s="17" t="n"/>
      <c r="L555" s="17" t="n"/>
      <c r="M555" s="16" t="n"/>
      <c r="N555" s="16" t="n"/>
      <c r="O555" s="18" t="n"/>
      <c r="P555" s="18" t="n"/>
      <c r="Q555" s="16" t="n"/>
    </row>
    <row r="556">
      <c r="E556" s="15" t="n"/>
      <c r="F556" s="15" t="n"/>
      <c r="G556" s="15" t="n"/>
      <c r="H556" s="16" t="n"/>
      <c r="I556" s="16" t="n"/>
      <c r="J556" s="17" t="n"/>
      <c r="K556" s="17" t="n"/>
      <c r="L556" s="17" t="n"/>
      <c r="M556" s="16" t="n"/>
      <c r="N556" s="16" t="n"/>
      <c r="O556" s="18" t="n"/>
      <c r="P556" s="18" t="n"/>
      <c r="Q556" s="16" t="n"/>
    </row>
    <row r="557">
      <c r="E557" s="15" t="n"/>
      <c r="F557" s="15" t="n"/>
      <c r="G557" s="15" t="n"/>
      <c r="H557" s="16" t="n"/>
      <c r="I557" s="16" t="n"/>
      <c r="J557" s="17" t="n"/>
      <c r="K557" s="17" t="n"/>
      <c r="L557" s="17" t="n"/>
      <c r="M557" s="16" t="n"/>
      <c r="N557" s="16" t="n"/>
      <c r="O557" s="18" t="n"/>
      <c r="P557" s="18" t="n"/>
      <c r="Q557" s="16" t="n"/>
    </row>
    <row r="558">
      <c r="E558" s="15" t="n"/>
      <c r="F558" s="15" t="n"/>
      <c r="G558" s="15" t="n"/>
      <c r="H558" s="16" t="n"/>
      <c r="I558" s="16" t="n"/>
      <c r="J558" s="17" t="n"/>
      <c r="K558" s="17" t="n"/>
      <c r="L558" s="17" t="n"/>
      <c r="M558" s="16" t="n"/>
      <c r="N558" s="16" t="n"/>
      <c r="O558" s="18" t="n"/>
      <c r="P558" s="18" t="n"/>
      <c r="Q558" s="16" t="n"/>
    </row>
    <row r="559">
      <c r="E559" s="15" t="n"/>
      <c r="F559" s="15" t="n"/>
      <c r="G559" s="15" t="n"/>
      <c r="H559" s="16" t="n"/>
      <c r="I559" s="16" t="n"/>
      <c r="J559" s="17" t="n"/>
      <c r="K559" s="17" t="n"/>
      <c r="L559" s="17" t="n"/>
      <c r="M559" s="16" t="n"/>
      <c r="N559" s="16" t="n"/>
      <c r="O559" s="18" t="n"/>
      <c r="P559" s="18" t="n"/>
      <c r="Q559" s="16" t="n"/>
    </row>
    <row r="560">
      <c r="E560" s="15" t="n"/>
      <c r="F560" s="15" t="n"/>
      <c r="G560" s="15" t="n"/>
      <c r="H560" s="16" t="n"/>
      <c r="I560" s="16" t="n"/>
      <c r="J560" s="17" t="n"/>
      <c r="K560" s="17" t="n"/>
      <c r="L560" s="17" t="n"/>
      <c r="M560" s="16" t="n"/>
      <c r="N560" s="16" t="n"/>
      <c r="O560" s="18" t="n"/>
      <c r="P560" s="18" t="n"/>
      <c r="Q560" s="16" t="n"/>
    </row>
    <row r="561">
      <c r="E561" s="15" t="n"/>
      <c r="F561" s="15" t="n"/>
      <c r="G561" s="15" t="n"/>
      <c r="H561" s="16" t="n"/>
      <c r="I561" s="16" t="n"/>
      <c r="J561" s="17" t="n"/>
      <c r="K561" s="17" t="n"/>
      <c r="L561" s="17" t="n"/>
      <c r="M561" s="16" t="n"/>
      <c r="N561" s="16" t="n"/>
      <c r="O561" s="18" t="n"/>
      <c r="P561" s="18" t="n"/>
      <c r="Q561" s="16" t="n"/>
    </row>
    <row r="562">
      <c r="E562" s="15" t="n"/>
      <c r="F562" s="15" t="n"/>
      <c r="G562" s="15" t="n"/>
      <c r="H562" s="16" t="n"/>
      <c r="I562" s="16" t="n"/>
      <c r="J562" s="17" t="n"/>
      <c r="K562" s="17" t="n"/>
      <c r="L562" s="17" t="n"/>
      <c r="M562" s="16" t="n"/>
      <c r="N562" s="16" t="n"/>
      <c r="O562" s="18" t="n"/>
      <c r="P562" s="18" t="n"/>
      <c r="Q562" s="16" t="n"/>
    </row>
    <row r="563">
      <c r="E563" s="15" t="n"/>
      <c r="F563" s="15" t="n"/>
      <c r="G563" s="15" t="n"/>
      <c r="H563" s="16" t="n"/>
      <c r="I563" s="16" t="n"/>
      <c r="J563" s="17" t="n"/>
      <c r="K563" s="17" t="n"/>
      <c r="L563" s="17" t="n"/>
      <c r="M563" s="16" t="n"/>
      <c r="N563" s="16" t="n"/>
      <c r="O563" s="18" t="n"/>
      <c r="P563" s="18" t="n"/>
      <c r="Q563" s="16" t="n"/>
    </row>
    <row r="564">
      <c r="E564" s="15" t="n"/>
      <c r="F564" s="15" t="n"/>
      <c r="G564" s="15" t="n"/>
      <c r="H564" s="16" t="n"/>
      <c r="I564" s="16" t="n"/>
      <c r="J564" s="17" t="n"/>
      <c r="K564" s="17" t="n"/>
      <c r="L564" s="17" t="n"/>
      <c r="M564" s="16" t="n"/>
      <c r="N564" s="16" t="n"/>
      <c r="O564" s="18" t="n"/>
      <c r="P564" s="18" t="n"/>
      <c r="Q564" s="16" t="n"/>
    </row>
    <row r="565">
      <c r="E565" s="15" t="n"/>
      <c r="F565" s="15" t="n"/>
      <c r="G565" s="15" t="n"/>
      <c r="H565" s="16" t="n"/>
      <c r="I565" s="16" t="n"/>
      <c r="J565" s="17" t="n"/>
      <c r="K565" s="17" t="n"/>
      <c r="L565" s="17" t="n"/>
      <c r="M565" s="16" t="n"/>
      <c r="N565" s="16" t="n"/>
      <c r="O565" s="18" t="n"/>
      <c r="P565" s="18" t="n"/>
      <c r="Q565" s="16" t="n"/>
    </row>
    <row r="566">
      <c r="E566" s="15" t="n"/>
      <c r="F566" s="15" t="n"/>
      <c r="G566" s="15" t="n"/>
      <c r="H566" s="16" t="n"/>
      <c r="I566" s="16" t="n"/>
      <c r="J566" s="17" t="n"/>
      <c r="K566" s="17" t="n"/>
      <c r="L566" s="17" t="n"/>
      <c r="M566" s="16" t="n"/>
      <c r="N566" s="16" t="n"/>
      <c r="O566" s="18" t="n"/>
      <c r="P566" s="18" t="n"/>
      <c r="Q566" s="16" t="n"/>
    </row>
    <row r="567">
      <c r="E567" s="15" t="n"/>
      <c r="F567" s="15" t="n"/>
      <c r="G567" s="15" t="n"/>
      <c r="H567" s="16" t="n"/>
      <c r="I567" s="16" t="n"/>
      <c r="J567" s="17" t="n"/>
      <c r="K567" s="17" t="n"/>
      <c r="L567" s="17" t="n"/>
      <c r="M567" s="16" t="n"/>
      <c r="N567" s="16" t="n"/>
      <c r="O567" s="18" t="n"/>
      <c r="P567" s="18" t="n"/>
      <c r="Q567" s="16" t="n"/>
    </row>
    <row r="568">
      <c r="E568" s="15" t="n"/>
      <c r="F568" s="15" t="n"/>
      <c r="G568" s="15" t="n"/>
      <c r="H568" s="16" t="n"/>
      <c r="I568" s="16" t="n"/>
      <c r="J568" s="17" t="n"/>
      <c r="K568" s="17" t="n"/>
      <c r="L568" s="17" t="n"/>
      <c r="M568" s="16" t="n"/>
      <c r="N568" s="16" t="n"/>
      <c r="O568" s="18" t="n"/>
      <c r="P568" s="18" t="n"/>
      <c r="Q568" s="16" t="n"/>
    </row>
    <row r="569">
      <c r="E569" s="15" t="n"/>
      <c r="F569" s="15" t="n"/>
      <c r="G569" s="15" t="n"/>
      <c r="H569" s="16" t="n"/>
      <c r="I569" s="16" t="n"/>
      <c r="J569" s="17" t="n"/>
      <c r="K569" s="17" t="n"/>
      <c r="L569" s="17" t="n"/>
      <c r="M569" s="16" t="n"/>
      <c r="N569" s="16" t="n"/>
      <c r="O569" s="18" t="n"/>
      <c r="P569" s="18" t="n"/>
      <c r="Q569" s="16" t="n"/>
    </row>
    <row r="570">
      <c r="E570" s="15" t="n"/>
      <c r="F570" s="15" t="n"/>
      <c r="G570" s="15" t="n"/>
      <c r="H570" s="16" t="n"/>
      <c r="I570" s="16" t="n"/>
      <c r="J570" s="17" t="n"/>
      <c r="K570" s="17" t="n"/>
      <c r="L570" s="17" t="n"/>
      <c r="M570" s="16" t="n"/>
      <c r="N570" s="16" t="n"/>
      <c r="O570" s="18" t="n"/>
      <c r="P570" s="18" t="n"/>
      <c r="Q570" s="16" t="n"/>
    </row>
    <row r="571">
      <c r="E571" s="15" t="n"/>
      <c r="F571" s="15" t="n"/>
      <c r="G571" s="15" t="n"/>
      <c r="H571" s="16" t="n"/>
      <c r="I571" s="16" t="n"/>
      <c r="J571" s="17" t="n"/>
      <c r="K571" s="17" t="n"/>
      <c r="L571" s="17" t="n"/>
      <c r="M571" s="16" t="n"/>
      <c r="N571" s="16" t="n"/>
      <c r="O571" s="18" t="n"/>
      <c r="P571" s="18" t="n"/>
      <c r="Q571" s="16" t="n"/>
    </row>
    <row r="572">
      <c r="E572" s="15" t="n"/>
      <c r="F572" s="15" t="n"/>
      <c r="G572" s="15" t="n"/>
      <c r="H572" s="16" t="n"/>
      <c r="I572" s="16" t="n"/>
      <c r="J572" s="17" t="n"/>
      <c r="K572" s="17" t="n"/>
      <c r="L572" s="17" t="n"/>
      <c r="M572" s="16" t="n"/>
      <c r="N572" s="16" t="n"/>
      <c r="O572" s="18" t="n"/>
      <c r="P572" s="18" t="n"/>
      <c r="Q572" s="16" t="n"/>
    </row>
    <row r="573">
      <c r="E573" s="15" t="n"/>
      <c r="F573" s="15" t="n"/>
      <c r="G573" s="15" t="n"/>
      <c r="H573" s="16" t="n"/>
      <c r="I573" s="16" t="n"/>
      <c r="J573" s="17" t="n"/>
      <c r="K573" s="17" t="n"/>
      <c r="L573" s="17" t="n"/>
      <c r="M573" s="16" t="n"/>
      <c r="N573" s="16" t="n"/>
      <c r="O573" s="18" t="n"/>
      <c r="P573" s="18" t="n"/>
      <c r="Q573" s="16" t="n"/>
    </row>
    <row r="574">
      <c r="E574" s="15" t="n"/>
      <c r="F574" s="15" t="n"/>
      <c r="G574" s="15" t="n"/>
      <c r="H574" s="16" t="n"/>
      <c r="I574" s="16" t="n"/>
      <c r="J574" s="17" t="n"/>
      <c r="K574" s="17" t="n"/>
      <c r="L574" s="17" t="n"/>
      <c r="M574" s="16" t="n"/>
      <c r="N574" s="16" t="n"/>
      <c r="O574" s="18" t="n"/>
      <c r="P574" s="18" t="n"/>
      <c r="Q574" s="16" t="n"/>
    </row>
    <row r="575">
      <c r="E575" s="15" t="n"/>
      <c r="F575" s="15" t="n"/>
      <c r="G575" s="15" t="n"/>
      <c r="H575" s="16" t="n"/>
      <c r="I575" s="16" t="n"/>
      <c r="J575" s="17" t="n"/>
      <c r="K575" s="17" t="n"/>
      <c r="L575" s="17" t="n"/>
      <c r="M575" s="16" t="n"/>
      <c r="N575" s="16" t="n"/>
      <c r="O575" s="18" t="n"/>
      <c r="P575" s="18" t="n"/>
      <c r="Q575" s="16" t="n"/>
    </row>
    <row r="576">
      <c r="E576" s="15" t="n"/>
      <c r="F576" s="15" t="n"/>
      <c r="G576" s="15" t="n"/>
      <c r="H576" s="16" t="n"/>
      <c r="I576" s="16" t="n"/>
      <c r="J576" s="17" t="n"/>
      <c r="K576" s="17" t="n"/>
      <c r="L576" s="17" t="n"/>
      <c r="M576" s="16" t="n"/>
      <c r="N576" s="16" t="n"/>
      <c r="O576" s="18" t="n"/>
      <c r="P576" s="18" t="n"/>
      <c r="Q576" s="16" t="n"/>
    </row>
    <row r="577">
      <c r="E577" s="15" t="n"/>
      <c r="F577" s="15" t="n"/>
      <c r="G577" s="15" t="n"/>
      <c r="H577" s="16" t="n"/>
      <c r="I577" s="16" t="n"/>
      <c r="J577" s="17" t="n"/>
      <c r="K577" s="17" t="n"/>
      <c r="L577" s="17" t="n"/>
      <c r="M577" s="16" t="n"/>
      <c r="N577" s="16" t="n"/>
      <c r="O577" s="18" t="n"/>
      <c r="P577" s="18" t="n"/>
      <c r="Q577" s="16" t="n"/>
    </row>
    <row r="578">
      <c r="E578" s="15" t="n"/>
      <c r="F578" s="15" t="n"/>
      <c r="G578" s="15" t="n"/>
      <c r="H578" s="16" t="n"/>
      <c r="I578" s="16" t="n"/>
      <c r="J578" s="17" t="n"/>
      <c r="K578" s="17" t="n"/>
      <c r="L578" s="17" t="n"/>
      <c r="M578" s="16" t="n"/>
      <c r="N578" s="16" t="n"/>
      <c r="O578" s="18" t="n"/>
      <c r="P578" s="18" t="n"/>
      <c r="Q578" s="16" t="n"/>
    </row>
    <row r="579">
      <c r="E579" s="15" t="n"/>
      <c r="F579" s="15" t="n"/>
      <c r="G579" s="15" t="n"/>
      <c r="H579" s="16" t="n"/>
      <c r="I579" s="16" t="n"/>
      <c r="J579" s="17" t="n"/>
      <c r="K579" s="17" t="n"/>
      <c r="L579" s="17" t="n"/>
      <c r="M579" s="16" t="n"/>
      <c r="N579" s="16" t="n"/>
      <c r="O579" s="18" t="n"/>
      <c r="P579" s="18" t="n"/>
      <c r="Q579" s="16" t="n"/>
    </row>
    <row r="580">
      <c r="E580" s="15" t="n"/>
      <c r="F580" s="15" t="n"/>
      <c r="G580" s="15" t="n"/>
      <c r="H580" s="16" t="n"/>
      <c r="I580" s="16" t="n"/>
      <c r="J580" s="17" t="n"/>
      <c r="K580" s="17" t="n"/>
      <c r="L580" s="17" t="n"/>
      <c r="M580" s="16" t="n"/>
      <c r="N580" s="16" t="n"/>
      <c r="O580" s="18" t="n"/>
      <c r="P580" s="18" t="n"/>
      <c r="Q580" s="16" t="n"/>
    </row>
    <row r="581">
      <c r="E581" s="15" t="n"/>
      <c r="F581" s="15" t="n"/>
      <c r="G581" s="15" t="n"/>
      <c r="H581" s="16" t="n"/>
      <c r="I581" s="16" t="n"/>
      <c r="J581" s="17" t="n"/>
      <c r="K581" s="17" t="n"/>
      <c r="L581" s="17" t="n"/>
      <c r="M581" s="16" t="n"/>
      <c r="N581" s="16" t="n"/>
      <c r="O581" s="18" t="n"/>
      <c r="P581" s="18" t="n"/>
      <c r="Q581" s="16" t="n"/>
    </row>
    <row r="582">
      <c r="E582" s="15" t="n"/>
      <c r="F582" s="15" t="n"/>
      <c r="G582" s="15" t="n"/>
      <c r="H582" s="16" t="n"/>
      <c r="I582" s="16" t="n"/>
      <c r="J582" s="17" t="n"/>
      <c r="K582" s="17" t="n"/>
      <c r="L582" s="17" t="n"/>
      <c r="M582" s="16" t="n"/>
      <c r="N582" s="16" t="n"/>
      <c r="O582" s="18" t="n"/>
      <c r="P582" s="18" t="n"/>
      <c r="Q582" s="16" t="n"/>
    </row>
    <row r="583">
      <c r="E583" s="15" t="n"/>
      <c r="F583" s="15" t="n"/>
      <c r="G583" s="15" t="n"/>
      <c r="H583" s="16" t="n"/>
      <c r="I583" s="16" t="n"/>
      <c r="J583" s="17" t="n"/>
      <c r="K583" s="17" t="n"/>
      <c r="L583" s="17" t="n"/>
      <c r="M583" s="16" t="n"/>
      <c r="N583" s="16" t="n"/>
      <c r="O583" s="18" t="n"/>
      <c r="P583" s="18" t="n"/>
      <c r="Q583" s="16" t="n"/>
    </row>
    <row r="584">
      <c r="E584" s="15" t="n"/>
      <c r="F584" s="15" t="n"/>
      <c r="G584" s="15" t="n"/>
      <c r="H584" s="16" t="n"/>
      <c r="I584" s="16" t="n"/>
      <c r="J584" s="17" t="n"/>
      <c r="K584" s="17" t="n"/>
      <c r="L584" s="17" t="n"/>
      <c r="M584" s="16" t="n"/>
      <c r="N584" s="16" t="n"/>
      <c r="O584" s="18" t="n"/>
      <c r="P584" s="18" t="n"/>
      <c r="Q584" s="16" t="n"/>
    </row>
    <row r="585">
      <c r="E585" s="15" t="n"/>
      <c r="F585" s="15" t="n"/>
      <c r="G585" s="15" t="n"/>
      <c r="H585" s="16" t="n"/>
      <c r="I585" s="16" t="n"/>
      <c r="J585" s="17" t="n"/>
      <c r="K585" s="17" t="n"/>
      <c r="L585" s="17" t="n"/>
      <c r="M585" s="16" t="n"/>
      <c r="N585" s="16" t="n"/>
      <c r="O585" s="18" t="n"/>
      <c r="P585" s="18" t="n"/>
      <c r="Q585" s="16" t="n"/>
    </row>
    <row r="586">
      <c r="E586" s="15" t="n"/>
      <c r="F586" s="15" t="n"/>
      <c r="G586" s="15" t="n"/>
      <c r="H586" s="16" t="n"/>
      <c r="I586" s="16" t="n"/>
      <c r="J586" s="17" t="n"/>
      <c r="K586" s="17" t="n"/>
      <c r="L586" s="17" t="n"/>
      <c r="M586" s="16" t="n"/>
      <c r="N586" s="16" t="n"/>
      <c r="O586" s="18" t="n"/>
      <c r="P586" s="18" t="n"/>
      <c r="Q586" s="16" t="n"/>
    </row>
    <row r="587">
      <c r="E587" s="15" t="n"/>
      <c r="F587" s="15" t="n"/>
      <c r="G587" s="15" t="n"/>
      <c r="H587" s="16" t="n"/>
      <c r="I587" s="16" t="n"/>
      <c r="J587" s="17" t="n"/>
      <c r="K587" s="17" t="n"/>
      <c r="L587" s="17" t="n"/>
      <c r="M587" s="16" t="n"/>
      <c r="N587" s="16" t="n"/>
      <c r="O587" s="18" t="n"/>
      <c r="P587" s="18" t="n"/>
      <c r="Q587" s="16" t="n"/>
    </row>
    <row r="588">
      <c r="E588" s="15" t="n"/>
      <c r="F588" s="15" t="n"/>
      <c r="G588" s="15" t="n"/>
      <c r="H588" s="16" t="n"/>
      <c r="I588" s="16" t="n"/>
      <c r="J588" s="17" t="n"/>
      <c r="K588" s="17" t="n"/>
      <c r="L588" s="17" t="n"/>
      <c r="M588" s="16" t="n"/>
      <c r="N588" s="16" t="n"/>
      <c r="O588" s="18" t="n"/>
      <c r="P588" s="18" t="n"/>
      <c r="Q588" s="16" t="n"/>
    </row>
    <row r="589">
      <c r="E589" s="15" t="n"/>
      <c r="F589" s="15" t="n"/>
      <c r="G589" s="15" t="n"/>
      <c r="H589" s="16" t="n"/>
      <c r="I589" s="16" t="n"/>
      <c r="J589" s="17" t="n"/>
      <c r="K589" s="17" t="n"/>
      <c r="L589" s="17" t="n"/>
      <c r="M589" s="16" t="n"/>
      <c r="N589" s="16" t="n"/>
      <c r="O589" s="18" t="n"/>
      <c r="P589" s="18" t="n"/>
      <c r="Q589" s="16" t="n"/>
    </row>
    <row r="590">
      <c r="E590" s="15" t="n"/>
      <c r="F590" s="15" t="n"/>
      <c r="G590" s="15" t="n"/>
      <c r="H590" s="16" t="n"/>
      <c r="I590" s="16" t="n"/>
      <c r="J590" s="17" t="n"/>
      <c r="K590" s="17" t="n"/>
      <c r="L590" s="17" t="n"/>
      <c r="M590" s="16" t="n"/>
      <c r="N590" s="16" t="n"/>
      <c r="O590" s="18" t="n"/>
      <c r="P590" s="18" t="n"/>
      <c r="Q590" s="16" t="n"/>
    </row>
    <row r="591">
      <c r="E591" s="15" t="n"/>
      <c r="F591" s="15" t="n"/>
      <c r="G591" s="15" t="n"/>
      <c r="H591" s="16" t="n"/>
      <c r="I591" s="16" t="n"/>
      <c r="J591" s="17" t="n"/>
      <c r="K591" s="17" t="n"/>
      <c r="L591" s="17" t="n"/>
      <c r="M591" s="16" t="n"/>
      <c r="N591" s="16" t="n"/>
      <c r="O591" s="18" t="n"/>
      <c r="P591" s="18" t="n"/>
      <c r="Q591" s="16" t="n"/>
    </row>
    <row r="592">
      <c r="E592" s="15" t="n"/>
      <c r="F592" s="15" t="n"/>
      <c r="G592" s="15" t="n"/>
      <c r="H592" s="16" t="n"/>
      <c r="I592" s="16" t="n"/>
      <c r="J592" s="17" t="n"/>
      <c r="K592" s="17" t="n"/>
      <c r="L592" s="17" t="n"/>
      <c r="M592" s="16" t="n"/>
      <c r="N592" s="16" t="n"/>
      <c r="O592" s="18" t="n"/>
      <c r="P592" s="18" t="n"/>
      <c r="Q592" s="16" t="n"/>
    </row>
    <row r="593">
      <c r="E593" s="15" t="n"/>
      <c r="F593" s="15" t="n"/>
      <c r="G593" s="15" t="n"/>
      <c r="H593" s="16" t="n"/>
      <c r="I593" s="16" t="n"/>
      <c r="J593" s="17" t="n"/>
      <c r="K593" s="17" t="n"/>
      <c r="L593" s="17" t="n"/>
      <c r="M593" s="16" t="n"/>
      <c r="N593" s="16" t="n"/>
      <c r="O593" s="18" t="n"/>
      <c r="P593" s="18" t="n"/>
      <c r="Q593" s="16" t="n"/>
    </row>
    <row r="594">
      <c r="E594" s="15" t="n"/>
      <c r="F594" s="15" t="n"/>
      <c r="G594" s="15" t="n"/>
      <c r="H594" s="16" t="n"/>
      <c r="I594" s="16" t="n"/>
      <c r="J594" s="17" t="n"/>
      <c r="K594" s="17" t="n"/>
      <c r="L594" s="17" t="n"/>
      <c r="M594" s="16" t="n"/>
      <c r="N594" s="16" t="n"/>
      <c r="O594" s="18" t="n"/>
      <c r="P594" s="18" t="n"/>
      <c r="Q594" s="16" t="n"/>
    </row>
    <row r="595">
      <c r="E595" s="15" t="n"/>
      <c r="F595" s="15" t="n"/>
      <c r="G595" s="15" t="n"/>
      <c r="H595" s="16" t="n"/>
      <c r="I595" s="16" t="n"/>
      <c r="J595" s="17" t="n"/>
      <c r="K595" s="17" t="n"/>
      <c r="L595" s="17" t="n"/>
      <c r="M595" s="16" t="n"/>
      <c r="N595" s="16" t="n"/>
      <c r="O595" s="18" t="n"/>
      <c r="P595" s="18" t="n"/>
      <c r="Q595" s="16" t="n"/>
    </row>
    <row r="596">
      <c r="E596" s="15" t="n"/>
      <c r="F596" s="15" t="n"/>
      <c r="G596" s="15" t="n"/>
      <c r="H596" s="16" t="n"/>
      <c r="I596" s="16" t="n"/>
      <c r="J596" s="17" t="n"/>
      <c r="K596" s="17" t="n"/>
      <c r="L596" s="17" t="n"/>
      <c r="M596" s="16" t="n"/>
      <c r="N596" s="16" t="n"/>
      <c r="O596" s="18" t="n"/>
      <c r="P596" s="18" t="n"/>
      <c r="Q596" s="16" t="n"/>
    </row>
    <row r="597">
      <c r="E597" s="15" t="n"/>
      <c r="F597" s="15" t="n"/>
      <c r="G597" s="15" t="n"/>
      <c r="H597" s="16" t="n"/>
      <c r="I597" s="16" t="n"/>
      <c r="J597" s="17" t="n"/>
      <c r="K597" s="17" t="n"/>
      <c r="L597" s="17" t="n"/>
      <c r="M597" s="16" t="n"/>
      <c r="N597" s="16" t="n"/>
      <c r="O597" s="18" t="n"/>
      <c r="P597" s="18" t="n"/>
      <c r="Q597" s="16" t="n"/>
    </row>
    <row r="598">
      <c r="E598" s="15" t="n"/>
      <c r="F598" s="15" t="n"/>
      <c r="G598" s="15" t="n"/>
      <c r="H598" s="16" t="n"/>
      <c r="I598" s="16" t="n"/>
      <c r="J598" s="17" t="n"/>
      <c r="K598" s="17" t="n"/>
      <c r="L598" s="17" t="n"/>
      <c r="M598" s="16" t="n"/>
      <c r="N598" s="16" t="n"/>
      <c r="O598" s="18" t="n"/>
      <c r="P598" s="18" t="n"/>
      <c r="Q598" s="16" t="n"/>
    </row>
    <row r="599">
      <c r="E599" s="15" t="n"/>
      <c r="F599" s="15" t="n"/>
      <c r="G599" s="15" t="n"/>
      <c r="H599" s="16" t="n"/>
      <c r="I599" s="16" t="n"/>
      <c r="J599" s="17" t="n"/>
      <c r="K599" s="17" t="n"/>
      <c r="L599" s="17" t="n"/>
      <c r="M599" s="16" t="n"/>
      <c r="N599" s="16" t="n"/>
      <c r="O599" s="18" t="n"/>
      <c r="P599" s="18" t="n"/>
      <c r="Q599" s="16" t="n"/>
    </row>
    <row r="600">
      <c r="E600" s="15" t="n"/>
      <c r="F600" s="15" t="n"/>
      <c r="G600" s="15" t="n"/>
      <c r="H600" s="16" t="n"/>
      <c r="I600" s="16" t="n"/>
      <c r="J600" s="17" t="n"/>
      <c r="K600" s="17" t="n"/>
      <c r="L600" s="17" t="n"/>
      <c r="M600" s="16" t="n"/>
      <c r="N600" s="16" t="n"/>
      <c r="O600" s="18" t="n"/>
      <c r="P600" s="18" t="n"/>
      <c r="Q600" s="16" t="n"/>
    </row>
    <row r="601">
      <c r="E601" s="15" t="n"/>
      <c r="F601" s="15" t="n"/>
      <c r="G601" s="15" t="n"/>
      <c r="H601" s="16" t="n"/>
      <c r="I601" s="16" t="n"/>
      <c r="J601" s="17" t="n"/>
      <c r="K601" s="17" t="n"/>
      <c r="L601" s="17" t="n"/>
      <c r="M601" s="16" t="n"/>
      <c r="N601" s="16" t="n"/>
      <c r="O601" s="18" t="n"/>
      <c r="P601" s="18" t="n"/>
      <c r="Q601" s="16" t="n"/>
    </row>
    <row r="602">
      <c r="E602" s="15" t="n"/>
      <c r="F602" s="15" t="n"/>
      <c r="G602" s="15" t="n"/>
      <c r="H602" s="16" t="n"/>
      <c r="I602" s="16" t="n"/>
      <c r="J602" s="17" t="n"/>
      <c r="K602" s="17" t="n"/>
      <c r="L602" s="17" t="n"/>
      <c r="M602" s="16" t="n"/>
      <c r="N602" s="16" t="n"/>
      <c r="O602" s="18" t="n"/>
      <c r="P602" s="18" t="n"/>
      <c r="Q602" s="16" t="n"/>
    </row>
    <row r="603">
      <c r="E603" s="15" t="n"/>
      <c r="F603" s="15" t="n"/>
      <c r="G603" s="15" t="n"/>
      <c r="H603" s="16" t="n"/>
      <c r="I603" s="16" t="n"/>
      <c r="J603" s="17" t="n"/>
      <c r="K603" s="17" t="n"/>
      <c r="L603" s="17" t="n"/>
      <c r="M603" s="16" t="n"/>
      <c r="N603" s="16" t="n"/>
      <c r="O603" s="18" t="n"/>
      <c r="P603" s="18" t="n"/>
      <c r="Q603" s="16" t="n"/>
    </row>
    <row r="604">
      <c r="E604" s="15" t="n"/>
      <c r="F604" s="15" t="n"/>
      <c r="G604" s="15" t="n"/>
      <c r="H604" s="16" t="n"/>
      <c r="I604" s="16" t="n"/>
      <c r="J604" s="17" t="n"/>
      <c r="K604" s="17" t="n"/>
      <c r="L604" s="17" t="n"/>
      <c r="M604" s="16" t="n"/>
      <c r="N604" s="16" t="n"/>
      <c r="O604" s="18" t="n"/>
      <c r="P604" s="18" t="n"/>
      <c r="Q604" s="16" t="n"/>
    </row>
    <row r="605">
      <c r="E605" s="15" t="n"/>
      <c r="F605" s="15" t="n"/>
      <c r="G605" s="15" t="n"/>
      <c r="H605" s="16" t="n"/>
      <c r="I605" s="16" t="n"/>
      <c r="J605" s="17" t="n"/>
      <c r="K605" s="17" t="n"/>
      <c r="L605" s="17" t="n"/>
      <c r="M605" s="16" t="n"/>
      <c r="N605" s="16" t="n"/>
      <c r="O605" s="18" t="n"/>
      <c r="P605" s="18" t="n"/>
      <c r="Q605" s="16" t="n"/>
    </row>
    <row r="606">
      <c r="E606" s="15" t="n"/>
      <c r="F606" s="15" t="n"/>
      <c r="G606" s="15" t="n"/>
      <c r="H606" s="16" t="n"/>
      <c r="I606" s="16" t="n"/>
      <c r="J606" s="17" t="n"/>
      <c r="K606" s="17" t="n"/>
      <c r="L606" s="17" t="n"/>
      <c r="M606" s="16" t="n"/>
      <c r="N606" s="16" t="n"/>
      <c r="O606" s="18" t="n"/>
      <c r="P606" s="18" t="n"/>
      <c r="Q606" s="16" t="n"/>
    </row>
    <row r="607">
      <c r="E607" s="15" t="n"/>
      <c r="F607" s="15" t="n"/>
      <c r="G607" s="15" t="n"/>
      <c r="H607" s="16" t="n"/>
      <c r="I607" s="16" t="n"/>
      <c r="J607" s="17" t="n"/>
      <c r="K607" s="17" t="n"/>
      <c r="L607" s="17" t="n"/>
      <c r="M607" s="16" t="n"/>
      <c r="N607" s="16" t="n"/>
      <c r="O607" s="18" t="n"/>
      <c r="P607" s="18" t="n"/>
      <c r="Q607" s="16" t="n"/>
    </row>
    <row r="608">
      <c r="E608" s="15" t="n"/>
      <c r="F608" s="15" t="n"/>
      <c r="G608" s="15" t="n"/>
      <c r="H608" s="16" t="n"/>
      <c r="I608" s="16" t="n"/>
      <c r="J608" s="17" t="n"/>
      <c r="K608" s="17" t="n"/>
      <c r="L608" s="17" t="n"/>
      <c r="M608" s="16" t="n"/>
      <c r="N608" s="16" t="n"/>
      <c r="O608" s="18" t="n"/>
      <c r="P608" s="18" t="n"/>
      <c r="Q608" s="16" t="n"/>
    </row>
    <row r="609">
      <c r="E609" s="15" t="n"/>
      <c r="F609" s="15" t="n"/>
      <c r="G609" s="15" t="n"/>
      <c r="H609" s="16" t="n"/>
      <c r="I609" s="16" t="n"/>
      <c r="J609" s="17" t="n"/>
      <c r="K609" s="17" t="n"/>
      <c r="L609" s="17" t="n"/>
      <c r="M609" s="16" t="n"/>
      <c r="N609" s="16" t="n"/>
      <c r="O609" s="18" t="n"/>
      <c r="P609" s="18" t="n"/>
      <c r="Q609" s="16" t="n"/>
    </row>
    <row r="610">
      <c r="E610" s="15" t="n"/>
      <c r="F610" s="15" t="n"/>
      <c r="G610" s="15" t="n"/>
      <c r="H610" s="16" t="n"/>
      <c r="I610" s="16" t="n"/>
      <c r="J610" s="17" t="n"/>
      <c r="K610" s="17" t="n"/>
      <c r="L610" s="17" t="n"/>
      <c r="M610" s="16" t="n"/>
      <c r="N610" s="16" t="n"/>
      <c r="O610" s="18" t="n"/>
      <c r="P610" s="18" t="n"/>
      <c r="Q610" s="16" t="n"/>
    </row>
    <row r="611">
      <c r="E611" s="15" t="n"/>
      <c r="F611" s="15" t="n"/>
      <c r="G611" s="15" t="n"/>
      <c r="H611" s="16" t="n"/>
      <c r="I611" s="16" t="n"/>
      <c r="J611" s="17" t="n"/>
      <c r="K611" s="17" t="n"/>
      <c r="L611" s="17" t="n"/>
      <c r="M611" s="16" t="n"/>
      <c r="N611" s="16" t="n"/>
      <c r="O611" s="18" t="n"/>
      <c r="P611" s="18" t="n"/>
      <c r="Q611" s="16" t="n"/>
    </row>
    <row r="612">
      <c r="E612" s="15" t="n"/>
      <c r="F612" s="15" t="n"/>
      <c r="G612" s="15" t="n"/>
      <c r="H612" s="16" t="n"/>
      <c r="I612" s="16" t="n"/>
      <c r="J612" s="17" t="n"/>
      <c r="K612" s="17" t="n"/>
      <c r="L612" s="17" t="n"/>
      <c r="M612" s="16" t="n"/>
      <c r="N612" s="16" t="n"/>
      <c r="O612" s="18" t="n"/>
      <c r="P612" s="18" t="n"/>
      <c r="Q612" s="16" t="n"/>
    </row>
    <row r="613">
      <c r="E613" s="15" t="n"/>
      <c r="F613" s="15" t="n"/>
      <c r="G613" s="15" t="n"/>
      <c r="H613" s="16" t="n"/>
      <c r="I613" s="16" t="n"/>
      <c r="J613" s="17" t="n"/>
      <c r="K613" s="17" t="n"/>
      <c r="L613" s="17" t="n"/>
      <c r="M613" s="16" t="n"/>
      <c r="N613" s="16" t="n"/>
      <c r="O613" s="18" t="n"/>
      <c r="P613" s="18" t="n"/>
      <c r="Q613" s="16" t="n"/>
    </row>
    <row r="614">
      <c r="E614" s="15" t="n"/>
      <c r="F614" s="15" t="n"/>
      <c r="G614" s="15" t="n"/>
      <c r="H614" s="16" t="n"/>
      <c r="I614" s="16" t="n"/>
      <c r="J614" s="17" t="n"/>
      <c r="K614" s="17" t="n"/>
      <c r="L614" s="17" t="n"/>
      <c r="M614" s="16" t="n"/>
      <c r="N614" s="16" t="n"/>
      <c r="O614" s="18" t="n"/>
      <c r="P614" s="18" t="n"/>
      <c r="Q614" s="16" t="n"/>
    </row>
    <row r="615">
      <c r="E615" s="15" t="n"/>
      <c r="F615" s="15" t="n"/>
      <c r="G615" s="15" t="n"/>
      <c r="H615" s="16" t="n"/>
      <c r="I615" s="16" t="n"/>
      <c r="J615" s="17" t="n"/>
      <c r="K615" s="17" t="n"/>
      <c r="L615" s="17" t="n"/>
      <c r="M615" s="16" t="n"/>
      <c r="N615" s="16" t="n"/>
      <c r="O615" s="18" t="n"/>
      <c r="P615" s="18" t="n"/>
      <c r="Q615" s="16" t="n"/>
    </row>
    <row r="616">
      <c r="E616" s="15" t="n"/>
      <c r="F616" s="15" t="n"/>
      <c r="G616" s="15" t="n"/>
      <c r="H616" s="16" t="n"/>
      <c r="I616" s="16" t="n"/>
      <c r="J616" s="17" t="n"/>
      <c r="K616" s="17" t="n"/>
      <c r="L616" s="17" t="n"/>
      <c r="M616" s="16" t="n"/>
      <c r="N616" s="16" t="n"/>
      <c r="O616" s="18" t="n"/>
      <c r="P616" s="18" t="n"/>
      <c r="Q616" s="16" t="n"/>
    </row>
    <row r="617">
      <c r="E617" s="15" t="n"/>
      <c r="F617" s="15" t="n"/>
      <c r="G617" s="15" t="n"/>
      <c r="H617" s="16" t="n"/>
      <c r="I617" s="16" t="n"/>
      <c r="J617" s="17" t="n"/>
      <c r="K617" s="17" t="n"/>
      <c r="L617" s="17" t="n"/>
      <c r="M617" s="16" t="n"/>
      <c r="N617" s="16" t="n"/>
      <c r="O617" s="18" t="n"/>
      <c r="P617" s="18" t="n"/>
      <c r="Q617" s="16" t="n"/>
    </row>
    <row r="618">
      <c r="E618" s="15" t="n"/>
      <c r="F618" s="15" t="n"/>
      <c r="G618" s="15" t="n"/>
      <c r="H618" s="16" t="n"/>
      <c r="I618" s="16" t="n"/>
      <c r="J618" s="17" t="n"/>
      <c r="K618" s="17" t="n"/>
      <c r="L618" s="17" t="n"/>
      <c r="M618" s="16" t="n"/>
      <c r="N618" s="16" t="n"/>
      <c r="O618" s="18" t="n"/>
      <c r="P618" s="18" t="n"/>
      <c r="Q618" s="16" t="n"/>
    </row>
    <row r="619">
      <c r="E619" s="15" t="n"/>
      <c r="F619" s="15" t="n"/>
      <c r="G619" s="15" t="n"/>
      <c r="H619" s="16" t="n"/>
      <c r="I619" s="16" t="n"/>
      <c r="J619" s="17" t="n"/>
      <c r="K619" s="17" t="n"/>
      <c r="L619" s="17" t="n"/>
      <c r="M619" s="16" t="n"/>
      <c r="N619" s="16" t="n"/>
      <c r="O619" s="18" t="n"/>
      <c r="P619" s="18" t="n"/>
      <c r="Q619" s="16" t="n"/>
    </row>
    <row r="620">
      <c r="E620" s="15" t="n"/>
      <c r="F620" s="15" t="n"/>
      <c r="G620" s="15" t="n"/>
      <c r="H620" s="16" t="n"/>
      <c r="I620" s="16" t="n"/>
      <c r="J620" s="17" t="n"/>
      <c r="K620" s="17" t="n"/>
      <c r="L620" s="17" t="n"/>
      <c r="M620" s="16" t="n"/>
      <c r="N620" s="16" t="n"/>
      <c r="O620" s="18" t="n"/>
      <c r="P620" s="18" t="n"/>
      <c r="Q620" s="16" t="n"/>
    </row>
    <row r="621">
      <c r="E621" s="15" t="n"/>
      <c r="F621" s="15" t="n"/>
      <c r="G621" s="15" t="n"/>
      <c r="H621" s="16" t="n"/>
      <c r="I621" s="16" t="n"/>
      <c r="J621" s="17" t="n"/>
      <c r="K621" s="17" t="n"/>
      <c r="L621" s="17" t="n"/>
      <c r="M621" s="16" t="n"/>
      <c r="N621" s="16" t="n"/>
      <c r="O621" s="18" t="n"/>
      <c r="P621" s="18" t="n"/>
      <c r="Q621" s="16" t="n"/>
    </row>
    <row r="622">
      <c r="E622" s="15" t="n"/>
      <c r="F622" s="15" t="n"/>
      <c r="G622" s="15" t="n"/>
      <c r="H622" s="16" t="n"/>
      <c r="I622" s="16" t="n"/>
      <c r="J622" s="17" t="n"/>
      <c r="K622" s="17" t="n"/>
      <c r="L622" s="17" t="n"/>
      <c r="M622" s="16" t="n"/>
      <c r="N622" s="16" t="n"/>
      <c r="O622" s="18" t="n"/>
      <c r="P622" s="18" t="n"/>
      <c r="Q622" s="16" t="n"/>
    </row>
    <row r="623">
      <c r="E623" s="15" t="n"/>
      <c r="F623" s="15" t="n"/>
      <c r="G623" s="15" t="n"/>
      <c r="H623" s="16" t="n"/>
      <c r="I623" s="16" t="n"/>
      <c r="J623" s="17" t="n"/>
      <c r="K623" s="17" t="n"/>
      <c r="L623" s="17" t="n"/>
      <c r="M623" s="16" t="n"/>
      <c r="N623" s="16" t="n"/>
      <c r="O623" s="18" t="n"/>
      <c r="P623" s="18" t="n"/>
      <c r="Q623" s="16" t="n"/>
    </row>
    <row r="624">
      <c r="E624" s="15" t="n"/>
      <c r="F624" s="15" t="n"/>
      <c r="G624" s="15" t="n"/>
      <c r="H624" s="16" t="n"/>
      <c r="I624" s="16" t="n"/>
      <c r="J624" s="17" t="n"/>
      <c r="K624" s="17" t="n"/>
      <c r="L624" s="17" t="n"/>
      <c r="M624" s="16" t="n"/>
      <c r="N624" s="16" t="n"/>
      <c r="O624" s="18" t="n"/>
      <c r="P624" s="18" t="n"/>
      <c r="Q624" s="16" t="n"/>
    </row>
    <row r="625">
      <c r="E625" s="15" t="n"/>
      <c r="F625" s="15" t="n"/>
      <c r="G625" s="15" t="n"/>
      <c r="H625" s="16" t="n"/>
      <c r="I625" s="16" t="n"/>
      <c r="J625" s="17" t="n"/>
      <c r="K625" s="17" t="n"/>
      <c r="L625" s="17" t="n"/>
      <c r="M625" s="16" t="n"/>
      <c r="N625" s="16" t="n"/>
      <c r="O625" s="18" t="n"/>
      <c r="P625" s="18" t="n"/>
      <c r="Q625" s="16" t="n"/>
    </row>
    <row r="626">
      <c r="E626" s="15" t="n"/>
      <c r="F626" s="15" t="n"/>
      <c r="G626" s="15" t="n"/>
      <c r="H626" s="16" t="n"/>
      <c r="I626" s="16" t="n"/>
      <c r="J626" s="17" t="n"/>
      <c r="K626" s="17" t="n"/>
      <c r="L626" s="17" t="n"/>
      <c r="M626" s="16" t="n"/>
      <c r="N626" s="16" t="n"/>
      <c r="O626" s="18" t="n"/>
      <c r="P626" s="18" t="n"/>
      <c r="Q626" s="16" t="n"/>
    </row>
    <row r="627">
      <c r="E627" s="15" t="n"/>
      <c r="F627" s="15" t="n"/>
      <c r="G627" s="15" t="n"/>
      <c r="H627" s="16" t="n"/>
      <c r="I627" s="16" t="n"/>
      <c r="J627" s="17" t="n"/>
      <c r="K627" s="17" t="n"/>
      <c r="L627" s="17" t="n"/>
      <c r="M627" s="16" t="n"/>
      <c r="N627" s="16" t="n"/>
      <c r="O627" s="18" t="n"/>
      <c r="P627" s="18" t="n"/>
      <c r="Q627" s="16" t="n"/>
    </row>
    <row r="628">
      <c r="E628" s="15" t="n"/>
      <c r="F628" s="15" t="n"/>
      <c r="G628" s="15" t="n"/>
      <c r="H628" s="16" t="n"/>
      <c r="I628" s="16" t="n"/>
      <c r="J628" s="17" t="n"/>
      <c r="K628" s="17" t="n"/>
      <c r="L628" s="17" t="n"/>
      <c r="M628" s="16" t="n"/>
      <c r="N628" s="16" t="n"/>
      <c r="O628" s="18" t="n"/>
      <c r="P628" s="18" t="n"/>
      <c r="Q628" s="16" t="n"/>
    </row>
    <row r="629">
      <c r="E629" s="15" t="n"/>
      <c r="F629" s="15" t="n"/>
      <c r="G629" s="15" t="n"/>
      <c r="H629" s="16" t="n"/>
      <c r="I629" s="16" t="n"/>
      <c r="J629" s="17" t="n"/>
      <c r="K629" s="17" t="n"/>
      <c r="L629" s="17" t="n"/>
      <c r="M629" s="16" t="n"/>
      <c r="N629" s="16" t="n"/>
      <c r="O629" s="18" t="n"/>
      <c r="P629" s="18" t="n"/>
      <c r="Q629" s="16" t="n"/>
    </row>
    <row r="630">
      <c r="E630" s="15" t="n"/>
      <c r="F630" s="15" t="n"/>
      <c r="G630" s="15" t="n"/>
      <c r="H630" s="16" t="n"/>
      <c r="I630" s="16" t="n"/>
      <c r="J630" s="17" t="n"/>
      <c r="K630" s="17" t="n"/>
      <c r="L630" s="17" t="n"/>
      <c r="M630" s="16" t="n"/>
      <c r="N630" s="16" t="n"/>
      <c r="O630" s="18" t="n"/>
      <c r="P630" s="18" t="n"/>
      <c r="Q630" s="16" t="n"/>
    </row>
    <row r="631">
      <c r="E631" s="15" t="n"/>
      <c r="F631" s="15" t="n"/>
      <c r="G631" s="15" t="n"/>
      <c r="H631" s="16" t="n"/>
      <c r="I631" s="16" t="n"/>
      <c r="J631" s="17" t="n"/>
      <c r="K631" s="17" t="n"/>
      <c r="L631" s="17" t="n"/>
      <c r="M631" s="16" t="n"/>
      <c r="N631" s="16" t="n"/>
      <c r="O631" s="18" t="n"/>
      <c r="P631" s="18" t="n"/>
      <c r="Q631" s="16" t="n"/>
    </row>
    <row r="632">
      <c r="E632" s="15" t="n"/>
      <c r="F632" s="15" t="n"/>
      <c r="G632" s="15" t="n"/>
      <c r="H632" s="16" t="n"/>
      <c r="I632" s="16" t="n"/>
      <c r="J632" s="17" t="n"/>
      <c r="K632" s="17" t="n"/>
      <c r="L632" s="17" t="n"/>
      <c r="M632" s="16" t="n"/>
      <c r="N632" s="16" t="n"/>
      <c r="O632" s="18" t="n"/>
      <c r="P632" s="18" t="n"/>
      <c r="Q632" s="16" t="n"/>
    </row>
    <row r="633">
      <c r="E633" s="15" t="n"/>
      <c r="F633" s="15" t="n"/>
      <c r="G633" s="15" t="n"/>
      <c r="H633" s="16" t="n"/>
      <c r="I633" s="16" t="n"/>
      <c r="J633" s="17" t="n"/>
      <c r="K633" s="17" t="n"/>
      <c r="L633" s="17" t="n"/>
      <c r="M633" s="16" t="n"/>
      <c r="N633" s="16" t="n"/>
      <c r="O633" s="18" t="n"/>
      <c r="P633" s="18" t="n"/>
      <c r="Q633" s="16" t="n"/>
    </row>
    <row r="634">
      <c r="E634" s="15" t="n"/>
      <c r="F634" s="15" t="n"/>
      <c r="G634" s="15" t="n"/>
      <c r="H634" s="16" t="n"/>
      <c r="I634" s="16" t="n"/>
      <c r="J634" s="17" t="n"/>
      <c r="K634" s="17" t="n"/>
      <c r="L634" s="17" t="n"/>
      <c r="M634" s="16" t="n"/>
      <c r="N634" s="16" t="n"/>
      <c r="O634" s="18" t="n"/>
      <c r="P634" s="18" t="n"/>
      <c r="Q634" s="16" t="n"/>
    </row>
    <row r="635">
      <c r="E635" s="15" t="n"/>
      <c r="F635" s="15" t="n"/>
      <c r="G635" s="15" t="n"/>
      <c r="H635" s="16" t="n"/>
      <c r="I635" s="16" t="n"/>
      <c r="J635" s="17" t="n"/>
      <c r="K635" s="17" t="n"/>
      <c r="L635" s="17" t="n"/>
      <c r="M635" s="16" t="n"/>
      <c r="N635" s="16" t="n"/>
      <c r="O635" s="18" t="n"/>
      <c r="P635" s="18" t="n"/>
      <c r="Q635" s="16" t="n"/>
    </row>
    <row r="636">
      <c r="E636" s="15" t="n"/>
      <c r="F636" s="15" t="n"/>
      <c r="G636" s="15" t="n"/>
      <c r="H636" s="16" t="n"/>
      <c r="I636" s="16" t="n"/>
      <c r="J636" s="17" t="n"/>
      <c r="K636" s="17" t="n"/>
      <c r="L636" s="17" t="n"/>
      <c r="M636" s="16" t="n"/>
      <c r="N636" s="16" t="n"/>
      <c r="O636" s="18" t="n"/>
      <c r="P636" s="18" t="n"/>
      <c r="Q636" s="16" t="n"/>
    </row>
    <row r="637">
      <c r="E637" s="15" t="n"/>
      <c r="F637" s="15" t="n"/>
      <c r="G637" s="15" t="n"/>
      <c r="H637" s="16" t="n"/>
      <c r="I637" s="16" t="n"/>
      <c r="J637" s="17" t="n"/>
      <c r="K637" s="17" t="n"/>
      <c r="L637" s="17" t="n"/>
      <c r="M637" s="16" t="n"/>
      <c r="N637" s="16" t="n"/>
      <c r="O637" s="18" t="n"/>
      <c r="P637" s="18" t="n"/>
      <c r="Q637" s="16" t="n"/>
    </row>
    <row r="638">
      <c r="E638" s="15" t="n"/>
      <c r="F638" s="15" t="n"/>
      <c r="G638" s="15" t="n"/>
      <c r="H638" s="16" t="n"/>
      <c r="I638" s="16" t="n"/>
      <c r="J638" s="17" t="n"/>
      <c r="K638" s="17" t="n"/>
      <c r="L638" s="17" t="n"/>
      <c r="M638" s="16" t="n"/>
      <c r="N638" s="16" t="n"/>
      <c r="O638" s="18" t="n"/>
      <c r="P638" s="18" t="n"/>
      <c r="Q638" s="16" t="n"/>
    </row>
    <row r="639">
      <c r="E639" s="15" t="n"/>
      <c r="F639" s="15" t="n"/>
      <c r="G639" s="15" t="n"/>
      <c r="H639" s="16" t="n"/>
      <c r="I639" s="16" t="n"/>
      <c r="J639" s="17" t="n"/>
      <c r="K639" s="17" t="n"/>
      <c r="L639" s="17" t="n"/>
      <c r="M639" s="16" t="n"/>
      <c r="N639" s="16" t="n"/>
      <c r="O639" s="18" t="n"/>
      <c r="P639" s="18" t="n"/>
      <c r="Q639" s="16" t="n"/>
    </row>
    <row r="640">
      <c r="E640" s="15" t="n"/>
      <c r="F640" s="15" t="n"/>
      <c r="G640" s="15" t="n"/>
      <c r="H640" s="16" t="n"/>
      <c r="I640" s="16" t="n"/>
      <c r="J640" s="17" t="n"/>
      <c r="K640" s="17" t="n"/>
      <c r="L640" s="17" t="n"/>
      <c r="M640" s="16" t="n"/>
      <c r="N640" s="16" t="n"/>
      <c r="O640" s="18" t="n"/>
      <c r="P640" s="18" t="n"/>
      <c r="Q640" s="16" t="n"/>
    </row>
    <row r="641">
      <c r="E641" s="15" t="n"/>
      <c r="F641" s="15" t="n"/>
      <c r="G641" s="15" t="n"/>
      <c r="H641" s="16" t="n"/>
      <c r="I641" s="16" t="n"/>
      <c r="J641" s="17" t="n"/>
      <c r="K641" s="17" t="n"/>
      <c r="L641" s="17" t="n"/>
      <c r="M641" s="16" t="n"/>
      <c r="N641" s="16" t="n"/>
      <c r="O641" s="18" t="n"/>
      <c r="P641" s="18" t="n"/>
      <c r="Q641" s="16" t="n"/>
    </row>
    <row r="642">
      <c r="E642" s="15" t="n"/>
      <c r="F642" s="15" t="n"/>
      <c r="G642" s="15" t="n"/>
      <c r="H642" s="16" t="n"/>
      <c r="I642" s="16" t="n"/>
      <c r="J642" s="17" t="n"/>
      <c r="K642" s="17" t="n"/>
      <c r="L642" s="17" t="n"/>
      <c r="M642" s="16" t="n"/>
      <c r="N642" s="16" t="n"/>
      <c r="O642" s="18" t="n"/>
      <c r="P642" s="18" t="n"/>
      <c r="Q642" s="16" t="n"/>
    </row>
    <row r="643">
      <c r="E643" s="15" t="n"/>
      <c r="F643" s="15" t="n"/>
      <c r="G643" s="15" t="n"/>
      <c r="H643" s="16" t="n"/>
      <c r="I643" s="16" t="n"/>
      <c r="J643" s="17" t="n"/>
      <c r="K643" s="17" t="n"/>
      <c r="L643" s="17" t="n"/>
      <c r="M643" s="16" t="n"/>
      <c r="N643" s="16" t="n"/>
      <c r="O643" s="18" t="n"/>
      <c r="P643" s="18" t="n"/>
      <c r="Q643" s="16" t="n"/>
    </row>
    <row r="644">
      <c r="E644" s="15" t="n"/>
      <c r="F644" s="15" t="n"/>
      <c r="G644" s="15" t="n"/>
      <c r="H644" s="16" t="n"/>
      <c r="I644" s="16" t="n"/>
      <c r="J644" s="17" t="n"/>
      <c r="K644" s="17" t="n"/>
      <c r="L644" s="17" t="n"/>
      <c r="M644" s="16" t="n"/>
      <c r="N644" s="16" t="n"/>
      <c r="O644" s="18" t="n"/>
      <c r="P644" s="18" t="n"/>
      <c r="Q644" s="16" t="n"/>
    </row>
    <row r="645">
      <c r="E645" s="15" t="n"/>
      <c r="F645" s="15" t="n"/>
      <c r="G645" s="15" t="n"/>
      <c r="H645" s="16" t="n"/>
      <c r="I645" s="16" t="n"/>
      <c r="J645" s="17" t="n"/>
      <c r="K645" s="17" t="n"/>
      <c r="L645" s="17" t="n"/>
      <c r="M645" s="16" t="n"/>
      <c r="N645" s="16" t="n"/>
      <c r="O645" s="18" t="n"/>
      <c r="P645" s="18" t="n"/>
      <c r="Q645" s="16" t="n"/>
    </row>
    <row r="646">
      <c r="E646" s="15" t="n"/>
      <c r="F646" s="15" t="n"/>
      <c r="G646" s="15" t="n"/>
      <c r="H646" s="16" t="n"/>
      <c r="I646" s="16" t="n"/>
      <c r="J646" s="17" t="n"/>
      <c r="K646" s="17" t="n"/>
      <c r="L646" s="17" t="n"/>
      <c r="M646" s="16" t="n"/>
      <c r="N646" s="16" t="n"/>
      <c r="O646" s="18" t="n"/>
      <c r="P646" s="18" t="n"/>
      <c r="Q646" s="16" t="n"/>
    </row>
    <row r="647">
      <c r="E647" s="15" t="n"/>
      <c r="F647" s="15" t="n"/>
      <c r="G647" s="15" t="n"/>
      <c r="H647" s="16" t="n"/>
      <c r="I647" s="16" t="n"/>
      <c r="J647" s="17" t="n"/>
      <c r="K647" s="17" t="n"/>
      <c r="L647" s="17" t="n"/>
      <c r="M647" s="16" t="n"/>
      <c r="N647" s="16" t="n"/>
      <c r="O647" s="18" t="n"/>
      <c r="P647" s="18" t="n"/>
      <c r="Q647" s="16" t="n"/>
    </row>
    <row r="648">
      <c r="E648" s="15" t="n"/>
      <c r="F648" s="15" t="n"/>
      <c r="G648" s="15" t="n"/>
      <c r="H648" s="16" t="n"/>
      <c r="I648" s="16" t="n"/>
      <c r="J648" s="17" t="n"/>
      <c r="K648" s="17" t="n"/>
      <c r="L648" s="17" t="n"/>
      <c r="M648" s="16" t="n"/>
      <c r="N648" s="16" t="n"/>
      <c r="O648" s="18" t="n"/>
      <c r="P648" s="18" t="n"/>
      <c r="Q648" s="16" t="n"/>
    </row>
    <row r="649">
      <c r="E649" s="15" t="n"/>
      <c r="F649" s="15" t="n"/>
      <c r="G649" s="15" t="n"/>
      <c r="H649" s="16" t="n"/>
      <c r="I649" s="16" t="n"/>
      <c r="J649" s="17" t="n"/>
      <c r="K649" s="17" t="n"/>
      <c r="L649" s="17" t="n"/>
      <c r="M649" s="16" t="n"/>
      <c r="N649" s="16" t="n"/>
      <c r="O649" s="18" t="n"/>
      <c r="P649" s="18" t="n"/>
      <c r="Q649" s="16" t="n"/>
    </row>
    <row r="650">
      <c r="E650" s="15" t="n"/>
      <c r="F650" s="15" t="n"/>
      <c r="G650" s="15" t="n"/>
      <c r="H650" s="16" t="n"/>
      <c r="I650" s="16" t="n"/>
      <c r="J650" s="17" t="n"/>
      <c r="K650" s="17" t="n"/>
      <c r="L650" s="17" t="n"/>
      <c r="M650" s="16" t="n"/>
      <c r="N650" s="16" t="n"/>
      <c r="O650" s="18" t="n"/>
      <c r="P650" s="18" t="n"/>
      <c r="Q650" s="16" t="n"/>
    </row>
    <row r="651">
      <c r="E651" s="15" t="n"/>
      <c r="F651" s="15" t="n"/>
      <c r="G651" s="15" t="n"/>
      <c r="H651" s="16" t="n"/>
      <c r="I651" s="16" t="n"/>
      <c r="J651" s="17" t="n"/>
      <c r="K651" s="17" t="n"/>
      <c r="L651" s="17" t="n"/>
      <c r="M651" s="16" t="n"/>
      <c r="N651" s="16" t="n"/>
      <c r="O651" s="18" t="n"/>
      <c r="P651" s="18" t="n"/>
      <c r="Q651" s="16" t="n"/>
    </row>
    <row r="652">
      <c r="E652" s="15" t="n"/>
      <c r="F652" s="15" t="n"/>
      <c r="G652" s="15" t="n"/>
      <c r="H652" s="16" t="n"/>
      <c r="I652" s="16" t="n"/>
      <c r="J652" s="17" t="n"/>
      <c r="K652" s="17" t="n"/>
      <c r="L652" s="17" t="n"/>
      <c r="M652" s="16" t="n"/>
      <c r="N652" s="16" t="n"/>
      <c r="O652" s="18" t="n"/>
      <c r="P652" s="18" t="n"/>
      <c r="Q652" s="16" t="n"/>
    </row>
    <row r="653">
      <c r="E653" s="15" t="n"/>
      <c r="F653" s="15" t="n"/>
      <c r="G653" s="15" t="n"/>
      <c r="H653" s="16" t="n"/>
      <c r="I653" s="16" t="n"/>
      <c r="J653" s="17" t="n"/>
      <c r="K653" s="17" t="n"/>
      <c r="L653" s="17" t="n"/>
      <c r="M653" s="16" t="n"/>
      <c r="N653" s="16" t="n"/>
      <c r="O653" s="18" t="n"/>
      <c r="P653" s="18" t="n"/>
      <c r="Q653" s="16" t="n"/>
    </row>
    <row r="654">
      <c r="E654" s="15" t="n"/>
      <c r="F654" s="15" t="n"/>
      <c r="G654" s="15" t="n"/>
      <c r="H654" s="16" t="n"/>
      <c r="I654" s="16" t="n"/>
      <c r="J654" s="17" t="n"/>
      <c r="K654" s="17" t="n"/>
      <c r="L654" s="17" t="n"/>
      <c r="M654" s="16" t="n"/>
      <c r="N654" s="16" t="n"/>
      <c r="O654" s="18" t="n"/>
      <c r="P654" s="18" t="n"/>
      <c r="Q654" s="16" t="n"/>
    </row>
    <row r="655">
      <c r="E655" s="15" t="n"/>
      <c r="F655" s="15" t="n"/>
      <c r="G655" s="15" t="n"/>
      <c r="H655" s="16" t="n"/>
      <c r="I655" s="16" t="n"/>
      <c r="J655" s="17" t="n"/>
      <c r="K655" s="17" t="n"/>
      <c r="L655" s="17" t="n"/>
      <c r="M655" s="16" t="n"/>
      <c r="N655" s="16" t="n"/>
      <c r="O655" s="18" t="n"/>
      <c r="P655" s="18" t="n"/>
      <c r="Q655" s="16" t="n"/>
    </row>
    <row r="656">
      <c r="E656" s="15" t="n"/>
      <c r="F656" s="15" t="n"/>
      <c r="G656" s="15" t="n"/>
      <c r="H656" s="16" t="n"/>
      <c r="I656" s="16" t="n"/>
      <c r="J656" s="17" t="n"/>
      <c r="K656" s="17" t="n"/>
      <c r="L656" s="17" t="n"/>
      <c r="M656" s="16" t="n"/>
      <c r="N656" s="16" t="n"/>
      <c r="O656" s="18" t="n"/>
      <c r="P656" s="18" t="n"/>
      <c r="Q656" s="16" t="n"/>
    </row>
    <row r="657">
      <c r="E657" s="15" t="n"/>
      <c r="F657" s="15" t="n"/>
      <c r="G657" s="15" t="n"/>
      <c r="H657" s="16" t="n"/>
      <c r="I657" s="16" t="n"/>
      <c r="J657" s="17" t="n"/>
      <c r="K657" s="17" t="n"/>
      <c r="L657" s="17" t="n"/>
      <c r="M657" s="16" t="n"/>
      <c r="N657" s="16" t="n"/>
      <c r="O657" s="18" t="n"/>
      <c r="P657" s="18" t="n"/>
      <c r="Q657" s="16" t="n"/>
    </row>
    <row r="658">
      <c r="E658" s="15" t="n"/>
      <c r="F658" s="15" t="n"/>
      <c r="G658" s="15" t="n"/>
      <c r="H658" s="16" t="n"/>
      <c r="I658" s="16" t="n"/>
      <c r="J658" s="17" t="n"/>
      <c r="K658" s="17" t="n"/>
      <c r="L658" s="17" t="n"/>
      <c r="M658" s="16" t="n"/>
      <c r="N658" s="16" t="n"/>
      <c r="O658" s="18" t="n"/>
      <c r="P658" s="18" t="n"/>
      <c r="Q658" s="16" t="n"/>
    </row>
    <row r="659">
      <c r="E659" s="15" t="n"/>
      <c r="F659" s="15" t="n"/>
      <c r="G659" s="15" t="n"/>
      <c r="H659" s="16" t="n"/>
      <c r="I659" s="16" t="n"/>
      <c r="J659" s="17" t="n"/>
      <c r="K659" s="17" t="n"/>
      <c r="L659" s="17" t="n"/>
      <c r="M659" s="16" t="n"/>
      <c r="N659" s="16" t="n"/>
      <c r="O659" s="18" t="n"/>
      <c r="P659" s="18" t="n"/>
      <c r="Q659" s="16" t="n"/>
    </row>
    <row r="660">
      <c r="E660" s="15" t="n"/>
      <c r="F660" s="15" t="n"/>
      <c r="G660" s="15" t="n"/>
      <c r="H660" s="16" t="n"/>
      <c r="I660" s="16" t="n"/>
      <c r="J660" s="17" t="n"/>
      <c r="K660" s="17" t="n"/>
      <c r="L660" s="17" t="n"/>
      <c r="M660" s="16" t="n"/>
      <c r="N660" s="16" t="n"/>
      <c r="O660" s="18" t="n"/>
      <c r="P660" s="18" t="n"/>
      <c r="Q660" s="16" t="n"/>
    </row>
    <row r="661">
      <c r="E661" s="15" t="n"/>
      <c r="F661" s="15" t="n"/>
      <c r="G661" s="15" t="n"/>
      <c r="H661" s="16" t="n"/>
      <c r="I661" s="16" t="n"/>
      <c r="J661" s="17" t="n"/>
      <c r="K661" s="17" t="n"/>
      <c r="L661" s="17" t="n"/>
      <c r="M661" s="16" t="n"/>
      <c r="N661" s="16" t="n"/>
      <c r="O661" s="18" t="n"/>
      <c r="P661" s="18" t="n"/>
      <c r="Q661" s="16" t="n"/>
    </row>
    <row r="662">
      <c r="E662" s="15" t="n"/>
      <c r="F662" s="15" t="n"/>
      <c r="G662" s="15" t="n"/>
      <c r="H662" s="16" t="n"/>
      <c r="I662" s="16" t="n"/>
      <c r="J662" s="17" t="n"/>
      <c r="K662" s="17" t="n"/>
      <c r="L662" s="17" t="n"/>
      <c r="M662" s="16" t="n"/>
      <c r="N662" s="16" t="n"/>
      <c r="O662" s="18" t="n"/>
      <c r="P662" s="18" t="n"/>
      <c r="Q662" s="16" t="n"/>
    </row>
    <row r="663">
      <c r="E663" s="15" t="n"/>
      <c r="F663" s="15" t="n"/>
      <c r="G663" s="15" t="n"/>
      <c r="H663" s="16" t="n"/>
      <c r="I663" s="16" t="n"/>
      <c r="J663" s="17" t="n"/>
      <c r="K663" s="17" t="n"/>
      <c r="L663" s="17" t="n"/>
      <c r="M663" s="16" t="n"/>
      <c r="N663" s="16" t="n"/>
      <c r="O663" s="18" t="n"/>
      <c r="P663" s="18" t="n"/>
      <c r="Q663" s="16" t="n"/>
    </row>
    <row r="664">
      <c r="E664" s="15" t="n"/>
      <c r="F664" s="15" t="n"/>
      <c r="G664" s="15" t="n"/>
      <c r="H664" s="16" t="n"/>
      <c r="I664" s="16" t="n"/>
      <c r="J664" s="17" t="n"/>
      <c r="K664" s="17" t="n"/>
      <c r="L664" s="17" t="n"/>
      <c r="M664" s="16" t="n"/>
      <c r="N664" s="16" t="n"/>
      <c r="O664" s="18" t="n"/>
      <c r="P664" s="18" t="n"/>
      <c r="Q664" s="16" t="n"/>
    </row>
    <row r="665">
      <c r="E665" s="15" t="n"/>
      <c r="F665" s="15" t="n"/>
      <c r="G665" s="15" t="n"/>
      <c r="H665" s="16" t="n"/>
      <c r="I665" s="16" t="n"/>
      <c r="J665" s="17" t="n"/>
      <c r="K665" s="17" t="n"/>
      <c r="L665" s="17" t="n"/>
      <c r="M665" s="16" t="n"/>
      <c r="N665" s="16" t="n"/>
      <c r="O665" s="18" t="n"/>
      <c r="P665" s="18" t="n"/>
      <c r="Q665" s="16" t="n"/>
    </row>
    <row r="666">
      <c r="E666" s="15" t="n"/>
      <c r="F666" s="15" t="n"/>
      <c r="G666" s="15" t="n"/>
      <c r="H666" s="16" t="n"/>
      <c r="I666" s="16" t="n"/>
      <c r="J666" s="17" t="n"/>
      <c r="K666" s="17" t="n"/>
      <c r="L666" s="17" t="n"/>
      <c r="M666" s="16" t="n"/>
      <c r="N666" s="16" t="n"/>
      <c r="O666" s="18" t="n"/>
      <c r="P666" s="18" t="n"/>
      <c r="Q666" s="16" t="n"/>
    </row>
    <row r="667">
      <c r="E667" s="15" t="n"/>
      <c r="F667" s="15" t="n"/>
      <c r="G667" s="15" t="n"/>
      <c r="H667" s="16" t="n"/>
      <c r="I667" s="16" t="n"/>
      <c r="J667" s="17" t="n"/>
      <c r="K667" s="17" t="n"/>
      <c r="L667" s="17" t="n"/>
      <c r="M667" s="16" t="n"/>
      <c r="N667" s="16" t="n"/>
      <c r="O667" s="18" t="n"/>
      <c r="P667" s="18" t="n"/>
      <c r="Q667" s="16" t="n"/>
    </row>
    <row r="668">
      <c r="E668" s="15" t="n"/>
      <c r="F668" s="15" t="n"/>
      <c r="G668" s="15" t="n"/>
      <c r="H668" s="16" t="n"/>
      <c r="I668" s="16" t="n"/>
      <c r="J668" s="17" t="n"/>
      <c r="K668" s="17" t="n"/>
      <c r="L668" s="17" t="n"/>
      <c r="M668" s="16" t="n"/>
      <c r="N668" s="16" t="n"/>
      <c r="O668" s="18" t="n"/>
      <c r="P668" s="18" t="n"/>
      <c r="Q668" s="16" t="n"/>
    </row>
    <row r="669">
      <c r="E669" s="15" t="n"/>
      <c r="F669" s="15" t="n"/>
      <c r="G669" s="15" t="n"/>
      <c r="H669" s="16" t="n"/>
      <c r="I669" s="16" t="n"/>
      <c r="J669" s="17" t="n"/>
      <c r="K669" s="17" t="n"/>
      <c r="L669" s="17" t="n"/>
      <c r="M669" s="16" t="n"/>
      <c r="N669" s="16" t="n"/>
      <c r="O669" s="18" t="n"/>
      <c r="P669" s="18" t="n"/>
      <c r="Q669" s="16" t="n"/>
    </row>
    <row r="670">
      <c r="E670" s="15" t="n"/>
      <c r="F670" s="15" t="n"/>
      <c r="G670" s="15" t="n"/>
      <c r="H670" s="16" t="n"/>
      <c r="I670" s="16" t="n"/>
      <c r="J670" s="17" t="n"/>
      <c r="K670" s="17" t="n"/>
      <c r="L670" s="17" t="n"/>
      <c r="M670" s="16" t="n"/>
      <c r="N670" s="16" t="n"/>
      <c r="O670" s="18" t="n"/>
      <c r="P670" s="18" t="n"/>
      <c r="Q670" s="16" t="n"/>
    </row>
    <row r="671">
      <c r="E671" s="15" t="n"/>
      <c r="F671" s="15" t="n"/>
      <c r="G671" s="15" t="n"/>
      <c r="H671" s="16" t="n"/>
      <c r="I671" s="16" t="n"/>
      <c r="J671" s="17" t="n"/>
      <c r="K671" s="17" t="n"/>
      <c r="L671" s="17" t="n"/>
      <c r="M671" s="16" t="n"/>
      <c r="N671" s="16" t="n"/>
      <c r="O671" s="18" t="n"/>
      <c r="P671" s="18" t="n"/>
      <c r="Q671" s="16" t="n"/>
    </row>
    <row r="672">
      <c r="E672" s="15" t="n"/>
      <c r="F672" s="15" t="n"/>
      <c r="G672" s="15" t="n"/>
      <c r="H672" s="16" t="n"/>
      <c r="I672" s="16" t="n"/>
      <c r="J672" s="17" t="n"/>
      <c r="K672" s="17" t="n"/>
      <c r="L672" s="17" t="n"/>
      <c r="M672" s="16" t="n"/>
      <c r="N672" s="16" t="n"/>
      <c r="O672" s="18" t="n"/>
      <c r="P672" s="18" t="n"/>
      <c r="Q672" s="16" t="n"/>
    </row>
    <row r="673">
      <c r="E673" s="15" t="n"/>
      <c r="F673" s="15" t="n"/>
      <c r="G673" s="15" t="n"/>
      <c r="H673" s="16" t="n"/>
      <c r="I673" s="16" t="n"/>
      <c r="J673" s="17" t="n"/>
      <c r="K673" s="17" t="n"/>
      <c r="L673" s="17" t="n"/>
      <c r="M673" s="16" t="n"/>
      <c r="N673" s="16" t="n"/>
      <c r="O673" s="18" t="n"/>
      <c r="P673" s="18" t="n"/>
      <c r="Q673" s="16" t="n"/>
    </row>
    <row r="674">
      <c r="E674" s="15" t="n"/>
      <c r="F674" s="15" t="n"/>
      <c r="G674" s="15" t="n"/>
      <c r="H674" s="16" t="n"/>
      <c r="I674" s="16" t="n"/>
      <c r="J674" s="17" t="n"/>
      <c r="K674" s="17" t="n"/>
      <c r="L674" s="17" t="n"/>
      <c r="M674" s="16" t="n"/>
      <c r="N674" s="16" t="n"/>
      <c r="O674" s="18" t="n"/>
      <c r="P674" s="18" t="n"/>
      <c r="Q674" s="16" t="n"/>
    </row>
    <row r="675">
      <c r="E675" s="15" t="n"/>
      <c r="F675" s="15" t="n"/>
      <c r="G675" s="15" t="n"/>
      <c r="H675" s="16" t="n"/>
      <c r="I675" s="16" t="n"/>
      <c r="J675" s="17" t="n"/>
      <c r="K675" s="17" t="n"/>
      <c r="L675" s="17" t="n"/>
      <c r="M675" s="16" t="n"/>
      <c r="N675" s="16" t="n"/>
      <c r="O675" s="18" t="n"/>
      <c r="P675" s="18" t="n"/>
      <c r="Q675" s="16" t="n"/>
    </row>
    <row r="676">
      <c r="E676" s="15" t="n"/>
      <c r="F676" s="15" t="n"/>
      <c r="G676" s="15" t="n"/>
      <c r="H676" s="16" t="n"/>
      <c r="I676" s="16" t="n"/>
      <c r="J676" s="17" t="n"/>
      <c r="K676" s="17" t="n"/>
      <c r="L676" s="17" t="n"/>
      <c r="M676" s="16" t="n"/>
      <c r="N676" s="16" t="n"/>
      <c r="O676" s="18" t="n"/>
      <c r="P676" s="18" t="n"/>
      <c r="Q676" s="16" t="n"/>
    </row>
    <row r="677">
      <c r="E677" s="15" t="n"/>
      <c r="F677" s="15" t="n"/>
      <c r="G677" s="15" t="n"/>
      <c r="H677" s="16" t="n"/>
      <c r="I677" s="16" t="n"/>
      <c r="J677" s="17" t="n"/>
      <c r="K677" s="17" t="n"/>
      <c r="L677" s="17" t="n"/>
      <c r="M677" s="16" t="n"/>
      <c r="N677" s="16" t="n"/>
      <c r="O677" s="18" t="n"/>
      <c r="P677" s="18" t="n"/>
      <c r="Q677" s="16" t="n"/>
    </row>
    <row r="678">
      <c r="E678" s="15" t="n"/>
      <c r="F678" s="15" t="n"/>
      <c r="G678" s="15" t="n"/>
      <c r="H678" s="16" t="n"/>
      <c r="I678" s="16" t="n"/>
      <c r="J678" s="17" t="n"/>
      <c r="K678" s="17" t="n"/>
      <c r="L678" s="17" t="n"/>
      <c r="M678" s="16" t="n"/>
      <c r="N678" s="16" t="n"/>
      <c r="O678" s="18" t="n"/>
      <c r="P678" s="18" t="n"/>
      <c r="Q678" s="16" t="n"/>
    </row>
    <row r="679">
      <c r="E679" s="15" t="n"/>
      <c r="F679" s="15" t="n"/>
      <c r="G679" s="15" t="n"/>
      <c r="H679" s="16" t="n"/>
      <c r="I679" s="16" t="n"/>
      <c r="J679" s="17" t="n"/>
      <c r="K679" s="17" t="n"/>
      <c r="L679" s="17" t="n"/>
      <c r="M679" s="16" t="n"/>
      <c r="N679" s="16" t="n"/>
      <c r="O679" s="18" t="n"/>
      <c r="P679" s="18" t="n"/>
      <c r="Q679" s="16" t="n"/>
    </row>
    <row r="680">
      <c r="E680" s="15" t="n"/>
      <c r="F680" s="15" t="n"/>
      <c r="G680" s="15" t="n"/>
      <c r="H680" s="16" t="n"/>
      <c r="I680" s="16" t="n"/>
      <c r="J680" s="17" t="n"/>
      <c r="K680" s="17" t="n"/>
      <c r="L680" s="17" t="n"/>
      <c r="M680" s="16" t="n"/>
      <c r="N680" s="16" t="n"/>
      <c r="O680" s="18" t="n"/>
      <c r="P680" s="18" t="n"/>
      <c r="Q680" s="16" t="n"/>
    </row>
    <row r="681">
      <c r="E681" s="15" t="n"/>
      <c r="F681" s="15" t="n"/>
      <c r="G681" s="15" t="n"/>
      <c r="H681" s="16" t="n"/>
      <c r="I681" s="16" t="n"/>
      <c r="J681" s="17" t="n"/>
      <c r="K681" s="17" t="n"/>
      <c r="L681" s="17" t="n"/>
      <c r="M681" s="16" t="n"/>
      <c r="N681" s="16" t="n"/>
      <c r="O681" s="18" t="n"/>
      <c r="P681" s="18" t="n"/>
      <c r="Q681" s="16" t="n"/>
    </row>
    <row r="682">
      <c r="E682" s="15" t="n"/>
      <c r="F682" s="15" t="n"/>
      <c r="G682" s="15" t="n"/>
      <c r="H682" s="16" t="n"/>
      <c r="I682" s="16" t="n"/>
      <c r="J682" s="17" t="n"/>
      <c r="K682" s="17" t="n"/>
      <c r="L682" s="17" t="n"/>
      <c r="M682" s="16" t="n"/>
      <c r="N682" s="16" t="n"/>
      <c r="O682" s="18" t="n"/>
      <c r="P682" s="18" t="n"/>
      <c r="Q682" s="16" t="n"/>
    </row>
    <row r="683">
      <c r="E683" s="15" t="n"/>
      <c r="F683" s="15" t="n"/>
      <c r="G683" s="15" t="n"/>
      <c r="H683" s="16" t="n"/>
      <c r="I683" s="16" t="n"/>
      <c r="J683" s="17" t="n"/>
      <c r="K683" s="17" t="n"/>
      <c r="L683" s="17" t="n"/>
      <c r="M683" s="16" t="n"/>
      <c r="N683" s="16" t="n"/>
      <c r="O683" s="18" t="n"/>
      <c r="P683" s="18" t="n"/>
      <c r="Q683" s="16" t="n"/>
    </row>
    <row r="684">
      <c r="E684" s="15" t="n"/>
      <c r="F684" s="15" t="n"/>
      <c r="G684" s="15" t="n"/>
      <c r="H684" s="16" t="n"/>
      <c r="I684" s="16" t="n"/>
      <c r="J684" s="17" t="n"/>
      <c r="K684" s="17" t="n"/>
      <c r="L684" s="17" t="n"/>
      <c r="M684" s="16" t="n"/>
      <c r="N684" s="16" t="n"/>
      <c r="O684" s="18" t="n"/>
      <c r="P684" s="18" t="n"/>
      <c r="Q684" s="16" t="n"/>
    </row>
    <row r="685">
      <c r="E685" s="15" t="n"/>
      <c r="F685" s="15" t="n"/>
      <c r="G685" s="15" t="n"/>
      <c r="H685" s="16" t="n"/>
      <c r="I685" s="16" t="n"/>
      <c r="J685" s="17" t="n"/>
      <c r="K685" s="17" t="n"/>
      <c r="L685" s="17" t="n"/>
      <c r="M685" s="16" t="n"/>
      <c r="N685" s="16" t="n"/>
      <c r="O685" s="18" t="n"/>
      <c r="P685" s="18" t="n"/>
      <c r="Q685" s="16" t="n"/>
    </row>
    <row r="686">
      <c r="E686" s="15" t="n"/>
      <c r="F686" s="15" t="n"/>
      <c r="G686" s="15" t="n"/>
      <c r="H686" s="16" t="n"/>
      <c r="I686" s="16" t="n"/>
      <c r="J686" s="17" t="n"/>
      <c r="K686" s="17" t="n"/>
      <c r="L686" s="17" t="n"/>
      <c r="M686" s="16" t="n"/>
      <c r="N686" s="16" t="n"/>
      <c r="O686" s="18" t="n"/>
      <c r="P686" s="18" t="n"/>
      <c r="Q686" s="16" t="n"/>
    </row>
    <row r="687">
      <c r="E687" s="15" t="n"/>
      <c r="F687" s="15" t="n"/>
      <c r="G687" s="15" t="n"/>
      <c r="H687" s="16" t="n"/>
      <c r="I687" s="16" t="n"/>
      <c r="J687" s="17" t="n"/>
      <c r="K687" s="17" t="n"/>
      <c r="L687" s="17" t="n"/>
      <c r="M687" s="16" t="n"/>
      <c r="N687" s="16" t="n"/>
      <c r="O687" s="18" t="n"/>
      <c r="P687" s="18" t="n"/>
      <c r="Q687" s="16" t="n"/>
    </row>
    <row r="688">
      <c r="E688" s="15" t="n"/>
      <c r="F688" s="15" t="n"/>
      <c r="G688" s="15" t="n"/>
      <c r="H688" s="16" t="n"/>
      <c r="I688" s="16" t="n"/>
      <c r="J688" s="17" t="n"/>
      <c r="K688" s="17" t="n"/>
      <c r="L688" s="17" t="n"/>
      <c r="M688" s="16" t="n"/>
      <c r="N688" s="16" t="n"/>
      <c r="O688" s="18" t="n"/>
      <c r="P688" s="18" t="n"/>
      <c r="Q688" s="16" t="n"/>
    </row>
    <row r="689">
      <c r="E689" s="15" t="n"/>
      <c r="F689" s="15" t="n"/>
      <c r="G689" s="15" t="n"/>
      <c r="H689" s="16" t="n"/>
      <c r="I689" s="16" t="n"/>
      <c r="J689" s="17" t="n"/>
      <c r="K689" s="17" t="n"/>
      <c r="L689" s="17" t="n"/>
      <c r="M689" s="16" t="n"/>
      <c r="N689" s="16" t="n"/>
      <c r="O689" s="18" t="n"/>
      <c r="P689" s="18" t="n"/>
      <c r="Q689" s="16" t="n"/>
    </row>
    <row r="690">
      <c r="E690" s="15" t="n"/>
      <c r="F690" s="15" t="n"/>
      <c r="G690" s="15" t="n"/>
      <c r="H690" s="16" t="n"/>
      <c r="I690" s="16" t="n"/>
      <c r="J690" s="17" t="n"/>
      <c r="K690" s="17" t="n"/>
      <c r="L690" s="17" t="n"/>
      <c r="M690" s="16" t="n"/>
      <c r="N690" s="16" t="n"/>
      <c r="O690" s="18" t="n"/>
      <c r="P690" s="18" t="n"/>
      <c r="Q690" s="16" t="n"/>
    </row>
    <row r="691">
      <c r="E691" s="15" t="n"/>
      <c r="F691" s="15" t="n"/>
      <c r="G691" s="15" t="n"/>
      <c r="H691" s="16" t="n"/>
      <c r="I691" s="16" t="n"/>
      <c r="J691" s="17" t="n"/>
      <c r="K691" s="17" t="n"/>
      <c r="L691" s="17" t="n"/>
      <c r="M691" s="16" t="n"/>
      <c r="N691" s="16" t="n"/>
      <c r="O691" s="18" t="n"/>
      <c r="P691" s="18" t="n"/>
      <c r="Q691" s="16" t="n"/>
    </row>
    <row r="692">
      <c r="E692" s="15" t="n"/>
      <c r="F692" s="15" t="n"/>
      <c r="G692" s="15" t="n"/>
      <c r="H692" s="16" t="n"/>
      <c r="I692" s="16" t="n"/>
      <c r="J692" s="17" t="n"/>
      <c r="K692" s="17" t="n"/>
      <c r="L692" s="17" t="n"/>
      <c r="M692" s="16" t="n"/>
      <c r="N692" s="16" t="n"/>
      <c r="O692" s="18" t="n"/>
      <c r="P692" s="18" t="n"/>
      <c r="Q692" s="16" t="n"/>
    </row>
    <row r="693">
      <c r="E693" s="15" t="n"/>
      <c r="F693" s="15" t="n"/>
      <c r="G693" s="15" t="n"/>
      <c r="H693" s="16" t="n"/>
      <c r="I693" s="16" t="n"/>
      <c r="J693" s="17" t="n"/>
      <c r="K693" s="17" t="n"/>
      <c r="L693" s="17" t="n"/>
      <c r="M693" s="16" t="n"/>
      <c r="N693" s="16" t="n"/>
      <c r="O693" s="18" t="n"/>
      <c r="P693" s="18" t="n"/>
      <c r="Q693" s="16" t="n"/>
    </row>
    <row r="694">
      <c r="E694" s="15" t="n"/>
      <c r="F694" s="15" t="n"/>
      <c r="G694" s="15" t="n"/>
      <c r="H694" s="16" t="n"/>
      <c r="I694" s="16" t="n"/>
      <c r="J694" s="17" t="n"/>
      <c r="K694" s="17" t="n"/>
      <c r="L694" s="17" t="n"/>
      <c r="M694" s="16" t="n"/>
      <c r="N694" s="16" t="n"/>
      <c r="O694" s="18" t="n"/>
      <c r="P694" s="18" t="n"/>
      <c r="Q694" s="16" t="n"/>
    </row>
    <row r="695">
      <c r="E695" s="15" t="n"/>
      <c r="F695" s="15" t="n"/>
      <c r="G695" s="15" t="n"/>
      <c r="H695" s="16" t="n"/>
      <c r="I695" s="16" t="n"/>
      <c r="J695" s="17" t="n"/>
      <c r="K695" s="17" t="n"/>
      <c r="L695" s="17" t="n"/>
      <c r="M695" s="16" t="n"/>
      <c r="N695" s="16" t="n"/>
      <c r="O695" s="18" t="n"/>
      <c r="P695" s="18" t="n"/>
      <c r="Q695" s="16" t="n"/>
    </row>
    <row r="696">
      <c r="E696" s="15" t="n"/>
      <c r="F696" s="15" t="n"/>
      <c r="G696" s="15" t="n"/>
      <c r="H696" s="16" t="n"/>
      <c r="I696" s="16" t="n"/>
      <c r="J696" s="17" t="n"/>
      <c r="K696" s="17" t="n"/>
      <c r="L696" s="17" t="n"/>
      <c r="M696" s="16" t="n"/>
      <c r="N696" s="16" t="n"/>
      <c r="O696" s="18" t="n"/>
      <c r="P696" s="18" t="n"/>
      <c r="Q696" s="16" t="n"/>
    </row>
    <row r="697">
      <c r="E697" s="15" t="n"/>
      <c r="F697" s="15" t="n"/>
      <c r="G697" s="15" t="n"/>
      <c r="H697" s="16" t="n"/>
      <c r="I697" s="16" t="n"/>
      <c r="J697" s="17" t="n"/>
      <c r="K697" s="17" t="n"/>
      <c r="L697" s="17" t="n"/>
      <c r="M697" s="16" t="n"/>
      <c r="N697" s="16" t="n"/>
      <c r="O697" s="18" t="n"/>
      <c r="P697" s="18" t="n"/>
      <c r="Q697" s="16" t="n"/>
    </row>
    <row r="698">
      <c r="E698" s="15" t="n"/>
      <c r="F698" s="15" t="n"/>
      <c r="G698" s="15" t="n"/>
      <c r="H698" s="16" t="n"/>
      <c r="I698" s="16" t="n"/>
      <c r="J698" s="17" t="n"/>
      <c r="K698" s="17" t="n"/>
      <c r="L698" s="17" t="n"/>
      <c r="M698" s="16" t="n"/>
      <c r="N698" s="16" t="n"/>
      <c r="O698" s="18" t="n"/>
      <c r="P698" s="18" t="n"/>
      <c r="Q698" s="16" t="n"/>
    </row>
    <row r="699">
      <c r="E699" s="15" t="n"/>
      <c r="F699" s="15" t="n"/>
      <c r="G699" s="15" t="n"/>
      <c r="H699" s="16" t="n"/>
      <c r="I699" s="16" t="n"/>
      <c r="J699" s="17" t="n"/>
      <c r="K699" s="17" t="n"/>
      <c r="L699" s="17" t="n"/>
      <c r="M699" s="16" t="n"/>
      <c r="N699" s="16" t="n"/>
      <c r="O699" s="18" t="n"/>
      <c r="P699" s="18" t="n"/>
      <c r="Q699" s="16" t="n"/>
    </row>
    <row r="700">
      <c r="E700" s="15" t="n"/>
      <c r="F700" s="15" t="n"/>
      <c r="G700" s="15" t="n"/>
      <c r="H700" s="16" t="n"/>
      <c r="I700" s="16" t="n"/>
      <c r="J700" s="17" t="n"/>
      <c r="K700" s="17" t="n"/>
      <c r="L700" s="17" t="n"/>
      <c r="M700" s="16" t="n"/>
      <c r="N700" s="16" t="n"/>
      <c r="O700" s="18" t="n"/>
      <c r="P700" s="18" t="n"/>
      <c r="Q700" s="16" t="n"/>
    </row>
    <row r="701">
      <c r="E701" s="15" t="n"/>
      <c r="F701" s="15" t="n"/>
      <c r="G701" s="15" t="n"/>
      <c r="H701" s="16" t="n"/>
      <c r="I701" s="16" t="n"/>
      <c r="J701" s="17" t="n"/>
      <c r="K701" s="17" t="n"/>
      <c r="L701" s="17" t="n"/>
      <c r="M701" s="16" t="n"/>
      <c r="N701" s="16" t="n"/>
      <c r="O701" s="18" t="n"/>
      <c r="P701" s="18" t="n"/>
      <c r="Q701" s="16" t="n"/>
    </row>
    <row r="702">
      <c r="E702" s="15" t="n"/>
      <c r="F702" s="15" t="n"/>
      <c r="G702" s="15" t="n"/>
      <c r="H702" s="16" t="n"/>
      <c r="I702" s="16" t="n"/>
      <c r="J702" s="17" t="n"/>
      <c r="K702" s="17" t="n"/>
      <c r="L702" s="17" t="n"/>
      <c r="M702" s="16" t="n"/>
      <c r="N702" s="16" t="n"/>
      <c r="O702" s="18" t="n"/>
      <c r="P702" s="18" t="n"/>
      <c r="Q702" s="16" t="n"/>
    </row>
    <row r="703">
      <c r="E703" s="15" t="n"/>
      <c r="F703" s="15" t="n"/>
      <c r="G703" s="15" t="n"/>
      <c r="H703" s="16" t="n"/>
      <c r="I703" s="16" t="n"/>
      <c r="J703" s="17" t="n"/>
      <c r="K703" s="17" t="n"/>
      <c r="L703" s="17" t="n"/>
      <c r="M703" s="16" t="n"/>
      <c r="N703" s="16" t="n"/>
      <c r="O703" s="18" t="n"/>
      <c r="P703" s="18" t="n"/>
      <c r="Q703" s="16" t="n"/>
    </row>
    <row r="704">
      <c r="E704" s="15" t="n"/>
      <c r="F704" s="15" t="n"/>
      <c r="G704" s="15" t="n"/>
      <c r="H704" s="16" t="n"/>
      <c r="I704" s="16" t="n"/>
      <c r="J704" s="17" t="n"/>
      <c r="K704" s="17" t="n"/>
      <c r="L704" s="17" t="n"/>
      <c r="M704" s="16" t="n"/>
      <c r="N704" s="16" t="n"/>
      <c r="O704" s="18" t="n"/>
      <c r="P704" s="18" t="n"/>
      <c r="Q704" s="16" t="n"/>
    </row>
    <row r="705">
      <c r="E705" s="15" t="n"/>
      <c r="F705" s="15" t="n"/>
      <c r="G705" s="15" t="n"/>
      <c r="H705" s="16" t="n"/>
      <c r="I705" s="16" t="n"/>
      <c r="J705" s="17" t="n"/>
      <c r="K705" s="17" t="n"/>
      <c r="L705" s="17" t="n"/>
      <c r="M705" s="16" t="n"/>
      <c r="N705" s="16" t="n"/>
      <c r="O705" s="18" t="n"/>
      <c r="P705" s="18" t="n"/>
      <c r="Q705" s="16" t="n"/>
    </row>
    <row r="706">
      <c r="E706" s="15" t="n"/>
      <c r="F706" s="15" t="n"/>
      <c r="G706" s="15" t="n"/>
      <c r="H706" s="16" t="n"/>
      <c r="I706" s="16" t="n"/>
      <c r="J706" s="17" t="n"/>
      <c r="K706" s="17" t="n"/>
      <c r="L706" s="17" t="n"/>
      <c r="M706" s="16" t="n"/>
      <c r="N706" s="16" t="n"/>
      <c r="O706" s="18" t="n"/>
      <c r="P706" s="18" t="n"/>
      <c r="Q706" s="16" t="n"/>
    </row>
    <row r="707">
      <c r="E707" s="15" t="n"/>
      <c r="F707" s="15" t="n"/>
      <c r="G707" s="15" t="n"/>
      <c r="H707" s="16" t="n"/>
      <c r="I707" s="16" t="n"/>
      <c r="J707" s="17" t="n"/>
      <c r="K707" s="17" t="n"/>
      <c r="L707" s="17" t="n"/>
      <c r="M707" s="16" t="n"/>
      <c r="N707" s="16" t="n"/>
      <c r="O707" s="18" t="n"/>
      <c r="P707" s="18" t="n"/>
      <c r="Q707" s="16" t="n"/>
    </row>
    <row r="708">
      <c r="E708" s="15" t="n"/>
      <c r="F708" s="15" t="n"/>
      <c r="G708" s="15" t="n"/>
      <c r="H708" s="16" t="n"/>
      <c r="I708" s="16" t="n"/>
      <c r="J708" s="17" t="n"/>
      <c r="K708" s="17" t="n"/>
      <c r="L708" s="17" t="n"/>
      <c r="M708" s="16" t="n"/>
      <c r="N708" s="16" t="n"/>
      <c r="O708" s="18" t="n"/>
      <c r="P708" s="18" t="n"/>
      <c r="Q708" s="16" t="n"/>
    </row>
    <row r="709">
      <c r="E709" s="15" t="n"/>
      <c r="F709" s="15" t="n"/>
      <c r="G709" s="15" t="n"/>
      <c r="H709" s="16" t="n"/>
      <c r="I709" s="16" t="n"/>
      <c r="J709" s="17" t="n"/>
      <c r="K709" s="17" t="n"/>
      <c r="L709" s="17" t="n"/>
      <c r="M709" s="16" t="n"/>
      <c r="N709" s="16" t="n"/>
      <c r="O709" s="18" t="n"/>
      <c r="P709" s="18" t="n"/>
      <c r="Q709" s="16" t="n"/>
    </row>
    <row r="710">
      <c r="E710" s="15" t="n"/>
      <c r="F710" s="15" t="n"/>
      <c r="G710" s="15" t="n"/>
      <c r="H710" s="16" t="n"/>
      <c r="I710" s="16" t="n"/>
      <c r="J710" s="17" t="n"/>
      <c r="K710" s="17" t="n"/>
      <c r="L710" s="17" t="n"/>
      <c r="M710" s="16" t="n"/>
      <c r="N710" s="16" t="n"/>
      <c r="O710" s="18" t="n"/>
      <c r="P710" s="18" t="n"/>
      <c r="Q710" s="16" t="n"/>
    </row>
    <row r="711">
      <c r="E711" s="15" t="n"/>
      <c r="F711" s="15" t="n"/>
      <c r="G711" s="15" t="n"/>
      <c r="H711" s="16" t="n"/>
      <c r="I711" s="16" t="n"/>
      <c r="J711" s="17" t="n"/>
      <c r="K711" s="17" t="n"/>
      <c r="L711" s="17" t="n"/>
      <c r="M711" s="16" t="n"/>
      <c r="N711" s="16" t="n"/>
      <c r="O711" s="18" t="n"/>
      <c r="P711" s="18" t="n"/>
      <c r="Q711" s="16" t="n"/>
    </row>
    <row r="712">
      <c r="E712" s="15" t="n"/>
      <c r="F712" s="15" t="n"/>
      <c r="G712" s="15" t="n"/>
      <c r="H712" s="16" t="n"/>
      <c r="I712" s="16" t="n"/>
      <c r="J712" s="17" t="n"/>
      <c r="K712" s="17" t="n"/>
      <c r="L712" s="17" t="n"/>
      <c r="M712" s="16" t="n"/>
      <c r="N712" s="16" t="n"/>
      <c r="O712" s="18" t="n"/>
      <c r="P712" s="18" t="n"/>
      <c r="Q712" s="16" t="n"/>
    </row>
    <row r="713">
      <c r="E713" s="15" t="n"/>
      <c r="F713" s="15" t="n"/>
      <c r="G713" s="15" t="n"/>
      <c r="H713" s="16" t="n"/>
      <c r="I713" s="16" t="n"/>
      <c r="J713" s="17" t="n"/>
      <c r="K713" s="17" t="n"/>
      <c r="L713" s="17" t="n"/>
      <c r="M713" s="16" t="n"/>
      <c r="N713" s="16" t="n"/>
      <c r="O713" s="18" t="n"/>
      <c r="P713" s="18" t="n"/>
      <c r="Q713" s="16" t="n"/>
    </row>
    <row r="714">
      <c r="E714" s="15" t="n"/>
      <c r="F714" s="15" t="n"/>
      <c r="G714" s="15" t="n"/>
      <c r="H714" s="16" t="n"/>
      <c r="I714" s="16" t="n"/>
      <c r="J714" s="17" t="n"/>
      <c r="K714" s="17" t="n"/>
      <c r="L714" s="17" t="n"/>
      <c r="M714" s="16" t="n"/>
      <c r="N714" s="16" t="n"/>
      <c r="O714" s="18" t="n"/>
      <c r="P714" s="18" t="n"/>
      <c r="Q714" s="16" t="n"/>
    </row>
    <row r="715">
      <c r="E715" s="15" t="n"/>
      <c r="F715" s="15" t="n"/>
      <c r="G715" s="15" t="n"/>
      <c r="H715" s="16" t="n"/>
      <c r="I715" s="16" t="n"/>
      <c r="J715" s="17" t="n"/>
      <c r="K715" s="17" t="n"/>
      <c r="L715" s="17" t="n"/>
      <c r="M715" s="16" t="n"/>
      <c r="N715" s="16" t="n"/>
      <c r="O715" s="18" t="n"/>
      <c r="P715" s="18" t="n"/>
      <c r="Q715" s="16" t="n"/>
    </row>
    <row r="716">
      <c r="E716" s="15" t="n"/>
      <c r="F716" s="15" t="n"/>
      <c r="G716" s="15" t="n"/>
      <c r="H716" s="16" t="n"/>
      <c r="I716" s="16" t="n"/>
      <c r="J716" s="17" t="n"/>
      <c r="K716" s="17" t="n"/>
      <c r="L716" s="17" t="n"/>
      <c r="M716" s="16" t="n"/>
      <c r="N716" s="16" t="n"/>
      <c r="O716" s="18" t="n"/>
      <c r="P716" s="18" t="n"/>
      <c r="Q716" s="16" t="n"/>
    </row>
    <row r="717">
      <c r="E717" s="15" t="n"/>
      <c r="F717" s="15" t="n"/>
      <c r="G717" s="15" t="n"/>
      <c r="H717" s="16" t="n"/>
      <c r="I717" s="16" t="n"/>
      <c r="J717" s="17" t="n"/>
      <c r="K717" s="17" t="n"/>
      <c r="L717" s="17" t="n"/>
      <c r="M717" s="16" t="n"/>
      <c r="N717" s="16" t="n"/>
      <c r="O717" s="18" t="n"/>
      <c r="P717" s="18" t="n"/>
      <c r="Q717" s="16" t="n"/>
    </row>
    <row r="718">
      <c r="E718" s="15" t="n"/>
      <c r="F718" s="15" t="n"/>
      <c r="G718" s="15" t="n"/>
      <c r="H718" s="16" t="n"/>
      <c r="I718" s="16" t="n"/>
      <c r="J718" s="17" t="n"/>
      <c r="K718" s="17" t="n"/>
      <c r="L718" s="17" t="n"/>
      <c r="M718" s="16" t="n"/>
      <c r="N718" s="16" t="n"/>
      <c r="O718" s="18" t="n"/>
      <c r="P718" s="18" t="n"/>
      <c r="Q718" s="16" t="n"/>
    </row>
    <row r="719">
      <c r="E719" s="15" t="n"/>
      <c r="F719" s="15" t="n"/>
      <c r="G719" s="15" t="n"/>
      <c r="H719" s="16" t="n"/>
      <c r="I719" s="16" t="n"/>
      <c r="J719" s="17" t="n"/>
      <c r="K719" s="17" t="n"/>
      <c r="L719" s="17" t="n"/>
      <c r="M719" s="16" t="n"/>
      <c r="N719" s="16" t="n"/>
      <c r="O719" s="18" t="n"/>
      <c r="P719" s="18" t="n"/>
      <c r="Q719" s="16" t="n"/>
    </row>
    <row r="720">
      <c r="E720" s="15" t="n"/>
      <c r="F720" s="15" t="n"/>
      <c r="G720" s="15" t="n"/>
      <c r="H720" s="16" t="n"/>
      <c r="I720" s="16" t="n"/>
      <c r="J720" s="17" t="n"/>
      <c r="K720" s="17" t="n"/>
      <c r="L720" s="17" t="n"/>
      <c r="M720" s="16" t="n"/>
      <c r="N720" s="16" t="n"/>
      <c r="O720" s="18" t="n"/>
      <c r="P720" s="18" t="n"/>
      <c r="Q720" s="16" t="n"/>
    </row>
    <row r="721">
      <c r="E721" s="15" t="n"/>
      <c r="F721" s="15" t="n"/>
      <c r="G721" s="15" t="n"/>
      <c r="H721" s="16" t="n"/>
      <c r="I721" s="16" t="n"/>
      <c r="J721" s="17" t="n"/>
      <c r="K721" s="17" t="n"/>
      <c r="L721" s="17" t="n"/>
      <c r="M721" s="16" t="n"/>
      <c r="N721" s="16" t="n"/>
      <c r="O721" s="18" t="n"/>
      <c r="P721" s="18" t="n"/>
      <c r="Q721" s="16" t="n"/>
    </row>
    <row r="722">
      <c r="E722" s="15" t="n"/>
      <c r="F722" s="15" t="n"/>
      <c r="G722" s="15" t="n"/>
      <c r="H722" s="16" t="n"/>
      <c r="I722" s="16" t="n"/>
      <c r="J722" s="17" t="n"/>
      <c r="K722" s="17" t="n"/>
      <c r="L722" s="17" t="n"/>
      <c r="M722" s="16" t="n"/>
      <c r="N722" s="16" t="n"/>
      <c r="O722" s="18" t="n"/>
      <c r="P722" s="18" t="n"/>
      <c r="Q722" s="16" t="n"/>
    </row>
    <row r="723">
      <c r="E723" s="15" t="n"/>
      <c r="F723" s="15" t="n"/>
      <c r="G723" s="15" t="n"/>
      <c r="H723" s="16" t="n"/>
      <c r="I723" s="16" t="n"/>
      <c r="J723" s="17" t="n"/>
      <c r="K723" s="17" t="n"/>
      <c r="L723" s="17" t="n"/>
      <c r="M723" s="16" t="n"/>
      <c r="N723" s="16" t="n"/>
      <c r="O723" s="18" t="n"/>
      <c r="P723" s="18" t="n"/>
      <c r="Q723" s="16" t="n"/>
    </row>
    <row r="724">
      <c r="E724" s="15" t="n"/>
      <c r="F724" s="15" t="n"/>
      <c r="G724" s="15" t="n"/>
      <c r="H724" s="16" t="n"/>
      <c r="I724" s="16" t="n"/>
      <c r="J724" s="17" t="n"/>
      <c r="K724" s="17" t="n"/>
      <c r="L724" s="17" t="n"/>
      <c r="M724" s="16" t="n"/>
      <c r="N724" s="16" t="n"/>
      <c r="O724" s="18" t="n"/>
      <c r="P724" s="18" t="n"/>
      <c r="Q724" s="16" t="n"/>
    </row>
    <row r="725">
      <c r="E725" s="15" t="n"/>
      <c r="F725" s="15" t="n"/>
      <c r="G725" s="15" t="n"/>
      <c r="H725" s="16" t="n"/>
      <c r="I725" s="16" t="n"/>
      <c r="J725" s="17" t="n"/>
      <c r="K725" s="17" t="n"/>
      <c r="L725" s="17" t="n"/>
      <c r="M725" s="16" t="n"/>
      <c r="N725" s="16" t="n"/>
      <c r="O725" s="18" t="n"/>
      <c r="P725" s="18" t="n"/>
      <c r="Q725" s="16" t="n"/>
    </row>
    <row r="726">
      <c r="E726" s="15" t="n"/>
      <c r="F726" s="15" t="n"/>
      <c r="G726" s="15" t="n"/>
      <c r="H726" s="16" t="n"/>
      <c r="I726" s="16" t="n"/>
      <c r="J726" s="17" t="n"/>
      <c r="K726" s="17" t="n"/>
      <c r="L726" s="17" t="n"/>
      <c r="M726" s="16" t="n"/>
      <c r="N726" s="16" t="n"/>
      <c r="O726" s="18" t="n"/>
      <c r="P726" s="18" t="n"/>
      <c r="Q726" s="16" t="n"/>
    </row>
    <row r="727">
      <c r="E727" s="15" t="n"/>
      <c r="F727" s="15" t="n"/>
      <c r="G727" s="15" t="n"/>
      <c r="H727" s="16" t="n"/>
      <c r="I727" s="16" t="n"/>
      <c r="J727" s="17" t="n"/>
      <c r="K727" s="17" t="n"/>
      <c r="L727" s="17" t="n"/>
      <c r="M727" s="16" t="n"/>
      <c r="N727" s="16" t="n"/>
      <c r="O727" s="18" t="n"/>
      <c r="P727" s="18" t="n"/>
      <c r="Q727" s="16" t="n"/>
    </row>
    <row r="728">
      <c r="E728" s="15" t="n"/>
      <c r="F728" s="15" t="n"/>
      <c r="G728" s="15" t="n"/>
      <c r="H728" s="16" t="n"/>
      <c r="I728" s="16" t="n"/>
      <c r="J728" s="17" t="n"/>
      <c r="K728" s="17" t="n"/>
      <c r="L728" s="17" t="n"/>
      <c r="M728" s="16" t="n"/>
      <c r="N728" s="16" t="n"/>
      <c r="O728" s="18" t="n"/>
      <c r="P728" s="18" t="n"/>
      <c r="Q728" s="16" t="n"/>
    </row>
    <row r="729">
      <c r="E729" s="15" t="n"/>
      <c r="F729" s="15" t="n"/>
      <c r="G729" s="15" t="n"/>
      <c r="H729" s="16" t="n"/>
      <c r="I729" s="16" t="n"/>
      <c r="J729" s="17" t="n"/>
      <c r="K729" s="17" t="n"/>
      <c r="L729" s="17" t="n"/>
      <c r="M729" s="16" t="n"/>
      <c r="N729" s="16" t="n"/>
      <c r="O729" s="18" t="n"/>
      <c r="P729" s="18" t="n"/>
      <c r="Q729" s="16" t="n"/>
    </row>
    <row r="730">
      <c r="E730" s="15" t="n"/>
      <c r="F730" s="15" t="n"/>
      <c r="G730" s="15" t="n"/>
      <c r="H730" s="16" t="n"/>
      <c r="I730" s="16" t="n"/>
      <c r="J730" s="17" t="n"/>
      <c r="K730" s="17" t="n"/>
      <c r="L730" s="17" t="n"/>
      <c r="M730" s="16" t="n"/>
      <c r="N730" s="16" t="n"/>
      <c r="O730" s="18" t="n"/>
      <c r="P730" s="18" t="n"/>
      <c r="Q730" s="16" t="n"/>
    </row>
    <row r="731">
      <c r="E731" s="15" t="n"/>
      <c r="F731" s="15" t="n"/>
      <c r="G731" s="15" t="n"/>
      <c r="H731" s="16" t="n"/>
      <c r="I731" s="16" t="n"/>
      <c r="J731" s="17" t="n"/>
      <c r="K731" s="17" t="n"/>
      <c r="L731" s="17" t="n"/>
      <c r="M731" s="16" t="n"/>
      <c r="N731" s="16" t="n"/>
      <c r="O731" s="18" t="n"/>
      <c r="P731" s="18" t="n"/>
      <c r="Q731" s="16" t="n"/>
    </row>
    <row r="732">
      <c r="E732" s="15" t="n"/>
      <c r="F732" s="15" t="n"/>
      <c r="G732" s="15" t="n"/>
      <c r="H732" s="16" t="n"/>
      <c r="I732" s="16" t="n"/>
      <c r="J732" s="17" t="n"/>
      <c r="K732" s="17" t="n"/>
      <c r="L732" s="17" t="n"/>
      <c r="M732" s="16" t="n"/>
      <c r="N732" s="16" t="n"/>
      <c r="O732" s="18" t="n"/>
      <c r="P732" s="18" t="n"/>
      <c r="Q732" s="16" t="n"/>
    </row>
    <row r="733">
      <c r="E733" s="15" t="n"/>
      <c r="F733" s="15" t="n"/>
      <c r="G733" s="15" t="n"/>
      <c r="H733" s="16" t="n"/>
      <c r="I733" s="16" t="n"/>
      <c r="J733" s="17" t="n"/>
      <c r="K733" s="17" t="n"/>
      <c r="L733" s="17" t="n"/>
      <c r="M733" s="16" t="n"/>
      <c r="N733" s="16" t="n"/>
      <c r="O733" s="18" t="n"/>
      <c r="P733" s="18" t="n"/>
      <c r="Q733" s="16" t="n"/>
    </row>
    <row r="734">
      <c r="E734" s="15" t="n"/>
      <c r="F734" s="15" t="n"/>
      <c r="G734" s="15" t="n"/>
      <c r="H734" s="16" t="n"/>
      <c r="I734" s="16" t="n"/>
      <c r="J734" s="17" t="n"/>
      <c r="K734" s="17" t="n"/>
      <c r="L734" s="17" t="n"/>
      <c r="M734" s="16" t="n"/>
      <c r="N734" s="16" t="n"/>
      <c r="O734" s="18" t="n"/>
      <c r="P734" s="18" t="n"/>
      <c r="Q734" s="16" t="n"/>
    </row>
    <row r="735">
      <c r="E735" s="15" t="n"/>
      <c r="F735" s="15" t="n"/>
      <c r="G735" s="15" t="n"/>
      <c r="H735" s="16" t="n"/>
      <c r="I735" s="16" t="n"/>
      <c r="J735" s="17" t="n"/>
      <c r="K735" s="17" t="n"/>
      <c r="L735" s="17" t="n"/>
      <c r="M735" s="16" t="n"/>
      <c r="N735" s="16" t="n"/>
      <c r="O735" s="18" t="n"/>
      <c r="P735" s="18" t="n"/>
      <c r="Q735" s="16" t="n"/>
    </row>
    <row r="736">
      <c r="E736" s="15" t="n"/>
      <c r="F736" s="15" t="n"/>
      <c r="G736" s="15" t="n"/>
      <c r="H736" s="16" t="n"/>
      <c r="I736" s="16" t="n"/>
      <c r="J736" s="17" t="n"/>
      <c r="K736" s="17" t="n"/>
      <c r="L736" s="17" t="n"/>
      <c r="M736" s="16" t="n"/>
      <c r="N736" s="16" t="n"/>
      <c r="O736" s="18" t="n"/>
      <c r="P736" s="18" t="n"/>
      <c r="Q736" s="16" t="n"/>
    </row>
    <row r="737">
      <c r="E737" s="15" t="n"/>
      <c r="F737" s="15" t="n"/>
      <c r="G737" s="15" t="n"/>
      <c r="H737" s="16" t="n"/>
      <c r="I737" s="16" t="n"/>
      <c r="J737" s="17" t="n"/>
      <c r="K737" s="17" t="n"/>
      <c r="L737" s="17" t="n"/>
      <c r="M737" s="16" t="n"/>
      <c r="N737" s="16" t="n"/>
      <c r="O737" s="18" t="n"/>
      <c r="P737" s="18" t="n"/>
      <c r="Q737" s="16" t="n"/>
    </row>
    <row r="738">
      <c r="E738" s="15" t="n"/>
      <c r="F738" s="15" t="n"/>
      <c r="G738" s="15" t="n"/>
      <c r="H738" s="16" t="n"/>
      <c r="I738" s="16" t="n"/>
      <c r="J738" s="17" t="n"/>
      <c r="K738" s="17" t="n"/>
      <c r="L738" s="17" t="n"/>
      <c r="M738" s="16" t="n"/>
      <c r="N738" s="16" t="n"/>
      <c r="O738" s="18" t="n"/>
      <c r="P738" s="18" t="n"/>
      <c r="Q738" s="16" t="n"/>
    </row>
    <row r="739">
      <c r="E739" s="15" t="n"/>
      <c r="F739" s="15" t="n"/>
      <c r="G739" s="15" t="n"/>
      <c r="H739" s="16" t="n"/>
      <c r="I739" s="16" t="n"/>
      <c r="J739" s="17" t="n"/>
      <c r="K739" s="17" t="n"/>
      <c r="L739" s="17" t="n"/>
      <c r="M739" s="16" t="n"/>
      <c r="N739" s="16" t="n"/>
      <c r="O739" s="18" t="n"/>
      <c r="P739" s="18" t="n"/>
      <c r="Q739" s="16" t="n"/>
    </row>
    <row r="740">
      <c r="E740" s="15" t="n"/>
      <c r="F740" s="15" t="n"/>
      <c r="G740" s="15" t="n"/>
      <c r="H740" s="16" t="n"/>
      <c r="I740" s="16" t="n"/>
      <c r="J740" s="17" t="n"/>
      <c r="K740" s="17" t="n"/>
      <c r="L740" s="17" t="n"/>
      <c r="M740" s="16" t="n"/>
      <c r="N740" s="16" t="n"/>
      <c r="O740" s="18" t="n"/>
      <c r="P740" s="18" t="n"/>
      <c r="Q740" s="16" t="n"/>
    </row>
    <row r="741">
      <c r="E741" s="15" t="n"/>
      <c r="F741" s="15" t="n"/>
      <c r="G741" s="15" t="n"/>
      <c r="H741" s="16" t="n"/>
      <c r="I741" s="16" t="n"/>
      <c r="J741" s="17" t="n"/>
      <c r="K741" s="17" t="n"/>
      <c r="L741" s="17" t="n"/>
      <c r="M741" s="16" t="n"/>
      <c r="N741" s="16" t="n"/>
      <c r="O741" s="18" t="n"/>
      <c r="P741" s="18" t="n"/>
      <c r="Q741" s="16" t="n"/>
    </row>
    <row r="742">
      <c r="E742" s="15" t="n"/>
      <c r="F742" s="15" t="n"/>
      <c r="G742" s="15" t="n"/>
      <c r="H742" s="16" t="n"/>
      <c r="I742" s="16" t="n"/>
      <c r="J742" s="17" t="n"/>
      <c r="K742" s="17" t="n"/>
      <c r="L742" s="17" t="n"/>
      <c r="M742" s="16" t="n"/>
      <c r="N742" s="16" t="n"/>
      <c r="O742" s="18" t="n"/>
      <c r="P742" s="18" t="n"/>
      <c r="Q742" s="16" t="n"/>
    </row>
    <row r="743">
      <c r="E743" s="15" t="n"/>
      <c r="F743" s="15" t="n"/>
      <c r="G743" s="15" t="n"/>
      <c r="H743" s="16" t="n"/>
      <c r="I743" s="16" t="n"/>
      <c r="J743" s="17" t="n"/>
      <c r="K743" s="17" t="n"/>
      <c r="L743" s="17" t="n"/>
      <c r="M743" s="16" t="n"/>
      <c r="N743" s="16" t="n"/>
      <c r="O743" s="18" t="n"/>
      <c r="P743" s="18" t="n"/>
      <c r="Q743" s="16" t="n"/>
    </row>
    <row r="744">
      <c r="E744" s="15" t="n"/>
      <c r="F744" s="15" t="n"/>
      <c r="G744" s="15" t="n"/>
      <c r="H744" s="16" t="n"/>
      <c r="I744" s="16" t="n"/>
      <c r="J744" s="17" t="n"/>
      <c r="K744" s="17" t="n"/>
      <c r="L744" s="17" t="n"/>
      <c r="M744" s="16" t="n"/>
      <c r="N744" s="16" t="n"/>
      <c r="O744" s="18" t="n"/>
      <c r="P744" s="18" t="n"/>
      <c r="Q744" s="16" t="n"/>
    </row>
    <row r="745">
      <c r="E745" s="15" t="n"/>
      <c r="F745" s="15" t="n"/>
      <c r="G745" s="15" t="n"/>
      <c r="H745" s="16" t="n"/>
      <c r="I745" s="16" t="n"/>
      <c r="J745" s="17" t="n"/>
      <c r="K745" s="17" t="n"/>
      <c r="L745" s="17" t="n"/>
      <c r="M745" s="16" t="n"/>
      <c r="N745" s="16" t="n"/>
      <c r="O745" s="18" t="n"/>
      <c r="P745" s="18" t="n"/>
      <c r="Q745" s="16" t="n"/>
    </row>
    <row r="746">
      <c r="E746" s="15" t="n"/>
      <c r="F746" s="15" t="n"/>
      <c r="G746" s="15" t="n"/>
      <c r="H746" s="16" t="n"/>
      <c r="I746" s="16" t="n"/>
      <c r="J746" s="17" t="n"/>
      <c r="K746" s="17" t="n"/>
      <c r="L746" s="17" t="n"/>
      <c r="M746" s="16" t="n"/>
      <c r="N746" s="16" t="n"/>
      <c r="O746" s="18" t="n"/>
      <c r="P746" s="18" t="n"/>
      <c r="Q746" s="16" t="n"/>
    </row>
    <row r="747">
      <c r="E747" s="15" t="n"/>
      <c r="F747" s="15" t="n"/>
      <c r="G747" s="15" t="n"/>
      <c r="H747" s="16" t="n"/>
      <c r="I747" s="16" t="n"/>
      <c r="J747" s="17" t="n"/>
      <c r="K747" s="17" t="n"/>
      <c r="L747" s="17" t="n"/>
      <c r="M747" s="16" t="n"/>
      <c r="N747" s="16" t="n"/>
      <c r="O747" s="18" t="n"/>
      <c r="P747" s="18" t="n"/>
      <c r="Q747" s="16" t="n"/>
    </row>
    <row r="748">
      <c r="E748" s="15" t="n"/>
      <c r="F748" s="15" t="n"/>
      <c r="G748" s="15" t="n"/>
      <c r="H748" s="16" t="n"/>
      <c r="I748" s="16" t="n"/>
      <c r="J748" s="17" t="n"/>
      <c r="K748" s="17" t="n"/>
      <c r="L748" s="17" t="n"/>
      <c r="M748" s="16" t="n"/>
      <c r="N748" s="16" t="n"/>
      <c r="O748" s="18" t="n"/>
      <c r="P748" s="18" t="n"/>
      <c r="Q748" s="16" t="n"/>
    </row>
    <row r="749">
      <c r="E749" s="15" t="n"/>
      <c r="F749" s="15" t="n"/>
      <c r="G749" s="15" t="n"/>
      <c r="H749" s="16" t="n"/>
      <c r="I749" s="16" t="n"/>
      <c r="J749" s="17" t="n"/>
      <c r="K749" s="17" t="n"/>
      <c r="L749" s="17" t="n"/>
      <c r="M749" s="16" t="n"/>
      <c r="N749" s="16" t="n"/>
      <c r="O749" s="18" t="n"/>
      <c r="P749" s="18" t="n"/>
      <c r="Q749" s="16" t="n"/>
    </row>
    <row r="750">
      <c r="E750" s="15" t="n"/>
      <c r="F750" s="15" t="n"/>
      <c r="G750" s="15" t="n"/>
      <c r="H750" s="16" t="n"/>
      <c r="I750" s="16" t="n"/>
      <c r="J750" s="17" t="n"/>
      <c r="K750" s="17" t="n"/>
      <c r="L750" s="17" t="n"/>
      <c r="M750" s="16" t="n"/>
      <c r="N750" s="16" t="n"/>
      <c r="O750" s="18" t="n"/>
      <c r="P750" s="18" t="n"/>
      <c r="Q750" s="16" t="n"/>
    </row>
    <row r="751">
      <c r="E751" s="15" t="n"/>
      <c r="F751" s="15" t="n"/>
      <c r="G751" s="15" t="n"/>
      <c r="H751" s="16" t="n"/>
      <c r="I751" s="16" t="n"/>
      <c r="J751" s="17" t="n"/>
      <c r="K751" s="17" t="n"/>
      <c r="L751" s="17" t="n"/>
      <c r="M751" s="16" t="n"/>
      <c r="N751" s="16" t="n"/>
      <c r="O751" s="18" t="n"/>
      <c r="P751" s="18" t="n"/>
      <c r="Q751" s="16" t="n"/>
    </row>
    <row r="752">
      <c r="E752" s="15" t="n"/>
      <c r="F752" s="15" t="n"/>
      <c r="G752" s="15" t="n"/>
      <c r="H752" s="16" t="n"/>
      <c r="I752" s="16" t="n"/>
      <c r="J752" s="17" t="n"/>
      <c r="K752" s="17" t="n"/>
      <c r="L752" s="17" t="n"/>
      <c r="M752" s="16" t="n"/>
      <c r="N752" s="16" t="n"/>
      <c r="O752" s="18" t="n"/>
      <c r="P752" s="18" t="n"/>
      <c r="Q752" s="16" t="n"/>
    </row>
    <row r="753">
      <c r="E753" s="15" t="n"/>
      <c r="F753" s="15" t="n"/>
      <c r="G753" s="15" t="n"/>
      <c r="H753" s="16" t="n"/>
      <c r="I753" s="16" t="n"/>
      <c r="J753" s="17" t="n"/>
      <c r="K753" s="17" t="n"/>
      <c r="L753" s="17" t="n"/>
      <c r="M753" s="16" t="n"/>
      <c r="N753" s="16" t="n"/>
      <c r="O753" s="18" t="n"/>
      <c r="P753" s="18" t="n"/>
      <c r="Q753" s="16" t="n"/>
    </row>
    <row r="754">
      <c r="E754" s="15" t="n"/>
      <c r="F754" s="15" t="n"/>
      <c r="G754" s="15" t="n"/>
      <c r="H754" s="16" t="n"/>
      <c r="I754" s="16" t="n"/>
      <c r="J754" s="17" t="n"/>
      <c r="K754" s="17" t="n"/>
      <c r="L754" s="17" t="n"/>
      <c r="M754" s="16" t="n"/>
      <c r="N754" s="16" t="n"/>
      <c r="O754" s="18" t="n"/>
      <c r="P754" s="18" t="n"/>
      <c r="Q754" s="16" t="n"/>
    </row>
    <row r="755">
      <c r="E755" s="15" t="n"/>
      <c r="F755" s="15" t="n"/>
      <c r="G755" s="15" t="n"/>
      <c r="H755" s="16" t="n"/>
      <c r="I755" s="16" t="n"/>
      <c r="J755" s="17" t="n"/>
      <c r="K755" s="17" t="n"/>
      <c r="L755" s="17" t="n"/>
      <c r="M755" s="16" t="n"/>
      <c r="N755" s="16" t="n"/>
      <c r="O755" s="18" t="n"/>
      <c r="P755" s="18" t="n"/>
      <c r="Q755" s="16" t="n"/>
    </row>
    <row r="756">
      <c r="E756" s="15" t="n"/>
      <c r="F756" s="15" t="n"/>
      <c r="G756" s="15" t="n"/>
      <c r="H756" s="16" t="n"/>
      <c r="I756" s="16" t="n"/>
      <c r="J756" s="17" t="n"/>
      <c r="K756" s="17" t="n"/>
      <c r="L756" s="17" t="n"/>
      <c r="M756" s="16" t="n"/>
      <c r="N756" s="16" t="n"/>
      <c r="O756" s="18" t="n"/>
      <c r="P756" s="18" t="n"/>
      <c r="Q756" s="16" t="n"/>
    </row>
    <row r="757">
      <c r="E757" s="15" t="n"/>
      <c r="F757" s="15" t="n"/>
      <c r="G757" s="15" t="n"/>
      <c r="H757" s="16" t="n"/>
      <c r="I757" s="16" t="n"/>
      <c r="J757" s="17" t="n"/>
      <c r="K757" s="17" t="n"/>
      <c r="L757" s="17" t="n"/>
      <c r="M757" s="16" t="n"/>
      <c r="N757" s="16" t="n"/>
      <c r="O757" s="18" t="n"/>
      <c r="P757" s="18" t="n"/>
      <c r="Q757" s="16" t="n"/>
    </row>
    <row r="758">
      <c r="E758" s="15" t="n"/>
      <c r="F758" s="15" t="n"/>
      <c r="G758" s="15" t="n"/>
      <c r="H758" s="16" t="n"/>
      <c r="I758" s="16" t="n"/>
      <c r="J758" s="17" t="n"/>
      <c r="K758" s="17" t="n"/>
      <c r="L758" s="17" t="n"/>
      <c r="M758" s="16" t="n"/>
      <c r="N758" s="16" t="n"/>
      <c r="O758" s="18" t="n"/>
      <c r="P758" s="18" t="n"/>
      <c r="Q758" s="16" t="n"/>
    </row>
    <row r="759">
      <c r="E759" s="15" t="n"/>
      <c r="F759" s="15" t="n"/>
      <c r="G759" s="15" t="n"/>
      <c r="H759" s="16" t="n"/>
      <c r="I759" s="16" t="n"/>
      <c r="J759" s="17" t="n"/>
      <c r="K759" s="17" t="n"/>
      <c r="L759" s="17" t="n"/>
      <c r="M759" s="16" t="n"/>
      <c r="N759" s="16" t="n"/>
      <c r="O759" s="18" t="n"/>
      <c r="P759" s="18" t="n"/>
      <c r="Q759" s="16" t="n"/>
    </row>
    <row r="760">
      <c r="E760" s="15" t="n"/>
      <c r="F760" s="15" t="n"/>
      <c r="G760" s="15" t="n"/>
      <c r="H760" s="16" t="n"/>
      <c r="I760" s="16" t="n"/>
      <c r="J760" s="17" t="n"/>
      <c r="K760" s="17" t="n"/>
      <c r="L760" s="17" t="n"/>
      <c r="M760" s="16" t="n"/>
      <c r="N760" s="16" t="n"/>
      <c r="O760" s="18" t="n"/>
      <c r="P760" s="18" t="n"/>
      <c r="Q760" s="16" t="n"/>
    </row>
    <row r="761">
      <c r="E761" s="15" t="n"/>
      <c r="F761" s="15" t="n"/>
      <c r="G761" s="15" t="n"/>
      <c r="H761" s="16" t="n"/>
      <c r="I761" s="16" t="n"/>
      <c r="J761" s="17" t="n"/>
      <c r="K761" s="17" t="n"/>
      <c r="L761" s="17" t="n"/>
      <c r="M761" s="16" t="n"/>
      <c r="N761" s="16" t="n"/>
      <c r="O761" s="18" t="n"/>
      <c r="P761" s="18" t="n"/>
      <c r="Q761" s="16" t="n"/>
    </row>
    <row r="762">
      <c r="E762" s="15" t="n"/>
      <c r="F762" s="15" t="n"/>
      <c r="G762" s="15" t="n"/>
      <c r="H762" s="16" t="n"/>
      <c r="I762" s="16" t="n"/>
      <c r="J762" s="17" t="n"/>
      <c r="K762" s="17" t="n"/>
      <c r="L762" s="17" t="n"/>
      <c r="M762" s="16" t="n"/>
      <c r="N762" s="16" t="n"/>
      <c r="O762" s="18" t="n"/>
      <c r="P762" s="18" t="n"/>
      <c r="Q762" s="16" t="n"/>
    </row>
    <row r="763">
      <c r="E763" s="15" t="n"/>
      <c r="F763" s="15" t="n"/>
      <c r="G763" s="15" t="n"/>
      <c r="H763" s="16" t="n"/>
      <c r="I763" s="16" t="n"/>
      <c r="J763" s="17" t="n"/>
      <c r="K763" s="17" t="n"/>
      <c r="L763" s="17" t="n"/>
      <c r="M763" s="16" t="n"/>
      <c r="N763" s="16" t="n"/>
      <c r="O763" s="18" t="n"/>
      <c r="P763" s="18" t="n"/>
      <c r="Q763" s="16" t="n"/>
    </row>
    <row r="764">
      <c r="E764" s="15" t="n"/>
      <c r="F764" s="15" t="n"/>
      <c r="G764" s="15" t="n"/>
      <c r="H764" s="16" t="n"/>
      <c r="I764" s="16" t="n"/>
      <c r="J764" s="17" t="n"/>
      <c r="K764" s="17" t="n"/>
      <c r="L764" s="17" t="n"/>
      <c r="M764" s="16" t="n"/>
      <c r="N764" s="16" t="n"/>
      <c r="O764" s="18" t="n"/>
      <c r="P764" s="18" t="n"/>
      <c r="Q764" s="16" t="n"/>
    </row>
    <row r="765">
      <c r="E765" s="15" t="n"/>
      <c r="F765" s="15" t="n"/>
      <c r="G765" s="15" t="n"/>
      <c r="H765" s="16" t="n"/>
      <c r="I765" s="16" t="n"/>
      <c r="J765" s="17" t="n"/>
      <c r="K765" s="17" t="n"/>
      <c r="L765" s="17" t="n"/>
      <c r="M765" s="16" t="n"/>
      <c r="N765" s="16" t="n"/>
      <c r="O765" s="18" t="n"/>
      <c r="P765" s="18" t="n"/>
      <c r="Q765" s="16" t="n"/>
    </row>
    <row r="766">
      <c r="E766" s="15" t="n"/>
      <c r="F766" s="15" t="n"/>
      <c r="G766" s="15" t="n"/>
      <c r="H766" s="16" t="n"/>
      <c r="I766" s="16" t="n"/>
      <c r="J766" s="17" t="n"/>
      <c r="K766" s="17" t="n"/>
      <c r="L766" s="17" t="n"/>
      <c r="M766" s="16" t="n"/>
      <c r="N766" s="16" t="n"/>
      <c r="O766" s="18" t="n"/>
      <c r="P766" s="18" t="n"/>
      <c r="Q766" s="16" t="n"/>
    </row>
    <row r="767">
      <c r="E767" s="15" t="n"/>
      <c r="F767" s="15" t="n"/>
      <c r="G767" s="15" t="n"/>
      <c r="H767" s="16" t="n"/>
      <c r="I767" s="16" t="n"/>
      <c r="J767" s="17" t="n"/>
      <c r="K767" s="17" t="n"/>
      <c r="L767" s="17" t="n"/>
      <c r="M767" s="16" t="n"/>
      <c r="N767" s="16" t="n"/>
      <c r="O767" s="18" t="n"/>
      <c r="P767" s="18" t="n"/>
      <c r="Q767" s="16" t="n"/>
    </row>
    <row r="768">
      <c r="E768" s="15" t="n"/>
      <c r="F768" s="15" t="n"/>
      <c r="G768" s="15" t="n"/>
      <c r="H768" s="16" t="n"/>
      <c r="I768" s="16" t="n"/>
      <c r="J768" s="17" t="n"/>
      <c r="K768" s="17" t="n"/>
      <c r="L768" s="17" t="n"/>
      <c r="M768" s="16" t="n"/>
      <c r="N768" s="16" t="n"/>
      <c r="O768" s="18" t="n"/>
      <c r="P768" s="18" t="n"/>
      <c r="Q768" s="16" t="n"/>
    </row>
    <row r="769">
      <c r="E769" s="15" t="n"/>
      <c r="F769" s="15" t="n"/>
      <c r="G769" s="15" t="n"/>
      <c r="H769" s="16" t="n"/>
      <c r="I769" s="16" t="n"/>
      <c r="J769" s="17" t="n"/>
      <c r="K769" s="17" t="n"/>
      <c r="L769" s="17" t="n"/>
      <c r="M769" s="16" t="n"/>
      <c r="N769" s="16" t="n"/>
      <c r="O769" s="18" t="n"/>
      <c r="P769" s="18" t="n"/>
      <c r="Q769" s="16" t="n"/>
    </row>
    <row r="770">
      <c r="E770" s="15" t="n"/>
      <c r="F770" s="15" t="n"/>
      <c r="G770" s="15" t="n"/>
      <c r="H770" s="16" t="n"/>
      <c r="I770" s="16" t="n"/>
      <c r="J770" s="17" t="n"/>
      <c r="K770" s="17" t="n"/>
      <c r="L770" s="17" t="n"/>
      <c r="M770" s="16" t="n"/>
      <c r="N770" s="16" t="n"/>
      <c r="O770" s="18" t="n"/>
      <c r="P770" s="18" t="n"/>
      <c r="Q770" s="16" t="n"/>
    </row>
    <row r="771">
      <c r="E771" s="15" t="n"/>
      <c r="F771" s="15" t="n"/>
      <c r="G771" s="15" t="n"/>
      <c r="H771" s="16" t="n"/>
      <c r="I771" s="16" t="n"/>
      <c r="J771" s="17" t="n"/>
      <c r="K771" s="17" t="n"/>
      <c r="L771" s="17" t="n"/>
      <c r="M771" s="16" t="n"/>
      <c r="N771" s="16" t="n"/>
      <c r="O771" s="18" t="n"/>
      <c r="P771" s="18" t="n"/>
      <c r="Q771" s="16" t="n"/>
    </row>
    <row r="772">
      <c r="E772" s="15" t="n"/>
      <c r="F772" s="15" t="n"/>
      <c r="G772" s="15" t="n"/>
      <c r="H772" s="16" t="n"/>
      <c r="I772" s="16" t="n"/>
      <c r="J772" s="17" t="n"/>
      <c r="K772" s="17" t="n"/>
      <c r="L772" s="17" t="n"/>
      <c r="M772" s="16" t="n"/>
      <c r="N772" s="16" t="n"/>
      <c r="O772" s="18" t="n"/>
      <c r="P772" s="18" t="n"/>
      <c r="Q772" s="16" t="n"/>
    </row>
    <row r="773">
      <c r="E773" s="15" t="n"/>
      <c r="F773" s="15" t="n"/>
      <c r="G773" s="15" t="n"/>
      <c r="H773" s="16" t="n"/>
      <c r="I773" s="16" t="n"/>
      <c r="J773" s="17" t="n"/>
      <c r="K773" s="17" t="n"/>
      <c r="L773" s="17" t="n"/>
      <c r="M773" s="16" t="n"/>
      <c r="N773" s="16" t="n"/>
      <c r="O773" s="18" t="n"/>
      <c r="P773" s="18" t="n"/>
      <c r="Q773" s="16" t="n"/>
    </row>
    <row r="774">
      <c r="E774" s="15" t="n"/>
      <c r="F774" s="15" t="n"/>
      <c r="G774" s="15" t="n"/>
      <c r="H774" s="16" t="n"/>
      <c r="I774" s="16" t="n"/>
      <c r="J774" s="17" t="n"/>
      <c r="K774" s="17" t="n"/>
      <c r="L774" s="17" t="n"/>
      <c r="M774" s="16" t="n"/>
      <c r="N774" s="16" t="n"/>
      <c r="O774" s="18" t="n"/>
      <c r="P774" s="18" t="n"/>
      <c r="Q774" s="16" t="n"/>
    </row>
    <row r="775">
      <c r="E775" s="15" t="n"/>
      <c r="F775" s="15" t="n"/>
      <c r="G775" s="15" t="n"/>
      <c r="H775" s="16" t="n"/>
      <c r="I775" s="16" t="n"/>
      <c r="J775" s="17" t="n"/>
      <c r="K775" s="17" t="n"/>
      <c r="L775" s="17" t="n"/>
      <c r="M775" s="16" t="n"/>
      <c r="N775" s="16" t="n"/>
      <c r="O775" s="18" t="n"/>
      <c r="P775" s="18" t="n"/>
      <c r="Q775" s="16" t="n"/>
    </row>
    <row r="776">
      <c r="E776" s="15" t="n"/>
      <c r="F776" s="15" t="n"/>
      <c r="G776" s="15" t="n"/>
      <c r="H776" s="16" t="n"/>
      <c r="I776" s="16" t="n"/>
      <c r="J776" s="17" t="n"/>
      <c r="K776" s="17" t="n"/>
      <c r="L776" s="17" t="n"/>
      <c r="M776" s="16" t="n"/>
      <c r="N776" s="16" t="n"/>
      <c r="O776" s="18" t="n"/>
      <c r="P776" s="18" t="n"/>
      <c r="Q776" s="16" t="n"/>
    </row>
    <row r="777">
      <c r="E777" s="15" t="n"/>
      <c r="F777" s="15" t="n"/>
      <c r="G777" s="15" t="n"/>
      <c r="H777" s="16" t="n"/>
      <c r="I777" s="16" t="n"/>
      <c r="J777" s="17" t="n"/>
      <c r="K777" s="17" t="n"/>
      <c r="L777" s="17" t="n"/>
      <c r="M777" s="16" t="n"/>
      <c r="N777" s="16" t="n"/>
      <c r="O777" s="18" t="n"/>
      <c r="P777" s="18" t="n"/>
      <c r="Q777" s="16" t="n"/>
    </row>
    <row r="778">
      <c r="E778" s="15" t="n"/>
      <c r="F778" s="15" t="n"/>
      <c r="G778" s="15" t="n"/>
      <c r="H778" s="16" t="n"/>
      <c r="I778" s="16" t="n"/>
      <c r="J778" s="17" t="n"/>
      <c r="K778" s="17" t="n"/>
      <c r="L778" s="17" t="n"/>
      <c r="M778" s="16" t="n"/>
      <c r="N778" s="16" t="n"/>
      <c r="O778" s="18" t="n"/>
      <c r="P778" s="18" t="n"/>
      <c r="Q778" s="16" t="n"/>
    </row>
    <row r="779">
      <c r="E779" s="15" t="n"/>
      <c r="F779" s="15" t="n"/>
      <c r="G779" s="15" t="n"/>
      <c r="H779" s="16" t="n"/>
      <c r="I779" s="16" t="n"/>
      <c r="J779" s="17" t="n"/>
      <c r="K779" s="17" t="n"/>
      <c r="L779" s="17" t="n"/>
      <c r="M779" s="16" t="n"/>
      <c r="N779" s="16" t="n"/>
      <c r="O779" s="18" t="n"/>
      <c r="P779" s="18" t="n"/>
      <c r="Q779" s="16" t="n"/>
    </row>
    <row r="780">
      <c r="E780" s="15" t="n"/>
      <c r="F780" s="15" t="n"/>
      <c r="G780" s="15" t="n"/>
      <c r="H780" s="16" t="n"/>
      <c r="I780" s="16" t="n"/>
      <c r="J780" s="17" t="n"/>
      <c r="K780" s="17" t="n"/>
      <c r="L780" s="17" t="n"/>
      <c r="M780" s="16" t="n"/>
      <c r="N780" s="16" t="n"/>
      <c r="O780" s="18" t="n"/>
      <c r="P780" s="18" t="n"/>
      <c r="Q780" s="16" t="n"/>
    </row>
    <row r="781">
      <c r="E781" s="15" t="n"/>
      <c r="F781" s="15" t="n"/>
      <c r="G781" s="15" t="n"/>
      <c r="H781" s="16" t="n"/>
      <c r="I781" s="16" t="n"/>
      <c r="J781" s="17" t="n"/>
      <c r="K781" s="17" t="n"/>
      <c r="L781" s="17" t="n"/>
      <c r="M781" s="16" t="n"/>
      <c r="N781" s="16" t="n"/>
      <c r="O781" s="18" t="n"/>
      <c r="P781" s="18" t="n"/>
      <c r="Q781" s="16" t="n"/>
    </row>
    <row r="782">
      <c r="E782" s="15" t="n"/>
      <c r="F782" s="15" t="n"/>
      <c r="G782" s="15" t="n"/>
      <c r="H782" s="16" t="n"/>
      <c r="I782" s="16" t="n"/>
      <c r="J782" s="17" t="n"/>
      <c r="K782" s="17" t="n"/>
      <c r="L782" s="17" t="n"/>
      <c r="M782" s="16" t="n"/>
      <c r="N782" s="16" t="n"/>
      <c r="O782" s="18" t="n"/>
      <c r="P782" s="18" t="n"/>
      <c r="Q782" s="16" t="n"/>
    </row>
    <row r="783">
      <c r="E783" s="15" t="n"/>
      <c r="F783" s="15" t="n"/>
      <c r="G783" s="15" t="n"/>
      <c r="H783" s="16" t="n"/>
      <c r="I783" s="16" t="n"/>
      <c r="J783" s="17" t="n"/>
      <c r="K783" s="17" t="n"/>
      <c r="L783" s="17" t="n"/>
      <c r="M783" s="16" t="n"/>
      <c r="N783" s="16" t="n"/>
      <c r="O783" s="18" t="n"/>
      <c r="P783" s="18" t="n"/>
      <c r="Q783" s="16" t="n"/>
    </row>
    <row r="784">
      <c r="E784" s="15" t="n"/>
      <c r="F784" s="15" t="n"/>
      <c r="G784" s="15" t="n"/>
      <c r="H784" s="16" t="n"/>
      <c r="I784" s="16" t="n"/>
      <c r="J784" s="17" t="n"/>
      <c r="K784" s="17" t="n"/>
      <c r="L784" s="17" t="n"/>
      <c r="M784" s="16" t="n"/>
      <c r="N784" s="16" t="n"/>
      <c r="O784" s="18" t="n"/>
      <c r="P784" s="18" t="n"/>
      <c r="Q784" s="16" t="n"/>
    </row>
    <row r="785">
      <c r="E785" s="15" t="n"/>
      <c r="F785" s="15" t="n"/>
      <c r="G785" s="15" t="n"/>
      <c r="H785" s="16" t="n"/>
      <c r="I785" s="16" t="n"/>
      <c r="J785" s="17" t="n"/>
      <c r="K785" s="17" t="n"/>
      <c r="L785" s="17" t="n"/>
      <c r="M785" s="16" t="n"/>
      <c r="N785" s="16" t="n"/>
      <c r="O785" s="18" t="n"/>
      <c r="P785" s="18" t="n"/>
      <c r="Q785" s="16" t="n"/>
    </row>
    <row r="786">
      <c r="E786" s="15" t="n"/>
      <c r="F786" s="15" t="n"/>
      <c r="G786" s="15" t="n"/>
      <c r="H786" s="16" t="n"/>
      <c r="I786" s="16" t="n"/>
      <c r="J786" s="17" t="n"/>
      <c r="K786" s="17" t="n"/>
      <c r="L786" s="17" t="n"/>
      <c r="M786" s="16" t="n"/>
      <c r="N786" s="16" t="n"/>
      <c r="O786" s="18" t="n"/>
      <c r="P786" s="18" t="n"/>
      <c r="Q786" s="16" t="n"/>
    </row>
    <row r="787">
      <c r="E787" s="15" t="n"/>
      <c r="F787" s="15" t="n"/>
      <c r="G787" s="15" t="n"/>
      <c r="H787" s="16" t="n"/>
      <c r="I787" s="16" t="n"/>
      <c r="J787" s="17" t="n"/>
      <c r="K787" s="17" t="n"/>
      <c r="L787" s="17" t="n"/>
      <c r="M787" s="16" t="n"/>
      <c r="N787" s="16" t="n"/>
      <c r="O787" s="18" t="n"/>
      <c r="P787" s="18" t="n"/>
      <c r="Q787" s="16" t="n"/>
    </row>
    <row r="788">
      <c r="E788" s="15" t="n"/>
      <c r="F788" s="15" t="n"/>
      <c r="G788" s="15" t="n"/>
      <c r="H788" s="16" t="n"/>
      <c r="I788" s="16" t="n"/>
      <c r="J788" s="17" t="n"/>
      <c r="K788" s="17" t="n"/>
      <c r="L788" s="17" t="n"/>
      <c r="M788" s="16" t="n"/>
      <c r="N788" s="16" t="n"/>
      <c r="O788" s="18" t="n"/>
      <c r="P788" s="18" t="n"/>
      <c r="Q788" s="16" t="n"/>
    </row>
    <row r="789">
      <c r="E789" s="15" t="n"/>
      <c r="F789" s="15" t="n"/>
      <c r="G789" s="15" t="n"/>
      <c r="H789" s="16" t="n"/>
      <c r="I789" s="16" t="n"/>
      <c r="J789" s="17" t="n"/>
      <c r="K789" s="17" t="n"/>
      <c r="L789" s="17" t="n"/>
      <c r="M789" s="16" t="n"/>
      <c r="N789" s="16" t="n"/>
      <c r="O789" s="18" t="n"/>
      <c r="P789" s="18" t="n"/>
      <c r="Q789" s="16" t="n"/>
    </row>
    <row r="790">
      <c r="E790" s="15" t="n"/>
      <c r="F790" s="15" t="n"/>
      <c r="G790" s="15" t="n"/>
      <c r="H790" s="16" t="n"/>
      <c r="I790" s="16" t="n"/>
      <c r="J790" s="17" t="n"/>
      <c r="K790" s="17" t="n"/>
      <c r="L790" s="17" t="n"/>
      <c r="M790" s="16" t="n"/>
      <c r="N790" s="16" t="n"/>
      <c r="O790" s="18" t="n"/>
      <c r="P790" s="18" t="n"/>
      <c r="Q790" s="16" t="n"/>
    </row>
    <row r="791">
      <c r="E791" s="15" t="n"/>
      <c r="F791" s="15" t="n"/>
      <c r="G791" s="15" t="n"/>
      <c r="H791" s="16" t="n"/>
      <c r="I791" s="16" t="n"/>
      <c r="J791" s="17" t="n"/>
      <c r="K791" s="17" t="n"/>
      <c r="L791" s="17" t="n"/>
      <c r="M791" s="16" t="n"/>
      <c r="N791" s="16" t="n"/>
      <c r="O791" s="18" t="n"/>
      <c r="P791" s="18" t="n"/>
      <c r="Q791" s="16" t="n"/>
    </row>
    <row r="792">
      <c r="E792" s="15" t="n"/>
      <c r="F792" s="15" t="n"/>
      <c r="G792" s="15" t="n"/>
      <c r="H792" s="16" t="n"/>
      <c r="I792" s="16" t="n"/>
      <c r="J792" s="17" t="n"/>
      <c r="K792" s="17" t="n"/>
      <c r="L792" s="17" t="n"/>
      <c r="M792" s="16" t="n"/>
      <c r="N792" s="16" t="n"/>
      <c r="O792" s="18" t="n"/>
      <c r="P792" s="18" t="n"/>
      <c r="Q792" s="16" t="n"/>
    </row>
    <row r="793">
      <c r="E793" s="15" t="n"/>
      <c r="F793" s="15" t="n"/>
      <c r="G793" s="15" t="n"/>
      <c r="H793" s="16" t="n"/>
      <c r="I793" s="16" t="n"/>
      <c r="J793" s="17" t="n"/>
      <c r="K793" s="17" t="n"/>
      <c r="L793" s="17" t="n"/>
      <c r="M793" s="16" t="n"/>
      <c r="N793" s="16" t="n"/>
      <c r="O793" s="18" t="n"/>
      <c r="P793" s="18" t="n"/>
      <c r="Q793" s="16" t="n"/>
    </row>
    <row r="794">
      <c r="E794" s="15" t="n"/>
      <c r="F794" s="15" t="n"/>
      <c r="G794" s="15" t="n"/>
      <c r="H794" s="16" t="n"/>
      <c r="I794" s="16" t="n"/>
      <c r="J794" s="17" t="n"/>
      <c r="K794" s="17" t="n"/>
      <c r="L794" s="17" t="n"/>
      <c r="M794" s="16" t="n"/>
      <c r="N794" s="16" t="n"/>
      <c r="O794" s="18" t="n"/>
      <c r="P794" s="18" t="n"/>
      <c r="Q794" s="16" t="n"/>
    </row>
    <row r="795">
      <c r="E795" s="15" t="n"/>
      <c r="F795" s="15" t="n"/>
      <c r="G795" s="15" t="n"/>
      <c r="H795" s="16" t="n"/>
      <c r="I795" s="16" t="n"/>
      <c r="J795" s="17" t="n"/>
      <c r="K795" s="17" t="n"/>
      <c r="L795" s="17" t="n"/>
      <c r="M795" s="16" t="n"/>
      <c r="N795" s="16" t="n"/>
      <c r="O795" s="18" t="n"/>
      <c r="P795" s="18" t="n"/>
      <c r="Q795" s="16" t="n"/>
    </row>
    <row r="796">
      <c r="E796" s="15" t="n"/>
      <c r="F796" s="15" t="n"/>
      <c r="G796" s="15" t="n"/>
      <c r="H796" s="16" t="n"/>
      <c r="I796" s="16" t="n"/>
      <c r="J796" s="17" t="n"/>
      <c r="K796" s="17" t="n"/>
      <c r="L796" s="17" t="n"/>
      <c r="M796" s="16" t="n"/>
      <c r="N796" s="16" t="n"/>
      <c r="O796" s="18" t="n"/>
      <c r="P796" s="18" t="n"/>
      <c r="Q796" s="16" t="n"/>
    </row>
    <row r="797">
      <c r="E797" s="15" t="n"/>
      <c r="F797" s="15" t="n"/>
      <c r="G797" s="15" t="n"/>
      <c r="H797" s="16" t="n"/>
      <c r="I797" s="16" t="n"/>
      <c r="J797" s="17" t="n"/>
      <c r="K797" s="17" t="n"/>
      <c r="L797" s="17" t="n"/>
      <c r="M797" s="16" t="n"/>
      <c r="N797" s="16" t="n"/>
      <c r="O797" s="18" t="n"/>
      <c r="P797" s="18" t="n"/>
      <c r="Q797" s="16" t="n"/>
    </row>
    <row r="798">
      <c r="E798" s="15" t="n"/>
      <c r="F798" s="15" t="n"/>
      <c r="G798" s="15" t="n"/>
      <c r="H798" s="16" t="n"/>
      <c r="I798" s="16" t="n"/>
      <c r="J798" s="17" t="n"/>
      <c r="K798" s="17" t="n"/>
      <c r="L798" s="17" t="n"/>
      <c r="M798" s="16" t="n"/>
      <c r="N798" s="16" t="n"/>
      <c r="O798" s="18" t="n"/>
      <c r="P798" s="18" t="n"/>
      <c r="Q798" s="16" t="n"/>
    </row>
    <row r="799">
      <c r="E799" s="15" t="n"/>
      <c r="F799" s="15" t="n"/>
      <c r="G799" s="15" t="n"/>
      <c r="H799" s="16" t="n"/>
      <c r="I799" s="16" t="n"/>
      <c r="J799" s="17" t="n"/>
      <c r="K799" s="17" t="n"/>
      <c r="L799" s="17" t="n"/>
      <c r="M799" s="16" t="n"/>
      <c r="N799" s="16" t="n"/>
      <c r="O799" s="18" t="n"/>
      <c r="P799" s="18" t="n"/>
      <c r="Q799" s="16" t="n"/>
    </row>
    <row r="800">
      <c r="E800" s="15" t="n"/>
      <c r="F800" s="15" t="n"/>
      <c r="G800" s="15" t="n"/>
      <c r="H800" s="16" t="n"/>
      <c r="I800" s="16" t="n"/>
      <c r="J800" s="17" t="n"/>
      <c r="K800" s="17" t="n"/>
      <c r="L800" s="17" t="n"/>
      <c r="M800" s="16" t="n"/>
      <c r="N800" s="16" t="n"/>
      <c r="O800" s="18" t="n"/>
      <c r="P800" s="18" t="n"/>
      <c r="Q800" s="16" t="n"/>
    </row>
    <row r="801">
      <c r="E801" s="15" t="n"/>
      <c r="F801" s="15" t="n"/>
      <c r="G801" s="15" t="n"/>
      <c r="H801" s="16" t="n"/>
      <c r="I801" s="16" t="n"/>
      <c r="J801" s="17" t="n"/>
      <c r="K801" s="17" t="n"/>
      <c r="L801" s="17" t="n"/>
      <c r="M801" s="16" t="n"/>
      <c r="N801" s="16" t="n"/>
      <c r="O801" s="18" t="n"/>
      <c r="P801" s="18" t="n"/>
      <c r="Q801" s="16" t="n"/>
    </row>
    <row r="802">
      <c r="E802" s="15" t="n"/>
      <c r="F802" s="15" t="n"/>
      <c r="G802" s="15" t="n"/>
      <c r="H802" s="16" t="n"/>
      <c r="I802" s="16" t="n"/>
      <c r="J802" s="17" t="n"/>
      <c r="K802" s="17" t="n"/>
      <c r="L802" s="17" t="n"/>
      <c r="M802" s="16" t="n"/>
      <c r="N802" s="16" t="n"/>
      <c r="O802" s="18" t="n"/>
      <c r="P802" s="18" t="n"/>
      <c r="Q802" s="16" t="n"/>
    </row>
    <row r="803">
      <c r="E803" s="15" t="n"/>
      <c r="F803" s="15" t="n"/>
      <c r="G803" s="15" t="n"/>
      <c r="H803" s="16" t="n"/>
      <c r="I803" s="16" t="n"/>
      <c r="J803" s="17" t="n"/>
      <c r="K803" s="17" t="n"/>
      <c r="L803" s="17" t="n"/>
      <c r="M803" s="16" t="n"/>
      <c r="N803" s="16" t="n"/>
      <c r="O803" s="18" t="n"/>
      <c r="P803" s="18" t="n"/>
      <c r="Q803" s="16" t="n"/>
    </row>
    <row r="804">
      <c r="E804" s="15" t="n"/>
      <c r="F804" s="15" t="n"/>
      <c r="G804" s="15" t="n"/>
      <c r="H804" s="16" t="n"/>
      <c r="I804" s="16" t="n"/>
      <c r="J804" s="17" t="n"/>
      <c r="K804" s="17" t="n"/>
      <c r="L804" s="17" t="n"/>
      <c r="M804" s="16" t="n"/>
      <c r="N804" s="16" t="n"/>
      <c r="O804" s="18" t="n"/>
      <c r="P804" s="18" t="n"/>
      <c r="Q804" s="16" t="n"/>
    </row>
    <row r="805">
      <c r="E805" s="15" t="n"/>
      <c r="F805" s="15" t="n"/>
      <c r="G805" s="15" t="n"/>
      <c r="H805" s="16" t="n"/>
      <c r="I805" s="16" t="n"/>
      <c r="J805" s="17" t="n"/>
      <c r="K805" s="17" t="n"/>
      <c r="L805" s="17" t="n"/>
      <c r="M805" s="16" t="n"/>
      <c r="N805" s="16" t="n"/>
      <c r="O805" s="18" t="n"/>
      <c r="P805" s="18" t="n"/>
      <c r="Q805" s="16" t="n"/>
    </row>
    <row r="806">
      <c r="E806" s="15" t="n"/>
      <c r="F806" s="15" t="n"/>
      <c r="G806" s="15" t="n"/>
      <c r="H806" s="16" t="n"/>
      <c r="I806" s="16" t="n"/>
      <c r="J806" s="17" t="n"/>
      <c r="K806" s="17" t="n"/>
      <c r="L806" s="17" t="n"/>
      <c r="M806" s="16" t="n"/>
      <c r="N806" s="16" t="n"/>
      <c r="O806" s="18" t="n"/>
      <c r="P806" s="18" t="n"/>
      <c r="Q806" s="16" t="n"/>
    </row>
    <row r="807">
      <c r="E807" s="15" t="n"/>
      <c r="F807" s="15" t="n"/>
      <c r="G807" s="15" t="n"/>
      <c r="H807" s="16" t="n"/>
      <c r="I807" s="16" t="n"/>
      <c r="J807" s="17" t="n"/>
      <c r="K807" s="17" t="n"/>
      <c r="L807" s="17" t="n"/>
      <c r="M807" s="16" t="n"/>
      <c r="N807" s="16" t="n"/>
      <c r="O807" s="18" t="n"/>
      <c r="P807" s="18" t="n"/>
      <c r="Q807" s="16" t="n"/>
    </row>
    <row r="808">
      <c r="E808" s="15" t="n"/>
      <c r="F808" s="15" t="n"/>
      <c r="G808" s="15" t="n"/>
      <c r="H808" s="16" t="n"/>
      <c r="I808" s="16" t="n"/>
      <c r="J808" s="17" t="n"/>
      <c r="K808" s="17" t="n"/>
      <c r="L808" s="17" t="n"/>
      <c r="M808" s="16" t="n"/>
      <c r="N808" s="16" t="n"/>
      <c r="O808" s="18" t="n"/>
      <c r="P808" s="18" t="n"/>
      <c r="Q808" s="16" t="n"/>
    </row>
    <row r="809">
      <c r="E809" s="15" t="n"/>
      <c r="F809" s="15" t="n"/>
      <c r="G809" s="15" t="n"/>
      <c r="H809" s="16" t="n"/>
      <c r="I809" s="16" t="n"/>
      <c r="J809" s="17" t="n"/>
      <c r="K809" s="17" t="n"/>
      <c r="L809" s="17" t="n"/>
      <c r="M809" s="16" t="n"/>
      <c r="N809" s="16" t="n"/>
      <c r="O809" s="18" t="n"/>
      <c r="P809" s="18" t="n"/>
      <c r="Q809" s="16" t="n"/>
    </row>
    <row r="810">
      <c r="E810" s="15" t="n"/>
      <c r="F810" s="15" t="n"/>
      <c r="G810" s="15" t="n"/>
      <c r="H810" s="16" t="n"/>
      <c r="I810" s="16" t="n"/>
      <c r="J810" s="17" t="n"/>
      <c r="K810" s="17" t="n"/>
      <c r="L810" s="17" t="n"/>
      <c r="M810" s="16" t="n"/>
      <c r="N810" s="16" t="n"/>
      <c r="O810" s="18" t="n"/>
      <c r="P810" s="18" t="n"/>
      <c r="Q810" s="16" t="n"/>
    </row>
    <row r="811">
      <c r="E811" s="15" t="n"/>
      <c r="F811" s="15" t="n"/>
      <c r="G811" s="15" t="n"/>
      <c r="H811" s="16" t="n"/>
      <c r="I811" s="16" t="n"/>
      <c r="J811" s="17" t="n"/>
      <c r="K811" s="17" t="n"/>
      <c r="L811" s="17" t="n"/>
      <c r="M811" s="16" t="n"/>
      <c r="N811" s="16" t="n"/>
      <c r="O811" s="18" t="n"/>
      <c r="P811" s="18" t="n"/>
      <c r="Q811" s="16" t="n"/>
    </row>
    <row r="812">
      <c r="E812" s="15" t="n"/>
      <c r="F812" s="15" t="n"/>
      <c r="G812" s="15" t="n"/>
      <c r="H812" s="16" t="n"/>
      <c r="I812" s="16" t="n"/>
      <c r="J812" s="17" t="n"/>
      <c r="K812" s="17" t="n"/>
      <c r="L812" s="17" t="n"/>
      <c r="M812" s="16" t="n"/>
      <c r="N812" s="16" t="n"/>
      <c r="O812" s="18" t="n"/>
      <c r="P812" s="18" t="n"/>
      <c r="Q812" s="16" t="n"/>
    </row>
    <row r="813">
      <c r="E813" s="15" t="n"/>
      <c r="F813" s="15" t="n"/>
      <c r="G813" s="15" t="n"/>
      <c r="H813" s="16" t="n"/>
      <c r="I813" s="16" t="n"/>
      <c r="J813" s="17" t="n"/>
      <c r="K813" s="17" t="n"/>
      <c r="L813" s="17" t="n"/>
      <c r="M813" s="16" t="n"/>
      <c r="N813" s="16" t="n"/>
      <c r="O813" s="18" t="n"/>
      <c r="P813" s="18" t="n"/>
      <c r="Q813" s="16" t="n"/>
    </row>
    <row r="814">
      <c r="E814" s="15" t="n"/>
      <c r="F814" s="15" t="n"/>
      <c r="G814" s="15" t="n"/>
      <c r="H814" s="16" t="n"/>
      <c r="I814" s="16" t="n"/>
      <c r="J814" s="17" t="n"/>
      <c r="K814" s="17" t="n"/>
      <c r="L814" s="17" t="n"/>
      <c r="M814" s="16" t="n"/>
      <c r="N814" s="16" t="n"/>
      <c r="O814" s="18" t="n"/>
      <c r="P814" s="18" t="n"/>
      <c r="Q814" s="16" t="n"/>
    </row>
    <row r="815">
      <c r="E815" s="15" t="n"/>
      <c r="F815" s="15" t="n"/>
      <c r="G815" s="15" t="n"/>
      <c r="H815" s="16" t="n"/>
      <c r="I815" s="16" t="n"/>
      <c r="J815" s="17" t="n"/>
      <c r="K815" s="17" t="n"/>
      <c r="L815" s="17" t="n"/>
      <c r="M815" s="16" t="n"/>
      <c r="N815" s="16" t="n"/>
      <c r="O815" s="18" t="n"/>
      <c r="P815" s="18" t="n"/>
      <c r="Q815" s="16" t="n"/>
    </row>
    <row r="816">
      <c r="E816" s="15" t="n"/>
      <c r="F816" s="15" t="n"/>
      <c r="G816" s="15" t="n"/>
      <c r="H816" s="16" t="n"/>
      <c r="I816" s="16" t="n"/>
      <c r="J816" s="17" t="n"/>
      <c r="K816" s="17" t="n"/>
      <c r="L816" s="17" t="n"/>
      <c r="M816" s="16" t="n"/>
      <c r="N816" s="16" t="n"/>
      <c r="O816" s="18" t="n"/>
      <c r="P816" s="18" t="n"/>
      <c r="Q816" s="16" t="n"/>
    </row>
    <row r="817">
      <c r="E817" s="15" t="n"/>
      <c r="F817" s="15" t="n"/>
      <c r="G817" s="15" t="n"/>
      <c r="H817" s="16" t="n"/>
      <c r="I817" s="16" t="n"/>
      <c r="J817" s="17" t="n"/>
      <c r="K817" s="17" t="n"/>
      <c r="L817" s="17" t="n"/>
      <c r="M817" s="16" t="n"/>
      <c r="N817" s="16" t="n"/>
      <c r="O817" s="18" t="n"/>
      <c r="P817" s="18" t="n"/>
      <c r="Q817" s="16" t="n"/>
    </row>
    <row r="818">
      <c r="E818" s="15" t="n"/>
      <c r="F818" s="15" t="n"/>
      <c r="G818" s="15" t="n"/>
      <c r="H818" s="16" t="n"/>
      <c r="I818" s="16" t="n"/>
      <c r="J818" s="17" t="n"/>
      <c r="K818" s="17" t="n"/>
      <c r="L818" s="17" t="n"/>
      <c r="M818" s="16" t="n"/>
      <c r="N818" s="16" t="n"/>
      <c r="O818" s="18" t="n"/>
      <c r="P818" s="18" t="n"/>
      <c r="Q818" s="16" t="n"/>
    </row>
    <row r="819">
      <c r="E819" s="15" t="n"/>
      <c r="F819" s="15" t="n"/>
      <c r="G819" s="15" t="n"/>
      <c r="H819" s="16" t="n"/>
      <c r="I819" s="16" t="n"/>
      <c r="J819" s="17" t="n"/>
      <c r="K819" s="17" t="n"/>
      <c r="L819" s="17" t="n"/>
      <c r="M819" s="16" t="n"/>
      <c r="N819" s="16" t="n"/>
      <c r="O819" s="18" t="n"/>
      <c r="P819" s="18" t="n"/>
      <c r="Q819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H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0.88" customWidth="1" style="21" min="1" max="1"/>
    <col width="14.75" customWidth="1" style="21" min="2" max="2"/>
    <col width="9.630000000000001" customWidth="1" style="21" min="3" max="3"/>
    <col width="9.75" customWidth="1" style="21" min="4" max="4"/>
    <col width="30.75" customWidth="1" style="21" min="5" max="5"/>
    <col width="13.75" customWidth="1" style="21" min="6" max="6"/>
    <col width="18.13" customWidth="1" style="21" min="7" max="7"/>
    <col width="12.88" customWidth="1" style="21" min="8" max="8"/>
    <col width="10.63" customWidth="1" style="21" min="9" max="9"/>
    <col width="30.63" customWidth="1" style="21" min="10" max="10"/>
    <col width="13.63" customWidth="1" style="21" min="11" max="11"/>
    <col width="18" customWidth="1" style="21" min="12" max="12"/>
    <col width="13.13" customWidth="1" style="21" min="13" max="13"/>
    <col width="10.88" customWidth="1" style="21" min="14" max="14"/>
    <col width="15.88" customWidth="1" style="21" min="15" max="15"/>
    <col width="20.38" customWidth="1" style="21" min="16" max="16"/>
    <col width="15.13" customWidth="1" style="21" min="17" max="17"/>
    <col width="25.88" customWidth="1" style="21" min="18" max="18"/>
    <col width="17.13" customWidth="1" style="21" min="19" max="19"/>
    <col width="8.75" customWidth="1" style="21" min="20" max="24"/>
    <col width="21.5" customWidth="1" style="21" min="25" max="25"/>
    <col width="14.38" customWidth="1" style="21" min="26" max="26"/>
    <col width="22.13" customWidth="1" style="21" min="27" max="27"/>
    <col width="19" customWidth="1" style="21" min="28" max="28"/>
    <col width="13.88" customWidth="1" style="21" min="29" max="29"/>
    <col width="14.75" customWidth="1" style="21" min="30" max="30"/>
    <col width="14.63" customWidth="1" style="21" min="31" max="31"/>
    <col width="13.38" customWidth="1" style="21" min="32" max="32"/>
    <col width="18.25" customWidth="1" style="21" min="33" max="33"/>
    <col width="14.25" customWidth="1" style="21" min="34" max="34"/>
  </cols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match_type</t>
        </is>
      </c>
      <c r="D1" s="1" t="inlineStr">
        <is>
          <t>q_threshold</t>
        </is>
      </c>
      <c r="E1" s="20" t="inlineStr">
        <is>
          <t>known_drugs_available_in_tahoe_count</t>
        </is>
      </c>
      <c r="F1" s="20" t="inlineStr">
        <is>
          <t>tahoe_hits_count</t>
        </is>
      </c>
      <c r="G1" s="20" t="inlineStr">
        <is>
          <t>tahoe_in_known_count</t>
        </is>
      </c>
      <c r="H1" s="8" t="inlineStr">
        <is>
          <t>Tahoe Precision</t>
        </is>
      </c>
      <c r="I1" s="8" t="inlineStr">
        <is>
          <t>Tahoe Recall</t>
        </is>
      </c>
      <c r="J1" s="17" t="inlineStr">
        <is>
          <t>known_drugs_available_in_cmap_count</t>
        </is>
      </c>
      <c r="K1" s="17" t="inlineStr">
        <is>
          <t>cmap_hits_count</t>
        </is>
      </c>
      <c r="L1" s="17" t="inlineStr">
        <is>
          <t>cmap_in_known_count</t>
        </is>
      </c>
      <c r="M1" s="8" t="inlineStr">
        <is>
          <t>CMAP Precision</t>
        </is>
      </c>
      <c r="N1" s="8" t="inlineStr">
        <is>
          <t>CMAP Recall</t>
        </is>
      </c>
      <c r="O1" s="18" t="inlineStr">
        <is>
          <t>common_hits_count</t>
        </is>
      </c>
      <c r="P1" s="18" t="inlineStr">
        <is>
          <t>common_in_known_count</t>
        </is>
      </c>
      <c r="Q1" s="8" t="inlineStr">
        <is>
          <t>Common Precision</t>
        </is>
      </c>
      <c r="R1" s="1" t="inlineStr">
        <is>
          <t>known_drugs_in_database_count</t>
        </is>
      </c>
      <c r="S1" s="1" t="inlineStr">
        <is>
          <t>total_in_known_count</t>
        </is>
      </c>
      <c r="T1" s="1" t="inlineStr">
        <is>
          <t>phase_0.5</t>
        </is>
      </c>
      <c r="U1" s="1" t="inlineStr">
        <is>
          <t>phase_1.0</t>
        </is>
      </c>
      <c r="V1" s="1" t="inlineStr">
        <is>
          <t>phase_2.0</t>
        </is>
      </c>
      <c r="W1" s="1" t="inlineStr">
        <is>
          <t>phase_3.0</t>
        </is>
      </c>
      <c r="X1" s="1" t="inlineStr">
        <is>
          <t>phase_4.0</t>
        </is>
      </c>
      <c r="Y1" s="1" t="inlineStr">
        <is>
          <t>status_Active, not recruiting</t>
        </is>
      </c>
      <c r="Z1" s="1" t="inlineStr">
        <is>
          <t>status_Completed</t>
        </is>
      </c>
      <c r="AA1" s="1" t="inlineStr">
        <is>
          <t>status_Enrolling by invitation</t>
        </is>
      </c>
      <c r="AB1" s="1" t="inlineStr">
        <is>
          <t>status_Not yet recruiting</t>
        </is>
      </c>
      <c r="AC1" s="1" t="inlineStr">
        <is>
          <t>status_Recruiting</t>
        </is>
      </c>
      <c r="AD1" s="1" t="inlineStr">
        <is>
          <t>status_Suspended</t>
        </is>
      </c>
      <c r="AE1" s="1" t="inlineStr">
        <is>
          <t>status_Terminated</t>
        </is>
      </c>
      <c r="AF1" s="1" t="inlineStr">
        <is>
          <t>status_Unknown</t>
        </is>
      </c>
      <c r="AG1" s="1" t="inlineStr">
        <is>
          <t>status_Unknown status</t>
        </is>
      </c>
      <c r="AH1" s="1" t="inlineStr">
        <is>
          <t>status_Withdrawn</t>
        </is>
      </c>
    </row>
    <row r="2">
      <c r="A2" s="1" t="inlineStr">
        <is>
          <t>appendicitis</t>
        </is>
      </c>
      <c r="B2" s="1" t="inlineStr">
        <is>
          <t>EFO_0007149</t>
        </is>
      </c>
      <c r="C2" s="1" t="inlineStr">
        <is>
          <t>name</t>
        </is>
      </c>
      <c r="D2" s="1" t="n">
        <v>0.5</v>
      </c>
      <c r="E2" s="20" t="n">
        <v>1</v>
      </c>
      <c r="F2" s="20" t="n">
        <v>245</v>
      </c>
      <c r="G2" s="20" t="n">
        <v>0</v>
      </c>
      <c r="H2" s="16">
        <f>G2/F2</f>
        <v/>
      </c>
      <c r="I2" s="16">
        <f>G2/E2</f>
        <v/>
      </c>
      <c r="J2" s="17" t="n">
        <v>3</v>
      </c>
      <c r="K2" s="17" t="n">
        <v>124</v>
      </c>
      <c r="L2" s="17" t="n">
        <v>1</v>
      </c>
      <c r="M2" s="16">
        <f>L2/K2</f>
        <v/>
      </c>
      <c r="N2" s="16">
        <f>L2/J2</f>
        <v/>
      </c>
      <c r="O2" s="18" t="n">
        <v>4</v>
      </c>
      <c r="P2" s="18" t="n">
        <v>0</v>
      </c>
      <c r="Q2" s="16">
        <f>P2/O2</f>
        <v/>
      </c>
      <c r="R2" s="1" t="n">
        <v>149</v>
      </c>
      <c r="S2" s="1" t="n">
        <v>1</v>
      </c>
      <c r="T2" s="1" t="n">
        <v>0</v>
      </c>
      <c r="U2" s="1" t="n">
        <v>0</v>
      </c>
      <c r="V2" s="1" t="n">
        <v>1</v>
      </c>
      <c r="W2" s="1" t="n">
        <v>0</v>
      </c>
      <c r="X2" s="1" t="n">
        <v>0</v>
      </c>
      <c r="Y2" s="1" t="n">
        <v>0</v>
      </c>
      <c r="Z2" s="1" t="n">
        <v>1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</row>
    <row r="3">
      <c r="A3" s="1" t="inlineStr">
        <is>
          <t>arthritis</t>
        </is>
      </c>
      <c r="B3" s="1" t="inlineStr">
        <is>
          <t>EFO_0005856</t>
        </is>
      </c>
      <c r="C3" s="1" t="inlineStr">
        <is>
          <t>name</t>
        </is>
      </c>
      <c r="D3" s="1" t="n">
        <v>0.5</v>
      </c>
      <c r="E3" s="20" t="n">
        <v>2</v>
      </c>
      <c r="F3" s="20" t="n">
        <v>84</v>
      </c>
      <c r="G3" s="20" t="n">
        <v>0</v>
      </c>
      <c r="H3" s="16">
        <f>G3/F3</f>
        <v/>
      </c>
      <c r="I3" s="16">
        <f>G3/E3</f>
        <v/>
      </c>
      <c r="J3" s="17" t="n">
        <v>6</v>
      </c>
      <c r="K3" s="17" t="n">
        <v>107</v>
      </c>
      <c r="L3" s="17" t="n">
        <v>2</v>
      </c>
      <c r="M3" s="16">
        <f>L3/K3</f>
        <v/>
      </c>
      <c r="N3" s="16">
        <f>L3/J3</f>
        <v/>
      </c>
      <c r="O3" s="18" t="n">
        <v>1</v>
      </c>
      <c r="P3" s="18" t="n">
        <v>0</v>
      </c>
      <c r="Q3" s="16">
        <f>P3/O3</f>
        <v/>
      </c>
      <c r="R3" s="1" t="n">
        <v>435</v>
      </c>
      <c r="S3" s="1" t="n">
        <v>2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2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2</v>
      </c>
      <c r="AG3" s="1" t="n">
        <v>0</v>
      </c>
      <c r="AH3" s="1" t="n">
        <v>0</v>
      </c>
    </row>
    <row r="4">
      <c r="A4" s="1" t="inlineStr">
        <is>
          <t>arthropathy</t>
        </is>
      </c>
      <c r="B4" s="1" t="inlineStr">
        <is>
          <t>HP_0003040</t>
        </is>
      </c>
      <c r="C4" s="1" t="inlineStr">
        <is>
          <t>name</t>
        </is>
      </c>
      <c r="D4" s="1" t="n">
        <v>0.5</v>
      </c>
      <c r="E4" s="20" t="n">
        <v>1</v>
      </c>
      <c r="F4" s="20" t="n">
        <v>159</v>
      </c>
      <c r="G4" s="20" t="n">
        <v>0</v>
      </c>
      <c r="H4" s="16">
        <f>G4/F4</f>
        <v/>
      </c>
      <c r="I4" s="16">
        <f>G4/E4</f>
        <v/>
      </c>
      <c r="J4" s="17" t="n">
        <v>3</v>
      </c>
      <c r="K4" s="17" t="n">
        <v>110</v>
      </c>
      <c r="L4" s="17" t="n">
        <v>1</v>
      </c>
      <c r="M4" s="16">
        <f>L4/K4</f>
        <v/>
      </c>
      <c r="N4" s="16">
        <f>L4/J4</f>
        <v/>
      </c>
      <c r="O4" s="18" t="n">
        <v>2</v>
      </c>
      <c r="P4" s="18" t="n">
        <v>0</v>
      </c>
      <c r="Q4" s="16">
        <f>P4/O4</f>
        <v/>
      </c>
      <c r="R4" s="1" t="n">
        <v>66</v>
      </c>
      <c r="S4" s="1" t="n">
        <v>1</v>
      </c>
      <c r="T4" s="1" t="n">
        <v>0</v>
      </c>
      <c r="U4" s="1" t="n">
        <v>0</v>
      </c>
      <c r="V4" s="1" t="n">
        <v>1</v>
      </c>
      <c r="W4" s="1" t="n">
        <v>1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0</v>
      </c>
      <c r="AC4" s="1" t="n">
        <v>1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</row>
    <row r="5">
      <c r="A5" s="1" t="inlineStr">
        <is>
          <t>colon adenoma</t>
        </is>
      </c>
      <c r="B5" s="1" t="inlineStr">
        <is>
          <t>MONDO_0000527</t>
        </is>
      </c>
      <c r="C5" s="1" t="inlineStr">
        <is>
          <t>name</t>
        </is>
      </c>
      <c r="D5" s="1" t="n">
        <v>0.5</v>
      </c>
      <c r="E5" s="20" t="n">
        <v>1</v>
      </c>
      <c r="F5" s="20" t="n">
        <v>254</v>
      </c>
      <c r="G5" s="20" t="n">
        <v>0</v>
      </c>
      <c r="H5" s="16">
        <f>G5/F5</f>
        <v/>
      </c>
      <c r="I5" s="16">
        <f>G5/E5</f>
        <v/>
      </c>
      <c r="J5" s="17" t="n">
        <v>1</v>
      </c>
      <c r="K5" s="17" t="n">
        <v>213</v>
      </c>
      <c r="L5" s="17" t="n">
        <v>1</v>
      </c>
      <c r="M5" s="16">
        <f>L5/K5</f>
        <v/>
      </c>
      <c r="N5" s="16">
        <f>L5/J5</f>
        <v/>
      </c>
      <c r="O5" s="18" t="n">
        <v>7</v>
      </c>
      <c r="P5" s="18" t="n">
        <v>0</v>
      </c>
      <c r="Q5" s="16">
        <f>P5/O5</f>
        <v/>
      </c>
      <c r="R5" s="1" t="n">
        <v>42</v>
      </c>
      <c r="S5" s="1" t="n">
        <v>1</v>
      </c>
      <c r="T5" s="1" t="n">
        <v>0</v>
      </c>
      <c r="U5" s="1" t="n">
        <v>0</v>
      </c>
      <c r="V5" s="1" t="n">
        <v>0</v>
      </c>
      <c r="W5" s="1" t="n">
        <v>1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1</v>
      </c>
      <c r="AF5" s="1" t="n">
        <v>0</v>
      </c>
      <c r="AG5" s="1" t="n">
        <v>0</v>
      </c>
      <c r="AH5" s="1" t="n">
        <v>0</v>
      </c>
    </row>
    <row r="6">
      <c r="A6" s="1" t="inlineStr">
        <is>
          <t>dermatomyositis</t>
        </is>
      </c>
      <c r="B6" s="1" t="inlineStr">
        <is>
          <t>EFO_0000398</t>
        </is>
      </c>
      <c r="C6" s="1" t="inlineStr">
        <is>
          <t>name</t>
        </is>
      </c>
      <c r="D6" s="1" t="n">
        <v>0.5</v>
      </c>
      <c r="E6" s="20" t="n">
        <v>2</v>
      </c>
      <c r="F6" s="20" t="n">
        <v>195</v>
      </c>
      <c r="G6" s="20" t="n">
        <v>0</v>
      </c>
      <c r="H6" s="16">
        <f>G6/F6</f>
        <v/>
      </c>
      <c r="I6" s="16">
        <f>G6/E6</f>
        <v/>
      </c>
      <c r="J6" s="17" t="n">
        <v>5</v>
      </c>
      <c r="K6" s="17" t="n">
        <v>152</v>
      </c>
      <c r="L6" s="17" t="n">
        <v>0</v>
      </c>
      <c r="M6" s="16">
        <f>L6/K6</f>
        <v/>
      </c>
      <c r="N6" s="16">
        <f>L6/J6</f>
        <v/>
      </c>
      <c r="O6" s="18" t="n">
        <v>3</v>
      </c>
      <c r="P6" s="18" t="n">
        <v>0</v>
      </c>
      <c r="Q6" s="16">
        <f>P6/O6</f>
        <v/>
      </c>
      <c r="R6" s="1" t="n">
        <v>293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</row>
    <row r="7">
      <c r="A7" s="1" t="inlineStr">
        <is>
          <t>Diamond-Blackfan anemia</t>
        </is>
      </c>
      <c r="B7" s="1" t="inlineStr">
        <is>
          <t>MONDO_0015253</t>
        </is>
      </c>
      <c r="C7" s="1" t="inlineStr">
        <is>
          <t>name</t>
        </is>
      </c>
      <c r="D7" s="1" t="n">
        <v>0.5</v>
      </c>
      <c r="E7" s="20" t="n">
        <v>1</v>
      </c>
      <c r="F7" s="20" t="n">
        <v>187</v>
      </c>
      <c r="G7" s="20" t="n">
        <v>0</v>
      </c>
      <c r="H7" s="16">
        <f>G7/F7</f>
        <v/>
      </c>
      <c r="I7" s="16">
        <f>G7/E7</f>
        <v/>
      </c>
      <c r="J7" s="17" t="n">
        <v>4</v>
      </c>
      <c r="K7" s="17" t="n">
        <v>158</v>
      </c>
      <c r="L7" s="17" t="n">
        <v>1</v>
      </c>
      <c r="M7" s="16">
        <f>L7/K7</f>
        <v/>
      </c>
      <c r="N7" s="16">
        <f>L7/J7</f>
        <v/>
      </c>
      <c r="O7" s="18" t="n">
        <v>1</v>
      </c>
      <c r="P7" s="18" t="n">
        <v>0</v>
      </c>
      <c r="Q7" s="16">
        <f>P7/O7</f>
        <v/>
      </c>
      <c r="R7" s="1" t="n">
        <v>145</v>
      </c>
      <c r="S7" s="1" t="n">
        <v>1</v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</row>
    <row r="8">
      <c r="A8" s="1" t="inlineStr">
        <is>
          <t>Down syndrome</t>
        </is>
      </c>
      <c r="B8" s="1" t="inlineStr">
        <is>
          <t>EFO_0001064</t>
        </is>
      </c>
      <c r="C8" s="1" t="inlineStr">
        <is>
          <t>name</t>
        </is>
      </c>
      <c r="D8" s="1" t="n">
        <v>0.5</v>
      </c>
      <c r="E8" s="20" t="n">
        <v>1</v>
      </c>
      <c r="F8" s="20" t="n">
        <v>122</v>
      </c>
      <c r="G8" s="20" t="n">
        <v>0</v>
      </c>
      <c r="H8" s="16">
        <f>G8/F8</f>
        <v/>
      </c>
      <c r="I8" s="16">
        <f>G8/E8</f>
        <v/>
      </c>
      <c r="J8" s="17" t="n">
        <v>1</v>
      </c>
      <c r="K8" s="17" t="n">
        <v>156</v>
      </c>
      <c r="L8" s="17" t="n">
        <v>0</v>
      </c>
      <c r="M8" s="16">
        <f>L8/K8</f>
        <v/>
      </c>
      <c r="N8" s="16">
        <f>L8/J8</f>
        <v/>
      </c>
      <c r="O8" s="18" t="n">
        <v>3</v>
      </c>
      <c r="P8" s="18" t="n">
        <v>0</v>
      </c>
      <c r="Q8" s="16">
        <f>P8/O8</f>
        <v/>
      </c>
      <c r="R8" s="1" t="n">
        <v>86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</row>
    <row r="9">
      <c r="A9" s="1" t="inlineStr">
        <is>
          <t>Ebola hemorrhagic fever</t>
        </is>
      </c>
      <c r="B9" s="1" t="inlineStr">
        <is>
          <t>EFO_0007243</t>
        </is>
      </c>
      <c r="C9" s="1" t="inlineStr">
        <is>
          <t>name</t>
        </is>
      </c>
      <c r="D9" s="1" t="n">
        <v>0.5</v>
      </c>
      <c r="E9" s="20" t="n">
        <v>2</v>
      </c>
      <c r="F9" s="20" t="n">
        <v>188</v>
      </c>
      <c r="G9" s="20" t="n">
        <v>0</v>
      </c>
      <c r="H9" s="16">
        <f>G9/F9</f>
        <v/>
      </c>
      <c r="I9" s="16">
        <f>G9/E9</f>
        <v/>
      </c>
      <c r="J9" s="17" t="n">
        <v>1</v>
      </c>
      <c r="K9" s="17" t="n">
        <v>124</v>
      </c>
      <c r="L9" s="17" t="n">
        <v>0</v>
      </c>
      <c r="M9" s="16">
        <f>L9/K9</f>
        <v/>
      </c>
      <c r="N9" s="16">
        <f>L9/J9</f>
        <v/>
      </c>
      <c r="O9" s="18" t="n">
        <v>2</v>
      </c>
      <c r="P9" s="18" t="n">
        <v>0</v>
      </c>
      <c r="Q9" s="16">
        <f>P9/O9</f>
        <v/>
      </c>
      <c r="R9" s="1" t="n">
        <v>44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</row>
    <row r="10">
      <c r="A10" s="1" t="inlineStr">
        <is>
          <t>familial hypercholesterolemia</t>
        </is>
      </c>
      <c r="B10" s="1" t="inlineStr">
        <is>
          <t>EFO_0004911</t>
        </is>
      </c>
      <c r="C10" s="1" t="inlineStr">
        <is>
          <t>name</t>
        </is>
      </c>
      <c r="D10" s="1" t="n">
        <v>0.5</v>
      </c>
      <c r="E10" s="20" t="n">
        <v>2</v>
      </c>
      <c r="F10" s="20" t="n">
        <v>272</v>
      </c>
      <c r="G10" s="20" t="n">
        <v>0</v>
      </c>
      <c r="H10" s="16">
        <f>G10/F10</f>
        <v/>
      </c>
      <c r="I10" s="16">
        <f>G10/E10</f>
        <v/>
      </c>
      <c r="J10" s="17" t="n">
        <v>1</v>
      </c>
      <c r="K10" s="17" t="n">
        <v>147</v>
      </c>
      <c r="L10" s="17" t="n">
        <v>0</v>
      </c>
      <c r="M10" s="16">
        <f>L10/K10</f>
        <v/>
      </c>
      <c r="N10" s="16">
        <f>L10/J10</f>
        <v/>
      </c>
      <c r="O10" s="18" t="n">
        <v>3</v>
      </c>
      <c r="P10" s="18" t="n">
        <v>0</v>
      </c>
      <c r="Q10" s="16">
        <f>P10/O10</f>
        <v/>
      </c>
      <c r="R10" s="1" t="n">
        <v>181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</row>
    <row r="11">
      <c r="A11" s="1" t="inlineStr">
        <is>
          <t>gastroesophageal reflux disease</t>
        </is>
      </c>
      <c r="B11" s="1" t="inlineStr">
        <is>
          <t>EFO_0003948</t>
        </is>
      </c>
      <c r="C11" s="1" t="inlineStr">
        <is>
          <t>name</t>
        </is>
      </c>
      <c r="D11" s="1" t="n">
        <v>0.5</v>
      </c>
      <c r="E11" s="20" t="n">
        <v>2</v>
      </c>
      <c r="F11" s="20" t="n">
        <v>79</v>
      </c>
      <c r="G11" s="20" t="n">
        <v>0</v>
      </c>
      <c r="H11" s="16">
        <f>G11/F11</f>
        <v/>
      </c>
      <c r="I11" s="16">
        <f>G11/E11</f>
        <v/>
      </c>
      <c r="J11" s="17" t="n">
        <v>16</v>
      </c>
      <c r="K11" s="17" t="n">
        <v>194</v>
      </c>
      <c r="L11" s="17" t="n">
        <v>4</v>
      </c>
      <c r="M11" s="16">
        <f>L11/K11</f>
        <v/>
      </c>
      <c r="N11" s="16">
        <f>L11/J11</f>
        <v/>
      </c>
      <c r="O11" s="18" t="n">
        <v>1</v>
      </c>
      <c r="P11" s="18" t="n">
        <v>0</v>
      </c>
      <c r="Q11" s="16">
        <f>P11/O11</f>
        <v/>
      </c>
      <c r="R11" s="1" t="n">
        <v>398</v>
      </c>
      <c r="S11" s="1" t="n">
        <v>4</v>
      </c>
      <c r="T11" s="1" t="n">
        <v>1</v>
      </c>
      <c r="U11" s="1" t="n">
        <v>2</v>
      </c>
      <c r="V11" s="1" t="n">
        <v>1</v>
      </c>
      <c r="W11" s="1" t="n">
        <v>4</v>
      </c>
      <c r="X11" s="1" t="n">
        <v>6</v>
      </c>
      <c r="Y11" s="1" t="n">
        <v>0</v>
      </c>
      <c r="Z11" s="1" t="n">
        <v>6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3</v>
      </c>
      <c r="AG11" s="1" t="n">
        <v>2</v>
      </c>
      <c r="AH11" s="1" t="n">
        <v>1</v>
      </c>
    </row>
    <row r="12">
      <c r="A12" s="1" t="inlineStr">
        <is>
          <t>intellectual disability</t>
        </is>
      </c>
      <c r="B12" s="1" t="inlineStr">
        <is>
          <t>HP_0001249</t>
        </is>
      </c>
      <c r="C12" s="1" t="inlineStr">
        <is>
          <t>name</t>
        </is>
      </c>
      <c r="D12" s="1" t="n">
        <v>0.5</v>
      </c>
      <c r="E12" s="20" t="n">
        <v>1</v>
      </c>
      <c r="F12" s="20" t="n">
        <v>250</v>
      </c>
      <c r="G12" s="20" t="n">
        <v>0</v>
      </c>
      <c r="H12" s="16">
        <f>G12/F12</f>
        <v/>
      </c>
      <c r="I12" s="16">
        <f>G12/E12</f>
        <v/>
      </c>
      <c r="J12" s="17" t="n">
        <v>4</v>
      </c>
      <c r="K12" s="17" t="n">
        <v>123</v>
      </c>
      <c r="L12" s="17" t="n">
        <v>2</v>
      </c>
      <c r="M12" s="16">
        <f>L12/K12</f>
        <v/>
      </c>
      <c r="N12" s="16">
        <f>L12/J12</f>
        <v/>
      </c>
      <c r="O12" s="18" t="n">
        <v>5</v>
      </c>
      <c r="P12" s="18" t="n">
        <v>0</v>
      </c>
      <c r="Q12" s="16">
        <f>P12/O12</f>
        <v/>
      </c>
      <c r="R12" s="1" t="n">
        <v>91</v>
      </c>
      <c r="S12" s="1" t="n">
        <v>2</v>
      </c>
      <c r="T12" s="1" t="n">
        <v>0</v>
      </c>
      <c r="U12" s="1" t="n">
        <v>0</v>
      </c>
      <c r="V12" s="1" t="n">
        <v>2</v>
      </c>
      <c r="W12" s="1" t="n">
        <v>1</v>
      </c>
      <c r="X12" s="1" t="n">
        <v>0</v>
      </c>
      <c r="Y12" s="1" t="n">
        <v>0</v>
      </c>
      <c r="Z12" s="1" t="n">
        <v>2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</row>
    <row r="13">
      <c r="A13" s="1" t="inlineStr">
        <is>
          <t>interstitial cystitis</t>
        </is>
      </c>
      <c r="B13" s="1" t="inlineStr">
        <is>
          <t>EFO_0008507</t>
        </is>
      </c>
      <c r="C13" s="1" t="inlineStr">
        <is>
          <t>name</t>
        </is>
      </c>
      <c r="D13" s="1" t="n">
        <v>0.5</v>
      </c>
      <c r="E13" s="20" t="n">
        <v>1</v>
      </c>
      <c r="F13" s="20" t="n">
        <v>62</v>
      </c>
      <c r="G13" s="20" t="n">
        <v>0</v>
      </c>
      <c r="H13" s="16">
        <f>G13/F13</f>
        <v/>
      </c>
      <c r="I13" s="16">
        <f>G13/E13</f>
        <v/>
      </c>
      <c r="J13" s="17" t="n">
        <v>5</v>
      </c>
      <c r="K13" s="17" t="n">
        <v>85</v>
      </c>
      <c r="L13" s="17" t="n">
        <v>1</v>
      </c>
      <c r="M13" s="16">
        <f>L13/K13</f>
        <v/>
      </c>
      <c r="N13" s="16">
        <f>L13/J13</f>
        <v/>
      </c>
      <c r="O13" s="18" t="n">
        <v>2</v>
      </c>
      <c r="P13" s="18" t="n">
        <v>0</v>
      </c>
      <c r="Q13" s="16">
        <f>P13/O13</f>
        <v/>
      </c>
      <c r="R13" s="1" t="n">
        <v>281</v>
      </c>
      <c r="S13" s="1" t="n">
        <v>1</v>
      </c>
      <c r="T13" s="1" t="n">
        <v>0</v>
      </c>
      <c r="U13" s="1" t="n">
        <v>0</v>
      </c>
      <c r="V13" s="1" t="n">
        <v>1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1</v>
      </c>
      <c r="AE13" s="1" t="n">
        <v>0</v>
      </c>
      <c r="AF13" s="1" t="n">
        <v>0</v>
      </c>
      <c r="AG13" s="1" t="n">
        <v>0</v>
      </c>
      <c r="AH13" s="1" t="n">
        <v>0</v>
      </c>
    </row>
    <row r="14">
      <c r="A14" s="1" t="inlineStr">
        <is>
          <t>lupus erythematosus</t>
        </is>
      </c>
      <c r="B14" s="1" t="inlineStr">
        <is>
          <t>MONDO_0004670</t>
        </is>
      </c>
      <c r="C14" s="1" t="inlineStr">
        <is>
          <t>name</t>
        </is>
      </c>
      <c r="D14" s="1" t="n">
        <v>0.5</v>
      </c>
      <c r="E14" s="20" t="n">
        <v>1</v>
      </c>
      <c r="F14" s="20" t="n">
        <v>217</v>
      </c>
      <c r="G14" s="20" t="n">
        <v>0</v>
      </c>
      <c r="H14" s="16">
        <f>G14/F14</f>
        <v/>
      </c>
      <c r="I14" s="16">
        <f>G14/E14</f>
        <v/>
      </c>
      <c r="J14" s="17" t="n">
        <v>0</v>
      </c>
      <c r="K14" s="17" t="n">
        <v>101</v>
      </c>
      <c r="L14" s="17" t="n">
        <v>0</v>
      </c>
      <c r="M14" s="16">
        <f>L14/K14</f>
        <v/>
      </c>
      <c r="N14" s="16">
        <f>L14/J14</f>
        <v/>
      </c>
      <c r="O14" s="18" t="n">
        <v>1</v>
      </c>
      <c r="P14" s="18" t="n">
        <v>0</v>
      </c>
      <c r="Q14" s="16">
        <f>P14/O14</f>
        <v/>
      </c>
      <c r="R14" s="1" t="n">
        <v>45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</row>
    <row r="15">
      <c r="A15" s="1" t="inlineStr">
        <is>
          <t>macular degeneration</t>
        </is>
      </c>
      <c r="B15" s="1" t="inlineStr">
        <is>
          <t>EFO_0009606</t>
        </is>
      </c>
      <c r="C15" s="1" t="inlineStr">
        <is>
          <t>name</t>
        </is>
      </c>
      <c r="D15" s="1" t="n">
        <v>0.5</v>
      </c>
      <c r="E15" s="20" t="n">
        <v>4</v>
      </c>
      <c r="F15" s="20" t="n">
        <v>106</v>
      </c>
      <c r="G15" s="20" t="n">
        <v>0</v>
      </c>
      <c r="H15" s="16">
        <f>G15/F15</f>
        <v/>
      </c>
      <c r="I15" s="16">
        <f>G15/E15</f>
        <v/>
      </c>
      <c r="J15" s="17" t="n">
        <v>4</v>
      </c>
      <c r="K15" s="17" t="n">
        <v>149</v>
      </c>
      <c r="L15" s="17" t="n">
        <v>1</v>
      </c>
      <c r="M15" s="16">
        <f>L15/K15</f>
        <v/>
      </c>
      <c r="N15" s="16">
        <f>L15/J15</f>
        <v/>
      </c>
      <c r="O15" s="18" t="n">
        <v>2</v>
      </c>
      <c r="P15" s="18" t="n">
        <v>0</v>
      </c>
      <c r="Q15" s="16">
        <f>P15/O15</f>
        <v/>
      </c>
      <c r="R15" s="1" t="n">
        <v>336</v>
      </c>
      <c r="S15" s="1" t="n">
        <v>1</v>
      </c>
      <c r="T15" s="1" t="n">
        <v>0</v>
      </c>
      <c r="U15" s="1" t="n">
        <v>0</v>
      </c>
      <c r="V15" s="1" t="n">
        <v>0</v>
      </c>
      <c r="W15" s="1" t="n">
        <v>1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1</v>
      </c>
      <c r="AH15" s="1" t="n">
        <v>0</v>
      </c>
    </row>
    <row r="16">
      <c r="A16" s="1" t="inlineStr">
        <is>
          <t>morbid obesity</t>
        </is>
      </c>
      <c r="B16" s="1" t="inlineStr">
        <is>
          <t>EFO_0001074</t>
        </is>
      </c>
      <c r="C16" s="1" t="inlineStr">
        <is>
          <t>name</t>
        </is>
      </c>
      <c r="D16" s="1" t="n">
        <v>0.5</v>
      </c>
      <c r="E16" s="20" t="n">
        <v>1</v>
      </c>
      <c r="F16" s="20" t="n">
        <v>23</v>
      </c>
      <c r="G16" s="20" t="n">
        <v>0</v>
      </c>
      <c r="H16" s="16">
        <f>G16/F16</f>
        <v/>
      </c>
      <c r="I16" s="16">
        <f>G16/E16</f>
        <v/>
      </c>
      <c r="J16" s="17" t="n">
        <v>4</v>
      </c>
      <c r="K16" s="17" t="n">
        <v>112</v>
      </c>
      <c r="L16" s="17" t="n">
        <v>0</v>
      </c>
      <c r="M16" s="16">
        <f>L16/K16</f>
        <v/>
      </c>
      <c r="N16" s="16">
        <f>L16/J16</f>
        <v/>
      </c>
      <c r="O16" s="18" t="n">
        <v>0</v>
      </c>
      <c r="P16" s="18" t="n">
        <v>0</v>
      </c>
      <c r="Q16" s="16">
        <f>P16/O16</f>
        <v/>
      </c>
      <c r="R16" s="1" t="n">
        <v>262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</row>
    <row r="17">
      <c r="A17" s="1" t="inlineStr">
        <is>
          <t>muscular dystrophy</t>
        </is>
      </c>
      <c r="B17" s="1" t="inlineStr">
        <is>
          <t>MONDO_0020121</t>
        </is>
      </c>
      <c r="C17" s="1" t="inlineStr">
        <is>
          <t>name</t>
        </is>
      </c>
      <c r="D17" s="1" t="n">
        <v>0.5</v>
      </c>
      <c r="E17" s="20" t="n">
        <v>1</v>
      </c>
      <c r="F17" s="20" t="n">
        <v>63</v>
      </c>
      <c r="G17" s="20" t="n">
        <v>0</v>
      </c>
      <c r="H17" s="16">
        <f>G17/F17</f>
        <v/>
      </c>
      <c r="I17" s="16">
        <f>G17/E17</f>
        <v/>
      </c>
      <c r="J17" s="17" t="n">
        <v>1</v>
      </c>
      <c r="K17" s="17" t="n">
        <v>233</v>
      </c>
      <c r="L17" s="17" t="n">
        <v>1</v>
      </c>
      <c r="M17" s="16">
        <f>L17/K17</f>
        <v/>
      </c>
      <c r="N17" s="16">
        <f>L17/J17</f>
        <v/>
      </c>
      <c r="O17" s="18" t="n">
        <v>1</v>
      </c>
      <c r="P17" s="18" t="n">
        <v>0</v>
      </c>
      <c r="Q17" s="16">
        <f>P17/O17</f>
        <v/>
      </c>
      <c r="R17" s="1" t="n">
        <v>45</v>
      </c>
      <c r="S17" s="1" t="n">
        <v>1</v>
      </c>
      <c r="T17" s="1" t="n">
        <v>0</v>
      </c>
      <c r="U17" s="1" t="n">
        <v>0</v>
      </c>
      <c r="V17" s="1" t="n">
        <v>1</v>
      </c>
      <c r="W17" s="1" t="n">
        <v>1</v>
      </c>
      <c r="X17" s="1" t="n">
        <v>0</v>
      </c>
      <c r="Y17" s="1" t="n">
        <v>0</v>
      </c>
      <c r="Z17" s="1" t="n">
        <v>2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</row>
    <row r="18">
      <c r="A18" s="1" t="inlineStr">
        <is>
          <t>nicotine dependence</t>
        </is>
      </c>
      <c r="B18" s="1" t="inlineStr">
        <is>
          <t>EFO_0003768</t>
        </is>
      </c>
      <c r="C18" s="1" t="inlineStr">
        <is>
          <t>name</t>
        </is>
      </c>
      <c r="D18" s="1" t="n">
        <v>0.5</v>
      </c>
      <c r="E18" s="20" t="n">
        <v>9</v>
      </c>
      <c r="F18" s="20" t="n">
        <v>25</v>
      </c>
      <c r="G18" s="20" t="n">
        <v>0</v>
      </c>
      <c r="H18" s="16">
        <f>G18/F18</f>
        <v/>
      </c>
      <c r="I18" s="16">
        <f>G18/E18</f>
        <v/>
      </c>
      <c r="J18" s="17" t="n">
        <v>27</v>
      </c>
      <c r="K18" s="17" t="n">
        <v>983</v>
      </c>
      <c r="L18" s="17" t="n">
        <v>21</v>
      </c>
      <c r="M18" s="16">
        <f>L18/K18</f>
        <v/>
      </c>
      <c r="N18" s="16">
        <f>L18/J18</f>
        <v/>
      </c>
      <c r="O18" s="18" t="n">
        <v>3</v>
      </c>
      <c r="P18" s="18" t="n">
        <v>0</v>
      </c>
      <c r="Q18" s="16">
        <f>P18/O18</f>
        <v/>
      </c>
      <c r="R18" s="1" t="n">
        <v>785</v>
      </c>
      <c r="S18" s="1" t="n">
        <v>21</v>
      </c>
      <c r="T18" s="1" t="n">
        <v>4</v>
      </c>
      <c r="U18" s="1" t="n">
        <v>9</v>
      </c>
      <c r="V18" s="1" t="n">
        <v>15</v>
      </c>
      <c r="W18" s="1" t="n">
        <v>5</v>
      </c>
      <c r="X18" s="1" t="n">
        <v>0</v>
      </c>
      <c r="Y18" s="1" t="n">
        <v>0</v>
      </c>
      <c r="Z18" s="1" t="n">
        <v>25</v>
      </c>
      <c r="AA18" s="1" t="n">
        <v>0</v>
      </c>
      <c r="AB18" s="1" t="n">
        <v>0</v>
      </c>
      <c r="AC18" s="1" t="n">
        <v>1</v>
      </c>
      <c r="AD18" s="1" t="n">
        <v>0</v>
      </c>
      <c r="AE18" s="1" t="n">
        <v>4</v>
      </c>
      <c r="AF18" s="1" t="n">
        <v>1</v>
      </c>
      <c r="AG18" s="1" t="n">
        <v>2</v>
      </c>
      <c r="AH18" s="1" t="n">
        <v>0</v>
      </c>
    </row>
    <row r="19">
      <c r="A19" s="1" t="inlineStr">
        <is>
          <t>papillary thyroid carcinoma</t>
        </is>
      </c>
      <c r="B19" s="1" t="inlineStr">
        <is>
          <t>EFO_0000641</t>
        </is>
      </c>
      <c r="C19" s="1" t="inlineStr">
        <is>
          <t>name</t>
        </is>
      </c>
      <c r="D19" s="1" t="n">
        <v>0.5</v>
      </c>
      <c r="E19" s="20" t="n">
        <v>7</v>
      </c>
      <c r="F19" s="20" t="n">
        <v>10</v>
      </c>
      <c r="G19" s="20" t="n">
        <v>0</v>
      </c>
      <c r="H19" s="16">
        <f>G19/F19</f>
        <v/>
      </c>
      <c r="I19" s="16">
        <f>G19/E19</f>
        <v/>
      </c>
      <c r="J19" s="17" t="n">
        <v>5</v>
      </c>
      <c r="K19" s="17" t="n">
        <v>849</v>
      </c>
      <c r="L19" s="17" t="n">
        <v>2</v>
      </c>
      <c r="M19" s="16">
        <f>L19/K19</f>
        <v/>
      </c>
      <c r="N19" s="16">
        <f>L19/J19</f>
        <v/>
      </c>
      <c r="O19" s="18" t="n">
        <v>0</v>
      </c>
      <c r="P19" s="18" t="n">
        <v>0</v>
      </c>
      <c r="Q19" s="16">
        <f>P19/O19</f>
        <v/>
      </c>
      <c r="R19" s="1" t="n">
        <v>259</v>
      </c>
      <c r="S19" s="1" t="n">
        <v>2</v>
      </c>
      <c r="T19" s="1" t="n">
        <v>0</v>
      </c>
      <c r="U19" s="1" t="n">
        <v>1</v>
      </c>
      <c r="V19" s="1" t="n">
        <v>1</v>
      </c>
      <c r="W19" s="1" t="n">
        <v>0</v>
      </c>
      <c r="X19" s="1" t="n">
        <v>0</v>
      </c>
      <c r="Y19" s="1" t="n">
        <v>0</v>
      </c>
      <c r="Z19" s="1" t="n">
        <v>2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</row>
    <row r="20">
      <c r="A20" s="1" t="inlineStr">
        <is>
          <t>post-traumatic stress disorder</t>
        </is>
      </c>
      <c r="B20" s="1" t="inlineStr">
        <is>
          <t>EFO_0001358</t>
        </is>
      </c>
      <c r="C20" s="1" t="inlineStr">
        <is>
          <t>name</t>
        </is>
      </c>
      <c r="D20" s="1" t="n">
        <v>0.5</v>
      </c>
      <c r="E20" s="20" t="n">
        <v>1</v>
      </c>
      <c r="F20" s="20" t="n">
        <v>194</v>
      </c>
      <c r="G20" s="20" t="n">
        <v>0</v>
      </c>
      <c r="H20" s="16">
        <f>G20/F20</f>
        <v/>
      </c>
      <c r="I20" s="16">
        <f>G20/E20</f>
        <v/>
      </c>
      <c r="J20" s="17" t="n">
        <v>19</v>
      </c>
      <c r="K20" s="17" t="n">
        <v>761</v>
      </c>
      <c r="L20" s="17" t="n">
        <v>12</v>
      </c>
      <c r="M20" s="16">
        <f>L20/K20</f>
        <v/>
      </c>
      <c r="N20" s="16">
        <f>L20/J20</f>
        <v/>
      </c>
      <c r="O20" s="18" t="n">
        <v>20</v>
      </c>
      <c r="P20" s="18" t="n">
        <v>0</v>
      </c>
      <c r="Q20" s="16">
        <f>P20/O20</f>
        <v/>
      </c>
      <c r="R20" s="1" t="n">
        <v>762</v>
      </c>
      <c r="S20" s="1" t="n">
        <v>12</v>
      </c>
      <c r="T20" s="1" t="n">
        <v>1</v>
      </c>
      <c r="U20" s="1" t="n">
        <v>5</v>
      </c>
      <c r="V20" s="1" t="n">
        <v>8</v>
      </c>
      <c r="W20" s="1" t="n">
        <v>9</v>
      </c>
      <c r="X20" s="1" t="n">
        <v>0</v>
      </c>
      <c r="Y20" s="1" t="n">
        <v>0</v>
      </c>
      <c r="Z20" s="1" t="n">
        <v>14</v>
      </c>
      <c r="AA20" s="1" t="n">
        <v>0</v>
      </c>
      <c r="AB20" s="1" t="n">
        <v>0</v>
      </c>
      <c r="AC20" s="1" t="n">
        <v>3</v>
      </c>
      <c r="AD20" s="1" t="n">
        <v>1</v>
      </c>
      <c r="AE20" s="1" t="n">
        <v>3</v>
      </c>
      <c r="AF20" s="1" t="n">
        <v>0</v>
      </c>
      <c r="AG20" s="1" t="n">
        <v>1</v>
      </c>
      <c r="AH20" s="1" t="n">
        <v>1</v>
      </c>
    </row>
    <row r="21">
      <c r="A21" s="1" t="inlineStr">
        <is>
          <t>pre-eclampsia</t>
        </is>
      </c>
      <c r="B21" s="1" t="inlineStr">
        <is>
          <t>EFO_0000668</t>
        </is>
      </c>
      <c r="C21" s="1" t="inlineStr">
        <is>
          <t>name</t>
        </is>
      </c>
      <c r="D21" s="1" t="n">
        <v>0.5</v>
      </c>
      <c r="E21" s="20" t="n">
        <v>5</v>
      </c>
      <c r="F21" s="20" t="n">
        <v>158</v>
      </c>
      <c r="G21" s="20" t="n">
        <v>0</v>
      </c>
      <c r="H21" s="16">
        <f>G21/F21</f>
        <v/>
      </c>
      <c r="I21" s="16">
        <f>G21/E21</f>
        <v/>
      </c>
      <c r="J21" s="17" t="n">
        <v>21</v>
      </c>
      <c r="K21" s="17" t="n">
        <v>578</v>
      </c>
      <c r="L21" s="17" t="n">
        <v>12</v>
      </c>
      <c r="M21" s="16">
        <f>L21/K21</f>
        <v/>
      </c>
      <c r="N21" s="16">
        <f>L21/J21</f>
        <v/>
      </c>
      <c r="O21" s="18" t="n">
        <v>4</v>
      </c>
      <c r="P21" s="18" t="n">
        <v>0</v>
      </c>
      <c r="Q21" s="16">
        <f>P21/O21</f>
        <v/>
      </c>
      <c r="R21" s="1" t="n">
        <v>756</v>
      </c>
      <c r="S21" s="1" t="n">
        <v>12</v>
      </c>
      <c r="T21" s="1" t="n">
        <v>2</v>
      </c>
      <c r="U21" s="1" t="n">
        <v>1</v>
      </c>
      <c r="V21" s="1" t="n">
        <v>5</v>
      </c>
      <c r="W21" s="1" t="n">
        <v>9</v>
      </c>
      <c r="X21" s="1" t="n">
        <v>4</v>
      </c>
      <c r="Y21" s="1" t="n">
        <v>0</v>
      </c>
      <c r="Z21" s="1" t="n">
        <v>3</v>
      </c>
      <c r="AA21" s="1" t="n">
        <v>1</v>
      </c>
      <c r="AB21" s="1" t="n">
        <v>0</v>
      </c>
      <c r="AC21" s="1" t="n">
        <v>7</v>
      </c>
      <c r="AD21" s="1" t="n">
        <v>0</v>
      </c>
      <c r="AE21" s="1" t="n">
        <v>3</v>
      </c>
      <c r="AF21" s="1" t="n">
        <v>4</v>
      </c>
      <c r="AG21" s="1" t="n">
        <v>1</v>
      </c>
      <c r="AH21" s="1" t="n">
        <v>2</v>
      </c>
    </row>
    <row r="22">
      <c r="A22" s="1" t="inlineStr">
        <is>
          <t>pulmonary sarcoidosis</t>
        </is>
      </c>
      <c r="B22" s="1" t="inlineStr">
        <is>
          <t>DOID_13406</t>
        </is>
      </c>
      <c r="C22" s="1" t="inlineStr">
        <is>
          <t>name</t>
        </is>
      </c>
      <c r="D22" s="1" t="n">
        <v>0.5</v>
      </c>
      <c r="E22" s="20" t="n">
        <v>1</v>
      </c>
      <c r="F22" s="20" t="n">
        <v>194</v>
      </c>
      <c r="G22" s="20" t="n">
        <v>0</v>
      </c>
      <c r="H22" s="16">
        <f>G22/F22</f>
        <v/>
      </c>
      <c r="I22" s="16">
        <f>G22/E22</f>
        <v/>
      </c>
      <c r="J22" s="17" t="n">
        <v>3</v>
      </c>
      <c r="K22" s="17" t="n">
        <v>660</v>
      </c>
      <c r="L22" s="17" t="n">
        <v>2</v>
      </c>
      <c r="M22" s="16">
        <f>L22/K22</f>
        <v/>
      </c>
      <c r="N22" s="16">
        <f>L22/J22</f>
        <v/>
      </c>
      <c r="O22" s="18" t="n">
        <v>10</v>
      </c>
      <c r="P22" s="18" t="n">
        <v>0</v>
      </c>
      <c r="Q22" s="16">
        <f>P22/O22</f>
        <v/>
      </c>
      <c r="R22" s="1" t="n">
        <v>83</v>
      </c>
      <c r="S22" s="1" t="n">
        <v>2</v>
      </c>
      <c r="T22" s="1" t="n">
        <v>0</v>
      </c>
      <c r="U22" s="1" t="n">
        <v>0</v>
      </c>
      <c r="V22" s="1" t="n">
        <v>1</v>
      </c>
      <c r="W22" s="1" t="n">
        <v>2</v>
      </c>
      <c r="X22" s="1" t="n">
        <v>0</v>
      </c>
      <c r="Y22" s="1" t="n">
        <v>0</v>
      </c>
      <c r="Z22" s="1" t="n">
        <v>2</v>
      </c>
      <c r="AA22" s="1" t="n">
        <v>0</v>
      </c>
      <c r="AB22" s="1" t="n">
        <v>1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</row>
    <row r="23">
      <c r="A23" s="1" t="inlineStr">
        <is>
          <t>salivary gland adenoid cystic carcinoma</t>
        </is>
      </c>
      <c r="B23" s="1" t="inlineStr">
        <is>
          <t>MONDO_0003175</t>
        </is>
      </c>
      <c r="C23" s="1" t="inlineStr">
        <is>
          <t>name</t>
        </is>
      </c>
      <c r="D23" s="1" t="n">
        <v>0.5</v>
      </c>
      <c r="E23" s="20" t="n">
        <v>2</v>
      </c>
      <c r="F23" s="20" t="n">
        <v>116</v>
      </c>
      <c r="G23" s="20" t="n">
        <v>0</v>
      </c>
      <c r="H23" s="16">
        <f>G23/F23</f>
        <v/>
      </c>
      <c r="I23" s="16">
        <f>G23/E23</f>
        <v/>
      </c>
      <c r="J23" s="17" t="n">
        <v>1</v>
      </c>
      <c r="K23" s="17" t="n">
        <v>475</v>
      </c>
      <c r="L23" s="17" t="n">
        <v>0</v>
      </c>
      <c r="M23" s="16">
        <f>L23/K23</f>
        <v/>
      </c>
      <c r="N23" s="16">
        <f>L23/J23</f>
        <v/>
      </c>
      <c r="O23" s="18" t="n">
        <v>5</v>
      </c>
      <c r="P23" s="18" t="n">
        <v>0</v>
      </c>
      <c r="Q23" s="16">
        <f>P23/O23</f>
        <v/>
      </c>
      <c r="R23" s="1" t="n">
        <v>45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</row>
    <row r="24">
      <c r="A24" s="1" t="inlineStr">
        <is>
          <t>Schizophrenia</t>
        </is>
      </c>
      <c r="B24" s="1" t="inlineStr">
        <is>
          <t>MONDO_0005090</t>
        </is>
      </c>
      <c r="C24" s="1" t="inlineStr">
        <is>
          <t>name</t>
        </is>
      </c>
      <c r="D24" s="1" t="n">
        <v>0.5</v>
      </c>
      <c r="E24" s="20" t="n">
        <v>15</v>
      </c>
      <c r="F24" s="20" t="n">
        <v>6</v>
      </c>
      <c r="G24" s="20" t="n">
        <v>0</v>
      </c>
      <c r="H24" s="16">
        <f>G24/F24</f>
        <v/>
      </c>
      <c r="I24" s="16">
        <f>G24/E24</f>
        <v/>
      </c>
      <c r="J24" s="17" t="n">
        <v>65</v>
      </c>
      <c r="K24" s="17" t="n">
        <v>197</v>
      </c>
      <c r="L24" s="17" t="n">
        <v>13</v>
      </c>
      <c r="M24" s="16">
        <f>L24/K24</f>
        <v/>
      </c>
      <c r="N24" s="16">
        <f>L24/J24</f>
        <v/>
      </c>
      <c r="O24" s="18" t="n">
        <v>0</v>
      </c>
      <c r="P24" s="18" t="n">
        <v>0</v>
      </c>
      <c r="Q24" s="16">
        <f>P24/O24</f>
        <v/>
      </c>
      <c r="R24" s="1" t="n">
        <v>2219</v>
      </c>
      <c r="S24" s="1" t="n">
        <v>13</v>
      </c>
      <c r="T24" s="1" t="n">
        <v>0</v>
      </c>
      <c r="U24" s="1" t="n">
        <v>3</v>
      </c>
      <c r="V24" s="1" t="n">
        <v>7</v>
      </c>
      <c r="W24" s="1" t="n">
        <v>13</v>
      </c>
      <c r="X24" s="1" t="n">
        <v>5</v>
      </c>
      <c r="Y24" s="1" t="n">
        <v>0</v>
      </c>
      <c r="Z24" s="1" t="n">
        <v>12</v>
      </c>
      <c r="AA24" s="1" t="n">
        <v>0</v>
      </c>
      <c r="AB24" s="1" t="n">
        <v>0</v>
      </c>
      <c r="AC24" s="1" t="n">
        <v>1</v>
      </c>
      <c r="AD24" s="1" t="n">
        <v>0</v>
      </c>
      <c r="AE24" s="1" t="n">
        <v>7</v>
      </c>
      <c r="AF24" s="1" t="n">
        <v>1</v>
      </c>
      <c r="AG24" s="1" t="n">
        <v>5</v>
      </c>
      <c r="AH24" s="1" t="n">
        <v>2</v>
      </c>
    </row>
    <row r="25">
      <c r="A25" s="1" t="inlineStr">
        <is>
          <t>tendinitis</t>
        </is>
      </c>
      <c r="B25" s="1" t="inlineStr">
        <is>
          <t>MONDO_0004857</t>
        </is>
      </c>
      <c r="C25" s="1" t="inlineStr">
        <is>
          <t>name</t>
        </is>
      </c>
      <c r="D25" s="1" t="n">
        <v>0.5</v>
      </c>
      <c r="E25" s="20" t="n">
        <v>1</v>
      </c>
      <c r="F25" s="20" t="n">
        <v>89</v>
      </c>
      <c r="G25" s="20" t="n">
        <v>0</v>
      </c>
      <c r="H25" s="16">
        <f>G25/F25</f>
        <v/>
      </c>
      <c r="I25" s="16">
        <f>G25/E25</f>
        <v/>
      </c>
      <c r="J25" s="17" t="n">
        <v>2</v>
      </c>
      <c r="K25" s="17" t="n">
        <v>634</v>
      </c>
      <c r="L25" s="17" t="n">
        <v>1</v>
      </c>
      <c r="M25" s="16">
        <f>L25/K25</f>
        <v/>
      </c>
      <c r="N25" s="16">
        <f>L25/J25</f>
        <v/>
      </c>
      <c r="O25" s="18" t="n">
        <v>3</v>
      </c>
      <c r="P25" s="18" t="n">
        <v>0</v>
      </c>
      <c r="Q25" s="16">
        <f>P25/O25</f>
        <v/>
      </c>
      <c r="R25" s="1" t="n">
        <v>203</v>
      </c>
      <c r="S25" s="1" t="n">
        <v>1</v>
      </c>
      <c r="T25" s="1" t="n">
        <v>0</v>
      </c>
      <c r="U25" s="1" t="n">
        <v>0</v>
      </c>
      <c r="V25" s="1" t="n">
        <v>1</v>
      </c>
      <c r="W25" s="1" t="n">
        <v>1</v>
      </c>
      <c r="X25" s="1" t="n">
        <v>0</v>
      </c>
      <c r="Y25" s="1" t="n">
        <v>0</v>
      </c>
      <c r="Z25" s="1" t="n">
        <v>2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</row>
    <row r="26">
      <c r="A26" s="1" t="inlineStr">
        <is>
          <t>urticaria</t>
        </is>
      </c>
      <c r="B26" s="1" t="inlineStr">
        <is>
          <t>EFO_0005531</t>
        </is>
      </c>
      <c r="C26" s="1" t="inlineStr">
        <is>
          <t>name</t>
        </is>
      </c>
      <c r="D26" s="1" t="n">
        <v>0.5</v>
      </c>
      <c r="E26" s="20" t="n">
        <v>4</v>
      </c>
      <c r="F26" s="20" t="n">
        <v>79</v>
      </c>
      <c r="G26" s="20" t="n">
        <v>0</v>
      </c>
      <c r="H26" s="16">
        <f>G26/F26</f>
        <v/>
      </c>
      <c r="I26" s="16">
        <f>G26/E26</f>
        <v/>
      </c>
      <c r="J26" s="17" t="n">
        <v>9</v>
      </c>
      <c r="K26" s="17" t="n">
        <v>1028</v>
      </c>
      <c r="L26" s="17" t="n">
        <v>8</v>
      </c>
      <c r="M26" s="16">
        <f>L26/K26</f>
        <v/>
      </c>
      <c r="N26" s="16">
        <f>L26/J26</f>
        <v/>
      </c>
      <c r="O26" s="18" t="n">
        <v>4</v>
      </c>
      <c r="P26" s="18" t="n">
        <v>0</v>
      </c>
      <c r="Q26" s="16">
        <f>P26/O26</f>
        <v/>
      </c>
      <c r="R26" s="1" t="n">
        <v>527</v>
      </c>
      <c r="S26" s="1" t="n">
        <v>8</v>
      </c>
      <c r="T26" s="1" t="n">
        <v>0</v>
      </c>
      <c r="U26" s="1" t="n">
        <v>4</v>
      </c>
      <c r="V26" s="1" t="n">
        <v>4</v>
      </c>
      <c r="W26" s="1" t="n">
        <v>6</v>
      </c>
      <c r="X26" s="1" t="n">
        <v>1</v>
      </c>
      <c r="Y26" s="1" t="n">
        <v>0</v>
      </c>
      <c r="Z26" s="1" t="n">
        <v>9</v>
      </c>
      <c r="AA26" s="1" t="n">
        <v>0</v>
      </c>
      <c r="AB26" s="1" t="n">
        <v>0</v>
      </c>
      <c r="AC26" s="1" t="n">
        <v>3</v>
      </c>
      <c r="AD26" s="1" t="n">
        <v>0</v>
      </c>
      <c r="AE26" s="1" t="n">
        <v>1</v>
      </c>
      <c r="AF26" s="1" t="n">
        <v>1</v>
      </c>
      <c r="AG26" s="1" t="n">
        <v>1</v>
      </c>
      <c r="AH26" s="1" t="n">
        <v>0</v>
      </c>
    </row>
    <row r="27">
      <c r="A27" s="1" t="inlineStr">
        <is>
          <t>uterine fibroid</t>
        </is>
      </c>
      <c r="B27" s="1" t="inlineStr">
        <is>
          <t>EFO_0000731</t>
        </is>
      </c>
      <c r="C27" s="1" t="inlineStr">
        <is>
          <t>name</t>
        </is>
      </c>
      <c r="D27" s="1" t="n">
        <v>0.5</v>
      </c>
      <c r="E27" s="20" t="n">
        <v>3</v>
      </c>
      <c r="F27" s="20" t="n">
        <v>117</v>
      </c>
      <c r="G27" s="20" t="n">
        <v>0</v>
      </c>
      <c r="H27" s="16">
        <f>G27/F27</f>
        <v/>
      </c>
      <c r="I27" s="16">
        <f>G27/E27</f>
        <v/>
      </c>
      <c r="J27" s="17" t="n">
        <v>7</v>
      </c>
      <c r="K27" s="17" t="n">
        <v>720</v>
      </c>
      <c r="L27" s="17" t="n">
        <v>3</v>
      </c>
      <c r="M27" s="16">
        <f>L27/K27</f>
        <v/>
      </c>
      <c r="N27" s="16">
        <f>L27/J27</f>
        <v/>
      </c>
      <c r="O27" s="18" t="n">
        <v>7</v>
      </c>
      <c r="P27" s="18" t="n">
        <v>0</v>
      </c>
      <c r="Q27" s="16">
        <f>P27/O27</f>
        <v/>
      </c>
      <c r="R27" s="1" t="n">
        <v>275</v>
      </c>
      <c r="S27" s="1" t="n">
        <v>3</v>
      </c>
      <c r="T27" s="1" t="n">
        <v>0</v>
      </c>
      <c r="U27" s="1" t="n">
        <v>2</v>
      </c>
      <c r="V27" s="1" t="n">
        <v>2</v>
      </c>
      <c r="W27" s="1" t="n">
        <v>1</v>
      </c>
      <c r="X27" s="1" t="n">
        <v>0</v>
      </c>
      <c r="Y27" s="1" t="n">
        <v>0</v>
      </c>
      <c r="Z27" s="1" t="n">
        <v>4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1</v>
      </c>
      <c r="AF27" s="1" t="n">
        <v>0</v>
      </c>
      <c r="AG27" s="1" t="n">
        <v>0</v>
      </c>
      <c r="AH27" s="1" t="n">
        <v>0</v>
      </c>
    </row>
    <row r="28">
      <c r="A28" s="1" t="inlineStr">
        <is>
          <t>abdominal aortic aneurysm</t>
        </is>
      </c>
      <c r="B28" s="1" t="inlineStr">
        <is>
          <t>EFO_0004214</t>
        </is>
      </c>
      <c r="C28" s="1" t="inlineStr">
        <is>
          <t>name</t>
        </is>
      </c>
      <c r="D28" s="1" t="n">
        <v>0.5</v>
      </c>
      <c r="E28" s="20" t="n">
        <v>2</v>
      </c>
      <c r="F28" s="20" t="n">
        <v>0</v>
      </c>
      <c r="G28" s="20" t="n">
        <v>0</v>
      </c>
      <c r="H28" s="16">
        <f>G28/F28</f>
        <v/>
      </c>
      <c r="I28" s="16">
        <f>G28/E28</f>
        <v/>
      </c>
      <c r="J28" s="17" t="n">
        <v>4</v>
      </c>
      <c r="K28" s="17" t="n">
        <v>0</v>
      </c>
      <c r="L28" s="17" t="n">
        <v>0</v>
      </c>
      <c r="M28" s="16">
        <f>L28/K28</f>
        <v/>
      </c>
      <c r="N28" s="16">
        <f>L28/J28</f>
        <v/>
      </c>
      <c r="O28" s="18" t="n">
        <v>0</v>
      </c>
      <c r="P28" s="18" t="n">
        <v>0</v>
      </c>
      <c r="Q28" s="16">
        <f>P28/O28</f>
        <v/>
      </c>
      <c r="R28" s="1" t="n">
        <v>140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</row>
    <row r="29">
      <c r="A29" s="1" t="inlineStr">
        <is>
          <t>leukemia</t>
        </is>
      </c>
      <c r="B29" s="1" t="inlineStr">
        <is>
          <t>EFO_0000565</t>
        </is>
      </c>
      <c r="C29" s="1" t="inlineStr">
        <is>
          <t>name</t>
        </is>
      </c>
      <c r="D29" s="1" t="n">
        <v>0.5</v>
      </c>
      <c r="E29" s="20" t="n">
        <v>42</v>
      </c>
      <c r="F29" s="20" t="n">
        <v>0</v>
      </c>
      <c r="G29" s="20" t="n">
        <v>0</v>
      </c>
      <c r="H29" s="16">
        <f>G29/F29</f>
        <v/>
      </c>
      <c r="I29" s="16">
        <f>G29/E29</f>
        <v/>
      </c>
      <c r="J29" s="17" t="n">
        <v>39</v>
      </c>
      <c r="K29" s="17" t="n">
        <v>0</v>
      </c>
      <c r="L29" s="17" t="n">
        <v>0</v>
      </c>
      <c r="M29" s="16">
        <f>L29/K29</f>
        <v/>
      </c>
      <c r="N29" s="16">
        <f>L29/J29</f>
        <v/>
      </c>
      <c r="O29" s="18" t="n">
        <v>0</v>
      </c>
      <c r="P29" s="18" t="n">
        <v>0</v>
      </c>
      <c r="Q29" s="16">
        <f>P29/O29</f>
        <v/>
      </c>
      <c r="R29" s="1" t="n">
        <v>2283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</row>
    <row r="30">
      <c r="A30" s="1" t="inlineStr">
        <is>
          <t>Septic Shock</t>
        </is>
      </c>
      <c r="B30" s="1" t="inlineStr">
        <is>
          <t>EFO_0006834</t>
        </is>
      </c>
      <c r="C30" s="1" t="inlineStr">
        <is>
          <t>name</t>
        </is>
      </c>
      <c r="D30" s="1" t="n">
        <v>0.5</v>
      </c>
      <c r="E30" s="20" t="n">
        <v>2</v>
      </c>
      <c r="F30" s="20" t="n">
        <v>0</v>
      </c>
      <c r="G30" s="20" t="n">
        <v>0</v>
      </c>
      <c r="H30" s="16">
        <f>G30/F30</f>
        <v/>
      </c>
      <c r="I30" s="16">
        <f>G30/E30</f>
        <v/>
      </c>
      <c r="J30" s="17" t="n">
        <v>12</v>
      </c>
      <c r="K30" s="17" t="n">
        <v>2</v>
      </c>
      <c r="L30" s="17" t="n">
        <v>0</v>
      </c>
      <c r="M30" s="16">
        <f>L30/K30</f>
        <v/>
      </c>
      <c r="N30" s="16">
        <f>L30/J30</f>
        <v/>
      </c>
      <c r="O30" s="18" t="n">
        <v>0</v>
      </c>
      <c r="P30" s="18" t="n">
        <v>0</v>
      </c>
      <c r="Q30" s="16">
        <f>P30/O30</f>
        <v/>
      </c>
      <c r="R30" s="1" t="n">
        <v>690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</row>
    <row r="31">
      <c r="A31" s="1" t="inlineStr">
        <is>
          <t>gastrointestinal stromal tumor</t>
        </is>
      </c>
      <c r="B31" s="1" t="inlineStr">
        <is>
          <t>MONDO_0011719</t>
        </is>
      </c>
      <c r="C31" s="1" t="inlineStr">
        <is>
          <t>name</t>
        </is>
      </c>
      <c r="D31" s="1" t="n">
        <v>0.5</v>
      </c>
      <c r="E31" s="20" t="n">
        <v>16</v>
      </c>
      <c r="F31" s="20" t="n">
        <v>59</v>
      </c>
      <c r="G31" s="20" t="n">
        <v>1</v>
      </c>
      <c r="H31" s="16">
        <f>G31/F31</f>
        <v/>
      </c>
      <c r="I31" s="16">
        <f>G31/E31</f>
        <v/>
      </c>
      <c r="J31" s="17" t="n">
        <v>5</v>
      </c>
      <c r="K31" s="17" t="n">
        <v>21</v>
      </c>
      <c r="L31" s="17" t="n">
        <v>0</v>
      </c>
      <c r="M31" s="16">
        <f>L31/K31</f>
        <v/>
      </c>
      <c r="N31" s="16">
        <f>L31/J31</f>
        <v/>
      </c>
      <c r="O31" s="18" t="n">
        <v>0</v>
      </c>
      <c r="P31" s="18" t="n">
        <v>0</v>
      </c>
      <c r="Q31" s="16">
        <f>P31/O31</f>
        <v/>
      </c>
      <c r="R31" s="1" t="n">
        <v>464</v>
      </c>
      <c r="S31" s="1" t="n">
        <v>1</v>
      </c>
      <c r="T31" s="1" t="n">
        <v>0</v>
      </c>
      <c r="U31" s="1" t="n">
        <v>1</v>
      </c>
      <c r="V31" s="1" t="n">
        <v>2</v>
      </c>
      <c r="W31" s="1" t="n">
        <v>0</v>
      </c>
      <c r="X31" s="1" t="n">
        <v>0</v>
      </c>
      <c r="Y31" s="1" t="n">
        <v>0</v>
      </c>
      <c r="Z31" s="1" t="n">
        <v>2</v>
      </c>
      <c r="AA31" s="1" t="n">
        <v>0</v>
      </c>
      <c r="AB31" s="1" t="n">
        <v>0</v>
      </c>
      <c r="AC31" s="1" t="n">
        <v>1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</row>
    <row r="32">
      <c r="A32" s="1" t="inlineStr">
        <is>
          <t>melanoma</t>
        </is>
      </c>
      <c r="B32" s="1" t="inlineStr">
        <is>
          <t>EFO_0000756</t>
        </is>
      </c>
      <c r="C32" s="1" t="inlineStr">
        <is>
          <t>name</t>
        </is>
      </c>
      <c r="D32" s="1" t="n">
        <v>0.5</v>
      </c>
      <c r="E32" s="20" t="n">
        <v>39</v>
      </c>
      <c r="F32" s="20" t="n">
        <v>33</v>
      </c>
      <c r="G32" s="20" t="n">
        <v>4</v>
      </c>
      <c r="H32" s="16">
        <f>G32/F32</f>
        <v/>
      </c>
      <c r="I32" s="16">
        <f>G32/E32</f>
        <v/>
      </c>
      <c r="J32" s="17" t="n">
        <v>39</v>
      </c>
      <c r="K32" s="17" t="n">
        <v>1011</v>
      </c>
      <c r="L32" s="17" t="n">
        <v>28</v>
      </c>
      <c r="M32" s="16">
        <f>L32/K32</f>
        <v/>
      </c>
      <c r="N32" s="16">
        <f>L32/J32</f>
        <v/>
      </c>
      <c r="O32" s="18" t="n">
        <v>1</v>
      </c>
      <c r="P32" s="18" t="n">
        <v>0</v>
      </c>
      <c r="Q32" s="16">
        <f>P32/O32</f>
        <v/>
      </c>
      <c r="R32" s="1" t="n">
        <v>2142</v>
      </c>
      <c r="S32" s="1" t="n">
        <v>32</v>
      </c>
      <c r="T32" s="1" t="n">
        <v>3</v>
      </c>
      <c r="U32" s="1" t="n">
        <v>33</v>
      </c>
      <c r="V32" s="1" t="n">
        <v>38</v>
      </c>
      <c r="W32" s="1" t="n">
        <v>9</v>
      </c>
      <c r="X32" s="1" t="n">
        <v>1</v>
      </c>
      <c r="Y32" s="1" t="n">
        <v>9</v>
      </c>
      <c r="Z32" s="1" t="n">
        <v>26</v>
      </c>
      <c r="AA32" s="1" t="n">
        <v>0</v>
      </c>
      <c r="AB32" s="1" t="n">
        <v>0</v>
      </c>
      <c r="AC32" s="1" t="n">
        <v>14</v>
      </c>
      <c r="AD32" s="1" t="n">
        <v>0</v>
      </c>
      <c r="AE32" s="1" t="n">
        <v>18</v>
      </c>
      <c r="AF32" s="1" t="n">
        <v>1</v>
      </c>
      <c r="AG32" s="1" t="n">
        <v>7</v>
      </c>
      <c r="AH32" s="1" t="n">
        <v>9</v>
      </c>
    </row>
    <row r="33">
      <c r="A33" s="1" t="inlineStr">
        <is>
          <t>atherosclerosis</t>
        </is>
      </c>
      <c r="B33" s="1" t="inlineStr">
        <is>
          <t>EFO_0003914</t>
        </is>
      </c>
      <c r="C33" s="1" t="inlineStr">
        <is>
          <t>name</t>
        </is>
      </c>
      <c r="D33" s="1" t="n">
        <v>0.5</v>
      </c>
      <c r="E33" s="20" t="n">
        <v>9</v>
      </c>
      <c r="F33" s="20" t="n">
        <v>124</v>
      </c>
      <c r="G33" s="20" t="n">
        <v>1</v>
      </c>
      <c r="H33" s="16">
        <f>G33/F33</f>
        <v/>
      </c>
      <c r="I33" s="16">
        <f>G33/E33</f>
        <v/>
      </c>
      <c r="J33" s="17" t="n">
        <v>23</v>
      </c>
      <c r="K33" s="17" t="n">
        <v>1</v>
      </c>
      <c r="L33" s="17" t="n">
        <v>0</v>
      </c>
      <c r="M33" s="16">
        <f>L33/K33</f>
        <v/>
      </c>
      <c r="N33" s="16">
        <f>L33/J33</f>
        <v/>
      </c>
      <c r="O33" s="18" t="n">
        <v>0</v>
      </c>
      <c r="P33" s="18" t="n">
        <v>0</v>
      </c>
      <c r="Q33" s="16">
        <f>P33/O33</f>
        <v/>
      </c>
      <c r="R33" s="1" t="n">
        <v>745</v>
      </c>
      <c r="S33" s="1" t="n">
        <v>1</v>
      </c>
      <c r="T33" s="1" t="n">
        <v>0</v>
      </c>
      <c r="U33" s="1" t="n">
        <v>0</v>
      </c>
      <c r="V33" s="1" t="n">
        <v>0</v>
      </c>
      <c r="W33" s="1" t="n">
        <v>1</v>
      </c>
      <c r="X33" s="1" t="n">
        <v>0</v>
      </c>
      <c r="Y33" s="1" t="n">
        <v>0</v>
      </c>
      <c r="Z33" s="1" t="n">
        <v>1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</row>
    <row r="34">
      <c r="A34" s="1" t="inlineStr">
        <is>
          <t>astrocytoma</t>
        </is>
      </c>
      <c r="B34" s="1" t="inlineStr">
        <is>
          <t>EFO_0000272</t>
        </is>
      </c>
      <c r="C34" s="1" t="inlineStr">
        <is>
          <t>name</t>
        </is>
      </c>
      <c r="D34" s="1" t="n">
        <v>0.5</v>
      </c>
      <c r="E34" s="20" t="n">
        <v>8</v>
      </c>
      <c r="F34" s="20" t="n">
        <v>173</v>
      </c>
      <c r="G34" s="20" t="n">
        <v>1</v>
      </c>
      <c r="H34" s="16">
        <f>G34/F34</f>
        <v/>
      </c>
      <c r="I34" s="16">
        <f>G34/E34</f>
        <v/>
      </c>
      <c r="J34" s="17" t="n">
        <v>6</v>
      </c>
      <c r="K34" s="17" t="n">
        <v>108</v>
      </c>
      <c r="L34" s="17" t="n">
        <v>0</v>
      </c>
      <c r="M34" s="16">
        <f>L34/K34</f>
        <v/>
      </c>
      <c r="N34" s="16">
        <f>L34/J34</f>
        <v/>
      </c>
      <c r="O34" s="18" t="n">
        <v>4</v>
      </c>
      <c r="P34" s="18" t="n">
        <v>0</v>
      </c>
      <c r="Q34" s="16">
        <f>P34/O34</f>
        <v/>
      </c>
      <c r="R34" s="1" t="n">
        <v>267</v>
      </c>
      <c r="S34" s="1" t="n">
        <v>1</v>
      </c>
      <c r="T34" s="1" t="n">
        <v>0</v>
      </c>
      <c r="U34" s="1" t="n">
        <v>0</v>
      </c>
      <c r="V34" s="1" t="n">
        <v>0</v>
      </c>
      <c r="W34" s="1" t="n">
        <v>1</v>
      </c>
      <c r="X34" s="1" t="n">
        <v>0</v>
      </c>
      <c r="Y34" s="1" t="n">
        <v>0</v>
      </c>
      <c r="Z34" s="1" t="n">
        <v>1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</row>
    <row r="35">
      <c r="A35" s="1" t="inlineStr">
        <is>
          <t>osteoarthritis</t>
        </is>
      </c>
      <c r="B35" s="1" t="inlineStr">
        <is>
          <t>MONDO_0005178</t>
        </is>
      </c>
      <c r="C35" s="1" t="inlineStr">
        <is>
          <t>name</t>
        </is>
      </c>
      <c r="D35" s="1" t="n">
        <v>0.5</v>
      </c>
      <c r="E35" s="20" t="n">
        <v>16</v>
      </c>
      <c r="F35" s="20" t="n">
        <v>78</v>
      </c>
      <c r="G35" s="20" t="n">
        <v>2</v>
      </c>
      <c r="H35" s="16">
        <f>G35/F35</f>
        <v/>
      </c>
      <c r="I35" s="16">
        <f>G35/E35</f>
        <v/>
      </c>
      <c r="J35" s="17" t="n">
        <v>35</v>
      </c>
      <c r="K35" s="17" t="n">
        <v>757</v>
      </c>
      <c r="L35" s="17" t="n">
        <v>25</v>
      </c>
      <c r="M35" s="16">
        <f>L35/K35</f>
        <v/>
      </c>
      <c r="N35" s="16">
        <f>L35/J35</f>
        <v/>
      </c>
      <c r="O35" s="18" t="n">
        <v>3</v>
      </c>
      <c r="P35" s="18" t="n">
        <v>1</v>
      </c>
      <c r="Q35" s="16">
        <f>P35/O35</f>
        <v/>
      </c>
      <c r="R35" s="1" t="n">
        <v>1689</v>
      </c>
      <c r="S35" s="1" t="n">
        <v>26</v>
      </c>
      <c r="T35" s="1" t="n">
        <v>1</v>
      </c>
      <c r="U35" s="1" t="n">
        <v>4</v>
      </c>
      <c r="V35" s="1" t="n">
        <v>8</v>
      </c>
      <c r="W35" s="1" t="n">
        <v>20</v>
      </c>
      <c r="X35" s="1" t="n">
        <v>31</v>
      </c>
      <c r="Y35" s="1" t="n">
        <v>0</v>
      </c>
      <c r="Z35" s="1" t="n">
        <v>27</v>
      </c>
      <c r="AA35" s="1" t="n">
        <v>1</v>
      </c>
      <c r="AB35" s="1" t="n">
        <v>0</v>
      </c>
      <c r="AC35" s="1" t="n">
        <v>4</v>
      </c>
      <c r="AD35" s="1" t="n">
        <v>0</v>
      </c>
      <c r="AE35" s="1" t="n">
        <v>5</v>
      </c>
      <c r="AF35" s="1" t="n">
        <v>19</v>
      </c>
      <c r="AG35" s="1" t="n">
        <v>7</v>
      </c>
      <c r="AH35" s="1" t="n">
        <v>1</v>
      </c>
    </row>
    <row r="36">
      <c r="A36" s="1" t="inlineStr">
        <is>
          <t>polycystic ovary syndrome</t>
        </is>
      </c>
      <c r="B36" s="1" t="inlineStr">
        <is>
          <t>EFO_0000660</t>
        </is>
      </c>
      <c r="C36" s="1" t="inlineStr">
        <is>
          <t>name</t>
        </is>
      </c>
      <c r="D36" s="1" t="n">
        <v>0.5</v>
      </c>
      <c r="E36" s="20" t="n">
        <v>7</v>
      </c>
      <c r="F36" s="20" t="n">
        <v>25</v>
      </c>
      <c r="G36" s="20" t="n">
        <v>1</v>
      </c>
      <c r="H36" s="16">
        <f>G36/F36</f>
        <v/>
      </c>
      <c r="I36" s="16">
        <f>G36/E36</f>
        <v/>
      </c>
      <c r="J36" s="17" t="n">
        <v>16</v>
      </c>
      <c r="K36" s="17" t="n">
        <v>352</v>
      </c>
      <c r="L36" s="17" t="n">
        <v>7</v>
      </c>
      <c r="M36" s="16">
        <f>L36/K36</f>
        <v/>
      </c>
      <c r="N36" s="16">
        <f>L36/J36</f>
        <v/>
      </c>
      <c r="O36" s="18" t="n">
        <v>0</v>
      </c>
      <c r="P36" s="18" t="n">
        <v>0</v>
      </c>
      <c r="Q36" s="16">
        <f>P36/O36</f>
        <v/>
      </c>
      <c r="R36" s="1" t="n">
        <v>720</v>
      </c>
      <c r="S36" s="1" t="n">
        <v>8</v>
      </c>
      <c r="T36" s="1" t="n">
        <v>3</v>
      </c>
      <c r="U36" s="1" t="n">
        <v>6</v>
      </c>
      <c r="V36" s="1" t="n">
        <v>6</v>
      </c>
      <c r="W36" s="1" t="n">
        <v>9</v>
      </c>
      <c r="X36" s="1" t="n">
        <v>0</v>
      </c>
      <c r="Y36" s="1" t="n">
        <v>1</v>
      </c>
      <c r="Z36" s="1" t="n">
        <v>11</v>
      </c>
      <c r="AA36" s="1" t="n">
        <v>0</v>
      </c>
      <c r="AB36" s="1" t="n">
        <v>1</v>
      </c>
      <c r="AC36" s="1" t="n">
        <v>5</v>
      </c>
      <c r="AD36" s="1" t="n">
        <v>0</v>
      </c>
      <c r="AE36" s="1" t="n">
        <v>0</v>
      </c>
      <c r="AF36" s="1" t="n">
        <v>0</v>
      </c>
      <c r="AG36" s="1" t="n">
        <v>6</v>
      </c>
      <c r="AH36" s="1" t="n">
        <v>0</v>
      </c>
    </row>
    <row r="37">
      <c r="A37" s="1" t="inlineStr">
        <is>
          <t>acute myeloid leukemia</t>
        </is>
      </c>
      <c r="B37" s="1" t="inlineStr">
        <is>
          <t>EFO_0000222</t>
        </is>
      </c>
      <c r="C37" s="1" t="inlineStr">
        <is>
          <t>name</t>
        </is>
      </c>
      <c r="D37" s="1" t="n">
        <v>0.5</v>
      </c>
      <c r="E37" s="20" t="n">
        <v>52</v>
      </c>
      <c r="F37" s="20" t="n">
        <v>93</v>
      </c>
      <c r="G37" s="20" t="n">
        <v>12</v>
      </c>
      <c r="H37" s="16">
        <f>G37/F37</f>
        <v/>
      </c>
      <c r="I37" s="16">
        <f>G37/E37</f>
        <v/>
      </c>
      <c r="J37" s="17" t="n">
        <v>41</v>
      </c>
      <c r="K37" s="17" t="n">
        <v>117</v>
      </c>
      <c r="L37" s="17" t="n">
        <v>7</v>
      </c>
      <c r="M37" s="16">
        <f>L37/K37</f>
        <v/>
      </c>
      <c r="N37" s="16">
        <f>L37/J37</f>
        <v/>
      </c>
      <c r="O37" s="18" t="n">
        <v>5</v>
      </c>
      <c r="P37" s="18" t="n">
        <v>0</v>
      </c>
      <c r="Q37" s="16">
        <f>P37/O37</f>
        <v/>
      </c>
      <c r="R37" s="1" t="n">
        <v>2215</v>
      </c>
      <c r="S37" s="1" t="n">
        <v>19</v>
      </c>
      <c r="T37" s="1" t="n">
        <v>2</v>
      </c>
      <c r="U37" s="1" t="n">
        <v>44</v>
      </c>
      <c r="V37" s="1" t="n">
        <v>36</v>
      </c>
      <c r="W37" s="1" t="n">
        <v>24</v>
      </c>
      <c r="X37" s="1" t="n">
        <v>7</v>
      </c>
      <c r="Y37" s="1" t="n">
        <v>15</v>
      </c>
      <c r="Z37" s="1" t="n">
        <v>34</v>
      </c>
      <c r="AA37" s="1" t="n">
        <v>1</v>
      </c>
      <c r="AB37" s="1" t="n">
        <v>5</v>
      </c>
      <c r="AC37" s="1" t="n">
        <v>19</v>
      </c>
      <c r="AD37" s="1" t="n">
        <v>3</v>
      </c>
      <c r="AE37" s="1" t="n">
        <v>15</v>
      </c>
      <c r="AF37" s="1" t="n">
        <v>2</v>
      </c>
      <c r="AG37" s="1" t="n">
        <v>12</v>
      </c>
      <c r="AH37" s="1" t="n">
        <v>7</v>
      </c>
    </row>
    <row r="38">
      <c r="A38" s="1" t="inlineStr">
        <is>
          <t>chronic lymphocytic leukemia</t>
        </is>
      </c>
      <c r="B38" s="1" t="inlineStr">
        <is>
          <t>EFO_0000095</t>
        </is>
      </c>
      <c r="C38" s="1" t="inlineStr">
        <is>
          <t>name</t>
        </is>
      </c>
      <c r="D38" s="1" t="n">
        <v>0.5</v>
      </c>
      <c r="E38" s="20" t="n">
        <v>25</v>
      </c>
      <c r="F38" s="20" t="n">
        <v>94</v>
      </c>
      <c r="G38" s="20" t="n">
        <v>6</v>
      </c>
      <c r="H38" s="16">
        <f>G38/F38</f>
        <v/>
      </c>
      <c r="I38" s="16">
        <f>G38/E38</f>
        <v/>
      </c>
      <c r="J38" s="17" t="n">
        <v>28</v>
      </c>
      <c r="K38" s="17" t="n">
        <v>170</v>
      </c>
      <c r="L38" s="17" t="n">
        <v>9</v>
      </c>
      <c r="M38" s="16">
        <f>L38/K38</f>
        <v/>
      </c>
      <c r="N38" s="16">
        <f>L38/J38</f>
        <v/>
      </c>
      <c r="O38" s="18" t="n">
        <v>3</v>
      </c>
      <c r="P38" s="18" t="n">
        <v>0</v>
      </c>
      <c r="Q38" s="16">
        <f>P38/O38</f>
        <v/>
      </c>
      <c r="R38" s="1" t="n">
        <v>1621</v>
      </c>
      <c r="S38" s="1" t="n">
        <v>15</v>
      </c>
      <c r="T38" s="1" t="n">
        <v>1</v>
      </c>
      <c r="U38" s="1" t="n">
        <v>6</v>
      </c>
      <c r="V38" s="1" t="n">
        <v>17</v>
      </c>
      <c r="W38" s="1" t="n">
        <v>1</v>
      </c>
      <c r="X38" s="1" t="n">
        <v>0</v>
      </c>
      <c r="Y38" s="1" t="n">
        <v>3</v>
      </c>
      <c r="Z38" s="1" t="n">
        <v>13</v>
      </c>
      <c r="AA38" s="1" t="n">
        <v>0</v>
      </c>
      <c r="AB38" s="1" t="n">
        <v>0</v>
      </c>
      <c r="AC38" s="1" t="n">
        <v>1</v>
      </c>
      <c r="AD38" s="1" t="n">
        <v>0</v>
      </c>
      <c r="AE38" s="1" t="n">
        <v>7</v>
      </c>
      <c r="AF38" s="1" t="n">
        <v>0</v>
      </c>
      <c r="AG38" s="1" t="n">
        <v>1</v>
      </c>
      <c r="AH38" s="1" t="n">
        <v>0</v>
      </c>
    </row>
    <row r="39">
      <c r="A39" s="1" t="inlineStr">
        <is>
          <t>type 1 diabetes mellitus</t>
        </is>
      </c>
      <c r="B39" s="1" t="inlineStr">
        <is>
          <t>MONDO_0005147</t>
        </is>
      </c>
      <c r="C39" s="1" t="inlineStr">
        <is>
          <t>name</t>
        </is>
      </c>
      <c r="D39" s="1" t="n">
        <v>0.5</v>
      </c>
      <c r="E39" s="20" t="n">
        <v>12</v>
      </c>
      <c r="F39" s="20" t="n">
        <v>188</v>
      </c>
      <c r="G39" s="20" t="n">
        <v>3</v>
      </c>
      <c r="H39" s="16">
        <f>G39/F39</f>
        <v/>
      </c>
      <c r="I39" s="16">
        <f>G39/E39</f>
        <v/>
      </c>
      <c r="J39" s="17" t="n">
        <v>31</v>
      </c>
      <c r="K39" s="17" t="n">
        <v>619</v>
      </c>
      <c r="L39" s="17" t="n">
        <v>16</v>
      </c>
      <c r="M39" s="16">
        <f>L39/K39</f>
        <v/>
      </c>
      <c r="N39" s="16">
        <f>L39/J39</f>
        <v/>
      </c>
      <c r="O39" s="18" t="n">
        <v>9</v>
      </c>
      <c r="P39" s="18" t="n">
        <v>1</v>
      </c>
      <c r="Q39" s="16">
        <f>P39/O39</f>
        <v/>
      </c>
      <c r="R39" s="1" t="n">
        <v>1788</v>
      </c>
      <c r="S39" s="1" t="n">
        <v>18</v>
      </c>
      <c r="T39" s="1" t="n">
        <v>2</v>
      </c>
      <c r="U39" s="1" t="n">
        <v>7</v>
      </c>
      <c r="V39" s="1" t="n">
        <v>18</v>
      </c>
      <c r="W39" s="1" t="n">
        <v>11</v>
      </c>
      <c r="X39" s="1" t="n">
        <v>0</v>
      </c>
      <c r="Y39" s="1" t="n">
        <v>1</v>
      </c>
      <c r="Z39" s="1" t="n">
        <v>22</v>
      </c>
      <c r="AA39" s="1" t="n">
        <v>1</v>
      </c>
      <c r="AB39" s="1" t="n">
        <v>1</v>
      </c>
      <c r="AC39" s="1" t="n">
        <v>5</v>
      </c>
      <c r="AD39" s="1" t="n">
        <v>0</v>
      </c>
      <c r="AE39" s="1" t="n">
        <v>4</v>
      </c>
      <c r="AF39" s="1" t="n">
        <v>0</v>
      </c>
      <c r="AG39" s="1" t="n">
        <v>0</v>
      </c>
      <c r="AH39" s="1" t="n">
        <v>4</v>
      </c>
    </row>
    <row r="40">
      <c r="A40" s="1" t="inlineStr">
        <is>
          <t>sickle cell anemia</t>
        </is>
      </c>
      <c r="B40" s="1" t="inlineStr">
        <is>
          <t>MONDO_0011382</t>
        </is>
      </c>
      <c r="C40" s="1" t="inlineStr">
        <is>
          <t>name</t>
        </is>
      </c>
      <c r="D40" s="1" t="n">
        <v>0.5</v>
      </c>
      <c r="E40" s="20" t="n">
        <v>12</v>
      </c>
      <c r="F40" s="20" t="n">
        <v>119</v>
      </c>
      <c r="G40" s="20" t="n">
        <v>3</v>
      </c>
      <c r="H40" s="16">
        <f>G40/F40</f>
        <v/>
      </c>
      <c r="I40" s="16">
        <f>G40/E40</f>
        <v/>
      </c>
      <c r="J40" s="17" t="n">
        <v>24</v>
      </c>
      <c r="K40" s="17" t="n">
        <v>1001</v>
      </c>
      <c r="L40" s="17" t="n">
        <v>16</v>
      </c>
      <c r="M40" s="16">
        <f>L40/K40</f>
        <v/>
      </c>
      <c r="N40" s="16">
        <f>L40/J40</f>
        <v/>
      </c>
      <c r="O40" s="18" t="n">
        <v>9</v>
      </c>
      <c r="P40" s="18" t="n">
        <v>0</v>
      </c>
      <c r="Q40" s="16">
        <f>P40/O40</f>
        <v/>
      </c>
      <c r="R40" s="1" t="n">
        <v>1124</v>
      </c>
      <c r="S40" s="1" t="n">
        <v>19</v>
      </c>
      <c r="T40" s="1" t="n">
        <v>4</v>
      </c>
      <c r="U40" s="1" t="n">
        <v>16</v>
      </c>
      <c r="V40" s="1" t="n">
        <v>17</v>
      </c>
      <c r="W40" s="1" t="n">
        <v>7</v>
      </c>
      <c r="X40" s="1" t="n">
        <v>2</v>
      </c>
      <c r="Y40" s="1" t="n">
        <v>4</v>
      </c>
      <c r="Z40" s="1" t="n">
        <v>20</v>
      </c>
      <c r="AA40" s="1" t="n">
        <v>1</v>
      </c>
      <c r="AB40" s="1" t="n">
        <v>1</v>
      </c>
      <c r="AC40" s="1" t="n">
        <v>8</v>
      </c>
      <c r="AD40" s="1" t="n">
        <v>3</v>
      </c>
      <c r="AE40" s="1" t="n">
        <v>7</v>
      </c>
      <c r="AF40" s="1" t="n">
        <v>1</v>
      </c>
      <c r="AG40" s="1" t="n">
        <v>0</v>
      </c>
      <c r="AH40" s="1" t="n">
        <v>1</v>
      </c>
    </row>
    <row r="41">
      <c r="A41" s="1" t="inlineStr">
        <is>
          <t>asthma</t>
        </is>
      </c>
      <c r="B41" s="1" t="inlineStr">
        <is>
          <t>MONDO_0004979</t>
        </is>
      </c>
      <c r="C41" s="1" t="inlineStr">
        <is>
          <t>name</t>
        </is>
      </c>
      <c r="D41" s="1" t="n">
        <v>0.5</v>
      </c>
      <c r="E41" s="20" t="n">
        <v>13</v>
      </c>
      <c r="F41" s="20" t="n">
        <v>154</v>
      </c>
      <c r="G41" s="20" t="n">
        <v>4</v>
      </c>
      <c r="H41" s="16">
        <f>G41/F41</f>
        <v/>
      </c>
      <c r="I41" s="16">
        <f>G41/E41</f>
        <v/>
      </c>
      <c r="J41" s="17" t="n">
        <v>38</v>
      </c>
      <c r="K41" s="17" t="n">
        <v>38</v>
      </c>
      <c r="L41" s="17" t="n">
        <v>2</v>
      </c>
      <c r="M41" s="16">
        <f>L41/K41</f>
        <v/>
      </c>
      <c r="N41" s="16">
        <f>L41/J41</f>
        <v/>
      </c>
      <c r="O41" s="18" t="n">
        <v>0</v>
      </c>
      <c r="P41" s="18" t="n">
        <v>0</v>
      </c>
      <c r="Q41" s="16">
        <f>P41/O41</f>
        <v/>
      </c>
      <c r="R41" s="1" t="n">
        <v>1993</v>
      </c>
      <c r="S41" s="1" t="n">
        <v>6</v>
      </c>
      <c r="T41" s="1" t="n">
        <v>0</v>
      </c>
      <c r="U41" s="1" t="n">
        <v>5</v>
      </c>
      <c r="V41" s="1" t="n">
        <v>6</v>
      </c>
      <c r="W41" s="1" t="n">
        <v>10</v>
      </c>
      <c r="X41" s="1" t="n">
        <v>4</v>
      </c>
      <c r="Y41" s="1" t="n">
        <v>3</v>
      </c>
      <c r="Z41" s="1" t="n">
        <v>13</v>
      </c>
      <c r="AA41" s="1" t="n">
        <v>0</v>
      </c>
      <c r="AB41" s="1" t="n">
        <v>0</v>
      </c>
      <c r="AC41" s="1" t="n">
        <v>2</v>
      </c>
      <c r="AD41" s="1" t="n">
        <v>0</v>
      </c>
      <c r="AE41" s="1" t="n">
        <v>3</v>
      </c>
      <c r="AF41" s="1" t="n">
        <v>2</v>
      </c>
      <c r="AG41" s="1" t="n">
        <v>1</v>
      </c>
      <c r="AH41" s="1" t="n">
        <v>1</v>
      </c>
    </row>
    <row r="42">
      <c r="A42" s="1" t="inlineStr">
        <is>
          <t>idiopathic pulmonary fibrosis</t>
        </is>
      </c>
      <c r="B42" s="1" t="inlineStr">
        <is>
          <t>EFO_0000768</t>
        </is>
      </c>
      <c r="C42" s="1" t="inlineStr">
        <is>
          <t>name</t>
        </is>
      </c>
      <c r="D42" s="1" t="n">
        <v>0.5</v>
      </c>
      <c r="E42" s="20" t="n">
        <v>11</v>
      </c>
      <c r="F42" s="20" t="n">
        <v>165</v>
      </c>
      <c r="G42" s="20" t="n">
        <v>4</v>
      </c>
      <c r="H42" s="16">
        <f>G42/F42</f>
        <v/>
      </c>
      <c r="I42" s="16">
        <f>G42/E42</f>
        <v/>
      </c>
      <c r="J42" s="17" t="n">
        <v>13</v>
      </c>
      <c r="K42" s="17" t="n">
        <v>8</v>
      </c>
      <c r="L42" s="17" t="n">
        <v>0</v>
      </c>
      <c r="M42" s="16">
        <f>L42/K42</f>
        <v/>
      </c>
      <c r="N42" s="16">
        <f>L42/J42</f>
        <v/>
      </c>
      <c r="O42" s="18" t="n">
        <v>0</v>
      </c>
      <c r="P42" s="18" t="n">
        <v>0</v>
      </c>
      <c r="Q42" s="16">
        <f>P42/O42</f>
        <v/>
      </c>
      <c r="R42" s="1" t="n">
        <v>644</v>
      </c>
      <c r="S42" s="1" t="n">
        <v>4</v>
      </c>
      <c r="T42" s="1" t="n">
        <v>1</v>
      </c>
      <c r="U42" s="1" t="n">
        <v>0</v>
      </c>
      <c r="V42" s="1" t="n">
        <v>2</v>
      </c>
      <c r="W42" s="1" t="n">
        <v>3</v>
      </c>
      <c r="X42" s="1" t="n">
        <v>0</v>
      </c>
      <c r="Y42" s="1" t="n">
        <v>0</v>
      </c>
      <c r="Z42" s="1" t="n">
        <v>3</v>
      </c>
      <c r="AA42" s="1" t="n">
        <v>0</v>
      </c>
      <c r="AB42" s="1" t="n">
        <v>0</v>
      </c>
      <c r="AC42" s="1" t="n">
        <v>1</v>
      </c>
      <c r="AD42" s="1" t="n">
        <v>0</v>
      </c>
      <c r="AE42" s="1" t="n">
        <v>2</v>
      </c>
      <c r="AF42" s="1" t="n">
        <v>0</v>
      </c>
      <c r="AG42" s="1" t="n">
        <v>0</v>
      </c>
      <c r="AH42" s="1" t="n">
        <v>0</v>
      </c>
    </row>
    <row r="43">
      <c r="A43" s="1" t="inlineStr">
        <is>
          <t>hepatocellular carcinoma</t>
        </is>
      </c>
      <c r="B43" s="1" t="inlineStr">
        <is>
          <t>EFO_0000182</t>
        </is>
      </c>
      <c r="C43" s="1" t="inlineStr">
        <is>
          <t>name</t>
        </is>
      </c>
      <c r="D43" s="1" t="n">
        <v>0.5</v>
      </c>
      <c r="E43" s="20" t="n">
        <v>39</v>
      </c>
      <c r="F43" s="20" t="n">
        <v>124</v>
      </c>
      <c r="G43" s="20" t="n">
        <v>15</v>
      </c>
      <c r="H43" s="16">
        <f>G43/F43</f>
        <v/>
      </c>
      <c r="I43" s="16">
        <f>G43/E43</f>
        <v/>
      </c>
      <c r="J43" s="17" t="n">
        <v>23</v>
      </c>
      <c r="K43" s="17" t="n">
        <v>86</v>
      </c>
      <c r="L43" s="17" t="n">
        <v>3</v>
      </c>
      <c r="M43" s="16">
        <f>L43/K43</f>
        <v/>
      </c>
      <c r="N43" s="16">
        <f>L43/J43</f>
        <v/>
      </c>
      <c r="O43" s="18" t="n">
        <v>0</v>
      </c>
      <c r="P43" s="18" t="n">
        <v>0</v>
      </c>
      <c r="Q43" s="16">
        <f>P43/O43</f>
        <v/>
      </c>
      <c r="R43" s="1" t="n">
        <v>1423</v>
      </c>
      <c r="S43" s="1" t="n">
        <v>18</v>
      </c>
      <c r="T43" s="1" t="n">
        <v>0</v>
      </c>
      <c r="U43" s="1" t="n">
        <v>19</v>
      </c>
      <c r="V43" s="1" t="n">
        <v>21</v>
      </c>
      <c r="W43" s="1" t="n">
        <v>10</v>
      </c>
      <c r="X43" s="1" t="n">
        <v>1</v>
      </c>
      <c r="Y43" s="1" t="n">
        <v>3</v>
      </c>
      <c r="Z43" s="1" t="n">
        <v>13</v>
      </c>
      <c r="AA43" s="1" t="n">
        <v>0</v>
      </c>
      <c r="AB43" s="1" t="n">
        <v>2</v>
      </c>
      <c r="AC43" s="1" t="n">
        <v>7</v>
      </c>
      <c r="AD43" s="1" t="n">
        <v>2</v>
      </c>
      <c r="AE43" s="1" t="n">
        <v>13</v>
      </c>
      <c r="AF43" s="1" t="n">
        <v>1</v>
      </c>
      <c r="AG43" s="1" t="n">
        <v>7</v>
      </c>
      <c r="AH43" s="1" t="n">
        <v>3</v>
      </c>
    </row>
    <row r="44">
      <c r="A44" s="1" t="inlineStr">
        <is>
          <t>glaucoma</t>
        </is>
      </c>
      <c r="B44" s="1" t="inlineStr">
        <is>
          <t>MONDO_0005041</t>
        </is>
      </c>
      <c r="C44" s="1" t="inlineStr">
        <is>
          <t>name</t>
        </is>
      </c>
      <c r="D44" s="1" t="n">
        <v>0.5</v>
      </c>
      <c r="E44" s="20" t="n">
        <v>10</v>
      </c>
      <c r="F44" s="20" t="n">
        <v>147</v>
      </c>
      <c r="G44" s="20" t="n">
        <v>4</v>
      </c>
      <c r="H44" s="16">
        <f>G44/F44</f>
        <v/>
      </c>
      <c r="I44" s="16">
        <f>G44/E44</f>
        <v/>
      </c>
      <c r="J44" s="17" t="n">
        <v>23</v>
      </c>
      <c r="K44" s="17" t="n">
        <v>192</v>
      </c>
      <c r="L44" s="17" t="n">
        <v>3</v>
      </c>
      <c r="M44" s="16">
        <f>L44/K44</f>
        <v/>
      </c>
      <c r="N44" s="16">
        <f>L44/J44</f>
        <v/>
      </c>
      <c r="O44" s="18" t="n">
        <v>5</v>
      </c>
      <c r="P44" s="18" t="n">
        <v>1</v>
      </c>
      <c r="Q44" s="16">
        <f>P44/O44</f>
        <v/>
      </c>
      <c r="R44" s="1" t="n">
        <v>824</v>
      </c>
      <c r="S44" s="1" t="n">
        <v>6</v>
      </c>
      <c r="T44" s="1" t="n">
        <v>0</v>
      </c>
      <c r="U44" s="1" t="n">
        <v>2</v>
      </c>
      <c r="V44" s="1" t="n">
        <v>0</v>
      </c>
      <c r="W44" s="1" t="n">
        <v>5</v>
      </c>
      <c r="X44" s="1" t="n">
        <v>6</v>
      </c>
      <c r="Y44" s="1" t="n">
        <v>2</v>
      </c>
      <c r="Z44" s="1" t="n">
        <v>4</v>
      </c>
      <c r="AA44" s="1" t="n">
        <v>0</v>
      </c>
      <c r="AB44" s="1" t="n">
        <v>0</v>
      </c>
      <c r="AC44" s="1" t="n">
        <v>0</v>
      </c>
      <c r="AD44" s="1" t="n">
        <v>1</v>
      </c>
      <c r="AE44" s="1" t="n">
        <v>1</v>
      </c>
      <c r="AF44" s="1" t="n">
        <v>3</v>
      </c>
      <c r="AG44" s="1" t="n">
        <v>2</v>
      </c>
      <c r="AH44" s="1" t="n">
        <v>0</v>
      </c>
    </row>
    <row r="45">
      <c r="A45" s="1" t="inlineStr">
        <is>
          <t>multiple myeloma</t>
        </is>
      </c>
      <c r="B45" s="1" t="inlineStr">
        <is>
          <t>EFO_0001378</t>
        </is>
      </c>
      <c r="C45" s="1" t="inlineStr">
        <is>
          <t>name</t>
        </is>
      </c>
      <c r="D45" s="1" t="n">
        <v>0.5</v>
      </c>
      <c r="E45" s="20" t="n">
        <v>62</v>
      </c>
      <c r="F45" s="20" t="n">
        <v>152</v>
      </c>
      <c r="G45" s="20" t="n">
        <v>26</v>
      </c>
      <c r="H45" s="16">
        <f>G45/F45</f>
        <v/>
      </c>
      <c r="I45" s="16">
        <f>G45/E45</f>
        <v/>
      </c>
      <c r="J45" s="17" t="n">
        <v>40</v>
      </c>
      <c r="K45" s="17" t="n">
        <v>551</v>
      </c>
      <c r="L45" s="17" t="n">
        <v>14</v>
      </c>
      <c r="M45" s="16">
        <f>L45/K45</f>
        <v/>
      </c>
      <c r="N45" s="16">
        <f>L45/J45</f>
        <v/>
      </c>
      <c r="O45" s="18" t="n">
        <v>9</v>
      </c>
      <c r="P45" s="18" t="n">
        <v>3</v>
      </c>
      <c r="Q45" s="16">
        <f>P45/O45</f>
        <v/>
      </c>
      <c r="R45" s="1" t="n">
        <v>2564</v>
      </c>
      <c r="S45" s="1" t="n">
        <v>37</v>
      </c>
      <c r="T45" s="1" t="n">
        <v>8</v>
      </c>
      <c r="U45" s="1" t="n">
        <v>48</v>
      </c>
      <c r="V45" s="1" t="n">
        <v>63</v>
      </c>
      <c r="W45" s="1" t="n">
        <v>26</v>
      </c>
      <c r="X45" s="1" t="n">
        <v>5</v>
      </c>
      <c r="Y45" s="1" t="n">
        <v>18</v>
      </c>
      <c r="Z45" s="1" t="n">
        <v>46</v>
      </c>
      <c r="AA45" s="1" t="n">
        <v>2</v>
      </c>
      <c r="AB45" s="1" t="n">
        <v>6</v>
      </c>
      <c r="AC45" s="1" t="n">
        <v>18</v>
      </c>
      <c r="AD45" s="1" t="n">
        <v>1</v>
      </c>
      <c r="AE45" s="1" t="n">
        <v>27</v>
      </c>
      <c r="AF45" s="1" t="n">
        <v>2</v>
      </c>
      <c r="AG45" s="1" t="n">
        <v>18</v>
      </c>
      <c r="AH45" s="1" t="n">
        <v>12</v>
      </c>
    </row>
    <row r="46">
      <c r="A46" s="1" t="inlineStr">
        <is>
          <t>multiple sclerosis</t>
        </is>
      </c>
      <c r="B46" s="1" t="inlineStr">
        <is>
          <t>MONDO_0005301</t>
        </is>
      </c>
      <c r="C46" s="1" t="inlineStr">
        <is>
          <t>name</t>
        </is>
      </c>
      <c r="D46" s="1" t="n">
        <v>0.5</v>
      </c>
      <c r="E46" s="20" t="n">
        <v>16</v>
      </c>
      <c r="F46" s="20" t="n">
        <v>141</v>
      </c>
      <c r="G46" s="20" t="n">
        <v>7</v>
      </c>
      <c r="H46" s="16">
        <f>G46/F46</f>
        <v/>
      </c>
      <c r="I46" s="16">
        <f>G46/E46</f>
        <v/>
      </c>
      <c r="J46" s="17" t="n">
        <v>43</v>
      </c>
      <c r="K46" s="17" t="n">
        <v>633</v>
      </c>
      <c r="L46" s="17" t="n">
        <v>22</v>
      </c>
      <c r="M46" s="16">
        <f>L46/K46</f>
        <v/>
      </c>
      <c r="N46" s="16">
        <f>L46/J46</f>
        <v/>
      </c>
      <c r="O46" s="18" t="n">
        <v>11</v>
      </c>
      <c r="P46" s="18" t="n">
        <v>2</v>
      </c>
      <c r="Q46" s="16">
        <f>P46/O46</f>
        <v/>
      </c>
      <c r="R46" s="1" t="n">
        <v>1885</v>
      </c>
      <c r="S46" s="1" t="n">
        <v>27</v>
      </c>
      <c r="T46" s="1" t="n">
        <v>1</v>
      </c>
      <c r="U46" s="1" t="n">
        <v>6</v>
      </c>
      <c r="V46" s="1" t="n">
        <v>20</v>
      </c>
      <c r="W46" s="1" t="n">
        <v>16</v>
      </c>
      <c r="X46" s="1" t="n">
        <v>10</v>
      </c>
      <c r="Y46" s="1" t="n">
        <v>4</v>
      </c>
      <c r="Z46" s="1" t="n">
        <v>19</v>
      </c>
      <c r="AA46" s="1" t="n">
        <v>2</v>
      </c>
      <c r="AB46" s="1" t="n">
        <v>0</v>
      </c>
      <c r="AC46" s="1" t="n">
        <v>4</v>
      </c>
      <c r="AD46" s="1" t="n">
        <v>0</v>
      </c>
      <c r="AE46" s="1" t="n">
        <v>10</v>
      </c>
      <c r="AF46" s="1" t="n">
        <v>6</v>
      </c>
      <c r="AG46" s="1" t="n">
        <v>5</v>
      </c>
      <c r="AH46" s="1" t="n">
        <v>3</v>
      </c>
    </row>
    <row r="47">
      <c r="A47" s="1" t="inlineStr">
        <is>
          <t>Waldenstrom Macroglobulinemia</t>
        </is>
      </c>
      <c r="B47" s="1" t="inlineStr">
        <is>
          <t>EFO_0009441</t>
        </is>
      </c>
      <c r="C47" s="1" t="inlineStr">
        <is>
          <t>name</t>
        </is>
      </c>
      <c r="D47" s="1" t="n">
        <v>0.5</v>
      </c>
      <c r="E47" s="20" t="n">
        <v>13</v>
      </c>
      <c r="F47" s="20" t="n">
        <v>280</v>
      </c>
      <c r="G47" s="20" t="n">
        <v>6</v>
      </c>
      <c r="H47" s="16">
        <f>G47/F47</f>
        <v/>
      </c>
      <c r="I47" s="16">
        <f>G47/E47</f>
        <v/>
      </c>
      <c r="J47" s="17" t="n">
        <v>8</v>
      </c>
      <c r="K47" s="17" t="n">
        <v>805</v>
      </c>
      <c r="L47" s="17" t="n">
        <v>7</v>
      </c>
      <c r="M47" s="16">
        <f>L47/K47</f>
        <v/>
      </c>
      <c r="N47" s="16">
        <f>L47/J47</f>
        <v/>
      </c>
      <c r="O47" s="18" t="n">
        <v>29</v>
      </c>
      <c r="P47" s="18" t="n">
        <v>0</v>
      </c>
      <c r="Q47" s="16">
        <f>P47/O47</f>
        <v/>
      </c>
      <c r="R47" s="1" t="n">
        <v>560</v>
      </c>
      <c r="S47" s="1" t="n">
        <v>13</v>
      </c>
      <c r="T47" s="1" t="n">
        <v>0</v>
      </c>
      <c r="U47" s="1" t="n">
        <v>5</v>
      </c>
      <c r="V47" s="1" t="n">
        <v>13</v>
      </c>
      <c r="W47" s="1" t="n">
        <v>2</v>
      </c>
      <c r="X47" s="1" t="n">
        <v>0</v>
      </c>
      <c r="Y47" s="1" t="n">
        <v>0</v>
      </c>
      <c r="Z47" s="1" t="n">
        <v>13</v>
      </c>
      <c r="AA47" s="1" t="n">
        <v>0</v>
      </c>
      <c r="AB47" s="1" t="n">
        <v>1</v>
      </c>
      <c r="AC47" s="1" t="n">
        <v>1</v>
      </c>
      <c r="AD47" s="1" t="n">
        <v>0</v>
      </c>
      <c r="AE47" s="1" t="n">
        <v>5</v>
      </c>
      <c r="AF47" s="1" t="n">
        <v>0</v>
      </c>
      <c r="AG47" s="1" t="n">
        <v>0</v>
      </c>
      <c r="AH47" s="1" t="n">
        <v>0</v>
      </c>
    </row>
    <row r="48">
      <c r="A48" s="1" t="inlineStr">
        <is>
          <t>Barrett's esophagus</t>
        </is>
      </c>
      <c r="B48" s="1" t="inlineStr">
        <is>
          <t>EFO_0000280</t>
        </is>
      </c>
      <c r="C48" s="1" t="inlineStr">
        <is>
          <t>name</t>
        </is>
      </c>
      <c r="D48" s="1" t="n">
        <v>0.5</v>
      </c>
      <c r="E48" s="20" t="n">
        <v>2</v>
      </c>
      <c r="F48" s="20" t="n">
        <v>324</v>
      </c>
      <c r="G48" s="20" t="n">
        <v>1</v>
      </c>
      <c r="H48" s="16">
        <f>G48/F48</f>
        <v/>
      </c>
      <c r="I48" s="16">
        <f>G48/E48</f>
        <v/>
      </c>
      <c r="J48" s="17" t="n">
        <v>7</v>
      </c>
      <c r="K48" s="17" t="n">
        <v>41</v>
      </c>
      <c r="L48" s="17" t="n">
        <v>0</v>
      </c>
      <c r="M48" s="16">
        <f>L48/K48</f>
        <v/>
      </c>
      <c r="N48" s="16">
        <f>L48/J48</f>
        <v/>
      </c>
      <c r="O48" s="18" t="n">
        <v>2</v>
      </c>
      <c r="P48" s="18" t="n">
        <v>0</v>
      </c>
      <c r="Q48" s="16">
        <f>P48/O48</f>
        <v/>
      </c>
      <c r="R48" s="1" t="n">
        <v>230</v>
      </c>
      <c r="S48" s="1" t="n">
        <v>1</v>
      </c>
      <c r="T48" s="1" t="n">
        <v>0</v>
      </c>
      <c r="U48" s="1" t="n">
        <v>0</v>
      </c>
      <c r="V48" s="1" t="n">
        <v>1</v>
      </c>
      <c r="W48" s="1" t="n">
        <v>0</v>
      </c>
      <c r="X48" s="1" t="n">
        <v>0</v>
      </c>
      <c r="Y48" s="1" t="n">
        <v>1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</row>
    <row r="49">
      <c r="A49" s="1" t="inlineStr">
        <is>
          <t>Acute Lung Injury</t>
        </is>
      </c>
      <c r="B49" s="1" t="inlineStr">
        <is>
          <t>EFO_0004610</t>
        </is>
      </c>
      <c r="C49" s="1" t="inlineStr">
        <is>
          <t>name</t>
        </is>
      </c>
      <c r="D49" s="1" t="n">
        <v>0.5</v>
      </c>
      <c r="E49" s="20" t="n">
        <v>4</v>
      </c>
      <c r="F49" s="20" t="n">
        <v>275</v>
      </c>
      <c r="G49" s="20" t="n">
        <v>2</v>
      </c>
      <c r="H49" s="16">
        <f>G49/F49</f>
        <v/>
      </c>
      <c r="I49" s="16">
        <f>G49/E49</f>
        <v/>
      </c>
      <c r="J49" s="17" t="n">
        <v>5</v>
      </c>
      <c r="K49" s="17" t="n">
        <v>120</v>
      </c>
      <c r="L49" s="17" t="n">
        <v>2</v>
      </c>
      <c r="M49" s="16">
        <f>L49/K49</f>
        <v/>
      </c>
      <c r="N49" s="16">
        <f>L49/J49</f>
        <v/>
      </c>
      <c r="O49" s="18" t="n">
        <v>3</v>
      </c>
      <c r="P49" s="18" t="n">
        <v>0</v>
      </c>
      <c r="Q49" s="16">
        <f>P49/O49</f>
        <v/>
      </c>
      <c r="R49" s="1" t="n">
        <v>231</v>
      </c>
      <c r="S49" s="1" t="n">
        <v>4</v>
      </c>
      <c r="T49" s="1" t="n">
        <v>0</v>
      </c>
      <c r="U49" s="1" t="n">
        <v>1</v>
      </c>
      <c r="V49" s="1" t="n">
        <v>2</v>
      </c>
      <c r="W49" s="1" t="n">
        <v>0</v>
      </c>
      <c r="X49" s="1" t="n">
        <v>0</v>
      </c>
      <c r="Y49" s="1" t="n">
        <v>0</v>
      </c>
      <c r="Z49" s="1" t="n">
        <v>2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1</v>
      </c>
    </row>
    <row r="50">
      <c r="A50" s="1" t="inlineStr">
        <is>
          <t>oligodendroglioma</t>
        </is>
      </c>
      <c r="B50" s="1" t="inlineStr">
        <is>
          <t>EFO_0000632</t>
        </is>
      </c>
      <c r="C50" s="1" t="inlineStr">
        <is>
          <t>name</t>
        </is>
      </c>
      <c r="D50" s="1" t="n">
        <v>0.5</v>
      </c>
      <c r="E50" s="20" t="n">
        <v>4</v>
      </c>
      <c r="F50" s="20" t="n">
        <v>193</v>
      </c>
      <c r="G50" s="20" t="n">
        <v>2</v>
      </c>
      <c r="H50" s="16">
        <f>G50/F50</f>
        <v/>
      </c>
      <c r="I50" s="16">
        <f>G50/E50</f>
        <v/>
      </c>
      <c r="J50" s="17" t="n">
        <v>2</v>
      </c>
      <c r="K50" s="17" t="n">
        <v>664</v>
      </c>
      <c r="L50" s="17" t="n">
        <v>1</v>
      </c>
      <c r="M50" s="16">
        <f>L50/K50</f>
        <v/>
      </c>
      <c r="N50" s="16">
        <f>L50/J50</f>
        <v/>
      </c>
      <c r="O50" s="18" t="n">
        <v>9</v>
      </c>
      <c r="P50" s="18" t="n">
        <v>0</v>
      </c>
      <c r="Q50" s="16">
        <f>P50/O50</f>
        <v/>
      </c>
      <c r="R50" s="1" t="n">
        <v>135</v>
      </c>
      <c r="S50" s="1" t="n">
        <v>3</v>
      </c>
      <c r="T50" s="1" t="n">
        <v>0</v>
      </c>
      <c r="U50" s="1" t="n">
        <v>0</v>
      </c>
      <c r="V50" s="1" t="n">
        <v>3</v>
      </c>
      <c r="W50" s="1" t="n">
        <v>0</v>
      </c>
      <c r="X50" s="1" t="n">
        <v>0</v>
      </c>
      <c r="Y50" s="1" t="n">
        <v>1</v>
      </c>
      <c r="Z50" s="1" t="n">
        <v>1</v>
      </c>
      <c r="AA50" s="1" t="n">
        <v>0</v>
      </c>
      <c r="AB50" s="1" t="n">
        <v>0</v>
      </c>
      <c r="AC50" s="1" t="n">
        <v>1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</row>
    <row r="51">
      <c r="A51" s="1" t="inlineStr">
        <is>
          <t>bronchopulmonary dysplasia</t>
        </is>
      </c>
      <c r="B51" s="1" t="inlineStr">
        <is>
          <t>MONDO_0019091</t>
        </is>
      </c>
      <c r="C51" s="1" t="inlineStr">
        <is>
          <t>name</t>
        </is>
      </c>
      <c r="D51" s="1" t="n">
        <v>0.5</v>
      </c>
      <c r="E51" s="20" t="n">
        <v>4</v>
      </c>
      <c r="F51" s="20" t="n">
        <v>171</v>
      </c>
      <c r="G51" s="20" t="n">
        <v>2</v>
      </c>
      <c r="H51" s="16">
        <f>G51/F51</f>
        <v/>
      </c>
      <c r="I51" s="16">
        <f>G51/E51</f>
        <v/>
      </c>
      <c r="J51" s="17" t="n">
        <v>6</v>
      </c>
      <c r="K51" s="17" t="n">
        <v>100</v>
      </c>
      <c r="L51" s="17" t="n">
        <v>2</v>
      </c>
      <c r="M51" s="16">
        <f>L51/K51</f>
        <v/>
      </c>
      <c r="N51" s="16">
        <f>L51/J51</f>
        <v/>
      </c>
      <c r="O51" s="18" t="n">
        <v>1</v>
      </c>
      <c r="P51" s="18" t="n">
        <v>1</v>
      </c>
      <c r="Q51" s="16">
        <f>P51/O51</f>
        <v/>
      </c>
      <c r="R51" s="1" t="n">
        <v>448</v>
      </c>
      <c r="S51" s="1" t="n">
        <v>3</v>
      </c>
      <c r="T51" s="1" t="n">
        <v>0</v>
      </c>
      <c r="U51" s="1" t="n">
        <v>1</v>
      </c>
      <c r="V51" s="1" t="n">
        <v>3</v>
      </c>
      <c r="W51" s="1" t="n">
        <v>2</v>
      </c>
      <c r="X51" s="1" t="n">
        <v>0</v>
      </c>
      <c r="Y51" s="1" t="n">
        <v>0</v>
      </c>
      <c r="Z51" s="1" t="n">
        <v>4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1</v>
      </c>
      <c r="AH51" s="1" t="n">
        <v>1</v>
      </c>
    </row>
    <row r="52">
      <c r="A52" s="1" t="inlineStr">
        <is>
          <t>dilated cardiomyopathy</t>
        </is>
      </c>
      <c r="B52" s="1" t="inlineStr">
        <is>
          <t>EFO_0000407</t>
        </is>
      </c>
      <c r="C52" s="1" t="inlineStr">
        <is>
          <t>name</t>
        </is>
      </c>
      <c r="D52" s="1" t="n">
        <v>0.5</v>
      </c>
      <c r="E52" s="20" t="n">
        <v>2</v>
      </c>
      <c r="F52" s="20" t="n">
        <v>85</v>
      </c>
      <c r="G52" s="20" t="n">
        <v>1</v>
      </c>
      <c r="H52" s="16">
        <f>G52/F52</f>
        <v/>
      </c>
      <c r="I52" s="16">
        <f>G52/E52</f>
        <v/>
      </c>
      <c r="J52" s="17" t="n">
        <v>3</v>
      </c>
      <c r="K52" s="17" t="n">
        <v>140</v>
      </c>
      <c r="L52" s="17" t="n">
        <v>1</v>
      </c>
      <c r="M52" s="16">
        <f>L52/K52</f>
        <v/>
      </c>
      <c r="N52" s="16">
        <f>L52/J52</f>
        <v/>
      </c>
      <c r="O52" s="18" t="n">
        <v>2</v>
      </c>
      <c r="P52" s="18" t="n">
        <v>0</v>
      </c>
      <c r="Q52" s="16">
        <f>P52/O52</f>
        <v/>
      </c>
      <c r="R52" s="1" t="n">
        <v>140</v>
      </c>
      <c r="S52" s="1" t="n">
        <v>2</v>
      </c>
      <c r="T52" s="1" t="n">
        <v>0</v>
      </c>
      <c r="U52" s="1" t="n">
        <v>0</v>
      </c>
      <c r="V52" s="1" t="n">
        <v>1</v>
      </c>
      <c r="W52" s="1" t="n">
        <v>1</v>
      </c>
      <c r="X52" s="1" t="n">
        <v>0</v>
      </c>
      <c r="Y52" s="1" t="n">
        <v>0</v>
      </c>
      <c r="Z52" s="1" t="n">
        <v>1</v>
      </c>
      <c r="AA52" s="1" t="n">
        <v>0</v>
      </c>
      <c r="AB52" s="1" t="n">
        <v>0</v>
      </c>
      <c r="AC52" s="1" t="n">
        <v>1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</row>
    <row r="53">
      <c r="A53" s="1" t="inlineStr">
        <is>
          <t>Marfan syndrome</t>
        </is>
      </c>
      <c r="B53" s="1" t="inlineStr">
        <is>
          <t>MONDO_0007947</t>
        </is>
      </c>
      <c r="C53" s="1" t="inlineStr">
        <is>
          <t>name</t>
        </is>
      </c>
      <c r="D53" s="1" t="n">
        <v>0.5</v>
      </c>
      <c r="E53" s="20" t="n">
        <v>2</v>
      </c>
      <c r="F53" s="20" t="n">
        <v>72</v>
      </c>
      <c r="G53" s="20" t="n">
        <v>1</v>
      </c>
      <c r="H53" s="16">
        <f>G53/F53</f>
        <v/>
      </c>
      <c r="I53" s="16">
        <f>G53/E53</f>
        <v/>
      </c>
      <c r="J53" s="17" t="n">
        <v>3</v>
      </c>
      <c r="K53" s="17" t="n">
        <v>59</v>
      </c>
      <c r="L53" s="17" t="n">
        <v>0</v>
      </c>
      <c r="M53" s="16">
        <f>L53/K53</f>
        <v/>
      </c>
      <c r="N53" s="16">
        <f>L53/J53</f>
        <v/>
      </c>
      <c r="O53" s="18" t="n">
        <v>1</v>
      </c>
      <c r="P53" s="18" t="n">
        <v>0</v>
      </c>
      <c r="Q53" s="16">
        <f>P53/O53</f>
        <v/>
      </c>
      <c r="R53" s="1" t="n">
        <v>109</v>
      </c>
      <c r="S53" s="1" t="n">
        <v>1</v>
      </c>
      <c r="T53" s="1" t="n">
        <v>0</v>
      </c>
      <c r="U53" s="1" t="n">
        <v>0</v>
      </c>
      <c r="V53" s="1" t="n">
        <v>1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1</v>
      </c>
      <c r="AH53" s="1" t="n">
        <v>0</v>
      </c>
    </row>
    <row r="54">
      <c r="A54" s="1" t="inlineStr">
        <is>
          <t>ulcerative colitis</t>
        </is>
      </c>
      <c r="B54" s="1" t="inlineStr">
        <is>
          <t>EFO_0000729</t>
        </is>
      </c>
      <c r="C54" s="1" t="inlineStr">
        <is>
          <t>name</t>
        </is>
      </c>
      <c r="D54" s="1" t="n">
        <v>0.5</v>
      </c>
      <c r="E54" s="20" t="n">
        <v>10</v>
      </c>
      <c r="F54" s="20" t="n">
        <v>209</v>
      </c>
      <c r="G54" s="20" t="n">
        <v>5</v>
      </c>
      <c r="H54" s="16">
        <f>G54/F54</f>
        <v/>
      </c>
      <c r="I54" s="16">
        <f>G54/E54</f>
        <v/>
      </c>
      <c r="J54" s="17" t="n">
        <v>24</v>
      </c>
      <c r="K54" s="17" t="n">
        <v>410</v>
      </c>
      <c r="L54" s="17" t="n">
        <v>10</v>
      </c>
      <c r="M54" s="16">
        <f>L54/K54</f>
        <v/>
      </c>
      <c r="N54" s="16">
        <f>L54/J54</f>
        <v/>
      </c>
      <c r="O54" s="18" t="n">
        <v>5</v>
      </c>
      <c r="P54" s="18" t="n">
        <v>0</v>
      </c>
      <c r="Q54" s="16">
        <f>P54/O54</f>
        <v/>
      </c>
      <c r="R54" s="1" t="n">
        <v>1192</v>
      </c>
      <c r="S54" s="1" t="n">
        <v>15</v>
      </c>
      <c r="T54" s="1" t="n">
        <v>0</v>
      </c>
      <c r="U54" s="1" t="n">
        <v>6</v>
      </c>
      <c r="V54" s="1" t="n">
        <v>14</v>
      </c>
      <c r="W54" s="1" t="n">
        <v>15</v>
      </c>
      <c r="X54" s="1" t="n">
        <v>14</v>
      </c>
      <c r="Y54" s="1" t="n">
        <v>2</v>
      </c>
      <c r="Z54" s="1" t="n">
        <v>13</v>
      </c>
      <c r="AA54" s="1" t="n">
        <v>0</v>
      </c>
      <c r="AB54" s="1" t="n">
        <v>5</v>
      </c>
      <c r="AC54" s="1" t="n">
        <v>6</v>
      </c>
      <c r="AD54" s="1" t="n">
        <v>0</v>
      </c>
      <c r="AE54" s="1" t="n">
        <v>9</v>
      </c>
      <c r="AF54" s="1" t="n">
        <v>6</v>
      </c>
      <c r="AG54" s="1" t="n">
        <v>8</v>
      </c>
      <c r="AH54" s="1" t="n">
        <v>0</v>
      </c>
    </row>
    <row r="55">
      <c r="A55" s="1" t="inlineStr">
        <is>
          <t>obesity</t>
        </is>
      </c>
      <c r="B55" s="1" t="inlineStr">
        <is>
          <t>EFO_0001073</t>
        </is>
      </c>
      <c r="C55" s="1" t="inlineStr">
        <is>
          <t>name</t>
        </is>
      </c>
      <c r="D55" s="1" t="n">
        <v>0.5</v>
      </c>
      <c r="E55" s="20" t="n">
        <v>12</v>
      </c>
      <c r="F55" s="20" t="n">
        <v>184</v>
      </c>
      <c r="G55" s="20" t="n">
        <v>6</v>
      </c>
      <c r="H55" s="16">
        <f>G55/F55</f>
        <v/>
      </c>
      <c r="I55" s="16">
        <f>G55/E55</f>
        <v/>
      </c>
      <c r="J55" s="17" t="n">
        <v>34</v>
      </c>
      <c r="K55" s="17" t="n">
        <v>964</v>
      </c>
      <c r="L55" s="17" t="n">
        <v>25</v>
      </c>
      <c r="M55" s="16">
        <f>L55/K55</f>
        <v/>
      </c>
      <c r="N55" s="16">
        <f>L55/J55</f>
        <v/>
      </c>
      <c r="O55" s="18" t="n">
        <v>16</v>
      </c>
      <c r="P55" s="18" t="n">
        <v>1</v>
      </c>
      <c r="Q55" s="16">
        <f>P55/O55</f>
        <v/>
      </c>
      <c r="R55" s="1" t="n">
        <v>1702</v>
      </c>
      <c r="S55" s="1" t="n">
        <v>30</v>
      </c>
      <c r="T55" s="1" t="n">
        <v>4</v>
      </c>
      <c r="U55" s="1" t="n">
        <v>19</v>
      </c>
      <c r="V55" s="1" t="n">
        <v>27</v>
      </c>
      <c r="W55" s="1" t="n">
        <v>14</v>
      </c>
      <c r="X55" s="1" t="n">
        <v>4</v>
      </c>
      <c r="Y55" s="1" t="n">
        <v>6</v>
      </c>
      <c r="Z55" s="1" t="n">
        <v>36</v>
      </c>
      <c r="AA55" s="1" t="n">
        <v>0</v>
      </c>
      <c r="AB55" s="1" t="n">
        <v>3</v>
      </c>
      <c r="AC55" s="1" t="n">
        <v>8</v>
      </c>
      <c r="AD55" s="1" t="n">
        <v>2</v>
      </c>
      <c r="AE55" s="1" t="n">
        <v>3</v>
      </c>
      <c r="AF55" s="1" t="n">
        <v>1</v>
      </c>
      <c r="AG55" s="1" t="n">
        <v>6</v>
      </c>
      <c r="AH55" s="1" t="n">
        <v>3</v>
      </c>
    </row>
    <row r="56">
      <c r="A56" s="1" t="inlineStr">
        <is>
          <t>renal cell carcinoma</t>
        </is>
      </c>
      <c r="B56" s="1" t="inlineStr">
        <is>
          <t>EFO_0000681</t>
        </is>
      </c>
      <c r="C56" s="1" t="inlineStr">
        <is>
          <t>name</t>
        </is>
      </c>
      <c r="D56" s="1" t="n">
        <v>0.5</v>
      </c>
      <c r="E56" s="20" t="n">
        <v>32</v>
      </c>
      <c r="F56" s="20" t="n">
        <v>181</v>
      </c>
      <c r="G56" s="20" t="n">
        <v>16</v>
      </c>
      <c r="H56" s="16">
        <f>G56/F56</f>
        <v/>
      </c>
      <c r="I56" s="16">
        <f>G56/E56</f>
        <v/>
      </c>
      <c r="J56" s="17" t="n">
        <v>19</v>
      </c>
      <c r="K56" s="17" t="n">
        <v>584</v>
      </c>
      <c r="L56" s="17" t="n">
        <v>11</v>
      </c>
      <c r="M56" s="16">
        <f>L56/K56</f>
        <v/>
      </c>
      <c r="N56" s="16">
        <f>L56/J56</f>
        <v/>
      </c>
      <c r="O56" s="18" t="n">
        <v>9</v>
      </c>
      <c r="P56" s="18" t="n">
        <v>2</v>
      </c>
      <c r="Q56" s="16">
        <f>P56/O56</f>
        <v/>
      </c>
      <c r="R56" s="1" t="n">
        <v>1279</v>
      </c>
      <c r="S56" s="1" t="n">
        <v>25</v>
      </c>
      <c r="T56" s="1" t="n">
        <v>1</v>
      </c>
      <c r="U56" s="1" t="n">
        <v>23</v>
      </c>
      <c r="V56" s="1" t="n">
        <v>22</v>
      </c>
      <c r="W56" s="1" t="n">
        <v>6</v>
      </c>
      <c r="X56" s="1" t="n">
        <v>5</v>
      </c>
      <c r="Y56" s="1" t="n">
        <v>9</v>
      </c>
      <c r="Z56" s="1" t="n">
        <v>21</v>
      </c>
      <c r="AA56" s="1" t="n">
        <v>0</v>
      </c>
      <c r="AB56" s="1" t="n">
        <v>1</v>
      </c>
      <c r="AC56" s="1" t="n">
        <v>6</v>
      </c>
      <c r="AD56" s="1" t="n">
        <v>0</v>
      </c>
      <c r="AE56" s="1" t="n">
        <v>11</v>
      </c>
      <c r="AF56" s="1" t="n">
        <v>3</v>
      </c>
      <c r="AG56" s="1" t="n">
        <v>3</v>
      </c>
      <c r="AH56" s="1" t="n">
        <v>3</v>
      </c>
    </row>
    <row r="57">
      <c r="A57" s="1" t="inlineStr">
        <is>
          <t>ovarian cancer</t>
        </is>
      </c>
      <c r="B57" s="1" t="inlineStr">
        <is>
          <t>MONDO_0008170</t>
        </is>
      </c>
      <c r="C57" s="1" t="inlineStr">
        <is>
          <t>name</t>
        </is>
      </c>
      <c r="D57" s="1" t="n">
        <v>0.5</v>
      </c>
      <c r="E57" s="20" t="n">
        <v>46</v>
      </c>
      <c r="F57" s="20" t="n">
        <v>187</v>
      </c>
      <c r="G57" s="20" t="n">
        <v>23</v>
      </c>
      <c r="H57" s="16">
        <f>G57/F57</f>
        <v/>
      </c>
      <c r="I57" s="16">
        <f>G57/E57</f>
        <v/>
      </c>
      <c r="J57" s="17" t="n">
        <v>35</v>
      </c>
      <c r="K57" s="17" t="n">
        <v>710</v>
      </c>
      <c r="L57" s="17" t="n">
        <v>22</v>
      </c>
      <c r="M57" s="16">
        <f>L57/K57</f>
        <v/>
      </c>
      <c r="N57" s="16">
        <f>L57/J57</f>
        <v/>
      </c>
      <c r="O57" s="18" t="n">
        <v>13</v>
      </c>
      <c r="P57" s="18" t="n">
        <v>1</v>
      </c>
      <c r="Q57" s="16">
        <f>P57/O57</f>
        <v/>
      </c>
      <c r="R57" s="1" t="n">
        <v>1999</v>
      </c>
      <c r="S57" s="1" t="n">
        <v>44</v>
      </c>
      <c r="T57" s="1" t="n">
        <v>4</v>
      </c>
      <c r="U57" s="1" t="n">
        <v>39</v>
      </c>
      <c r="V57" s="1" t="n">
        <v>69</v>
      </c>
      <c r="W57" s="1" t="n">
        <v>27</v>
      </c>
      <c r="X57" s="1" t="n">
        <v>4</v>
      </c>
      <c r="Y57" s="1" t="n">
        <v>12</v>
      </c>
      <c r="Z57" s="1" t="n">
        <v>51</v>
      </c>
      <c r="AA57" s="1" t="n">
        <v>1</v>
      </c>
      <c r="AB57" s="1" t="n">
        <v>7</v>
      </c>
      <c r="AC57" s="1" t="n">
        <v>20</v>
      </c>
      <c r="AD57" s="1" t="n">
        <v>0</v>
      </c>
      <c r="AE57" s="1" t="n">
        <v>25</v>
      </c>
      <c r="AF57" s="1" t="n">
        <v>2</v>
      </c>
      <c r="AG57" s="1" t="n">
        <v>15</v>
      </c>
      <c r="AH57" s="1" t="n">
        <v>10</v>
      </c>
    </row>
    <row r="58">
      <c r="A58" s="1" t="inlineStr">
        <is>
          <t>endometriosis</t>
        </is>
      </c>
      <c r="B58" s="1" t="inlineStr">
        <is>
          <t>EFO_0001065</t>
        </is>
      </c>
      <c r="C58" s="1" t="inlineStr">
        <is>
          <t>name</t>
        </is>
      </c>
      <c r="D58" s="1" t="n">
        <v>0.5</v>
      </c>
      <c r="E58" s="20" t="n">
        <v>9</v>
      </c>
      <c r="F58" s="20" t="n">
        <v>254</v>
      </c>
      <c r="G58" s="20" t="n">
        <v>5</v>
      </c>
      <c r="H58" s="16">
        <f>G58/F58</f>
        <v/>
      </c>
      <c r="I58" s="16">
        <f>G58/E58</f>
        <v/>
      </c>
      <c r="J58" s="17" t="n">
        <v>12</v>
      </c>
      <c r="K58" s="17" t="n">
        <v>63</v>
      </c>
      <c r="L58" s="17" t="n">
        <v>1</v>
      </c>
      <c r="M58" s="16">
        <f>L58/K58</f>
        <v/>
      </c>
      <c r="N58" s="16">
        <f>L58/J58</f>
        <v/>
      </c>
      <c r="O58" s="18" t="n">
        <v>1</v>
      </c>
      <c r="P58" s="18" t="n">
        <v>0</v>
      </c>
      <c r="Q58" s="16">
        <f>P58/O58</f>
        <v/>
      </c>
      <c r="R58" s="1" t="n">
        <v>589</v>
      </c>
      <c r="S58" s="1" t="n">
        <v>6</v>
      </c>
      <c r="T58" s="1" t="n">
        <v>0</v>
      </c>
      <c r="U58" s="1" t="n">
        <v>1</v>
      </c>
      <c r="V58" s="1" t="n">
        <v>5</v>
      </c>
      <c r="W58" s="1" t="n">
        <v>5</v>
      </c>
      <c r="X58" s="1" t="n">
        <v>2</v>
      </c>
      <c r="Y58" s="1" t="n">
        <v>0</v>
      </c>
      <c r="Z58" s="1" t="n">
        <v>9</v>
      </c>
      <c r="AA58" s="1" t="n">
        <v>0</v>
      </c>
      <c r="AB58" s="1" t="n">
        <v>0</v>
      </c>
      <c r="AC58" s="1" t="n">
        <v>1</v>
      </c>
      <c r="AD58" s="1" t="n">
        <v>0</v>
      </c>
      <c r="AE58" s="1" t="n">
        <v>1</v>
      </c>
      <c r="AF58" s="1" t="n">
        <v>1</v>
      </c>
      <c r="AG58" s="1" t="n">
        <v>1</v>
      </c>
      <c r="AH58" s="1" t="n">
        <v>0</v>
      </c>
    </row>
    <row r="59">
      <c r="A59" s="1" t="inlineStr">
        <is>
          <t>hypertension</t>
        </is>
      </c>
      <c r="B59" s="1" t="inlineStr">
        <is>
          <t>EFO_0000537</t>
        </is>
      </c>
      <c r="C59" s="1" t="inlineStr">
        <is>
          <t>name</t>
        </is>
      </c>
      <c r="D59" s="1" t="n">
        <v>0.5</v>
      </c>
      <c r="E59" s="20" t="n">
        <v>27</v>
      </c>
      <c r="F59" s="20" t="n">
        <v>213</v>
      </c>
      <c r="G59" s="20" t="n">
        <v>15</v>
      </c>
      <c r="H59" s="16">
        <f>G59/F59</f>
        <v/>
      </c>
      <c r="I59" s="16">
        <f>G59/E59</f>
        <v/>
      </c>
      <c r="J59" s="17" t="n">
        <v>67</v>
      </c>
      <c r="K59" s="17" t="n">
        <v>166</v>
      </c>
      <c r="L59" s="17" t="n">
        <v>15</v>
      </c>
      <c r="M59" s="16">
        <f>L59/K59</f>
        <v/>
      </c>
      <c r="N59" s="16">
        <f>L59/J59</f>
        <v/>
      </c>
      <c r="O59" s="18" t="n">
        <v>5</v>
      </c>
      <c r="P59" s="18" t="n">
        <v>1</v>
      </c>
      <c r="Q59" s="16">
        <f>P59/O59</f>
        <v/>
      </c>
      <c r="R59" s="1" t="n">
        <v>2820</v>
      </c>
      <c r="S59" s="1" t="n">
        <v>29</v>
      </c>
      <c r="T59" s="1" t="n">
        <v>1</v>
      </c>
      <c r="U59" s="1" t="n">
        <v>10</v>
      </c>
      <c r="V59" s="1" t="n">
        <v>9</v>
      </c>
      <c r="W59" s="1" t="n">
        <v>13</v>
      </c>
      <c r="X59" s="1" t="n">
        <v>20</v>
      </c>
      <c r="Y59" s="1" t="n">
        <v>0</v>
      </c>
      <c r="Z59" s="1" t="n">
        <v>30</v>
      </c>
      <c r="AA59" s="1" t="n">
        <v>0</v>
      </c>
      <c r="AB59" s="1" t="n">
        <v>0</v>
      </c>
      <c r="AC59" s="1" t="n">
        <v>3</v>
      </c>
      <c r="AD59" s="1" t="n">
        <v>0</v>
      </c>
      <c r="AE59" s="1" t="n">
        <v>4</v>
      </c>
      <c r="AF59" s="1" t="n">
        <v>11</v>
      </c>
      <c r="AG59" s="1" t="n">
        <v>2</v>
      </c>
      <c r="AH59" s="1" t="n">
        <v>3</v>
      </c>
    </row>
    <row r="60">
      <c r="A60" s="1" t="inlineStr">
        <is>
          <t>cervical cancer</t>
        </is>
      </c>
      <c r="B60" s="1" t="inlineStr">
        <is>
          <t>MONDO_0002974</t>
        </is>
      </c>
      <c r="C60" s="1" t="inlineStr">
        <is>
          <t>name</t>
        </is>
      </c>
      <c r="D60" s="1" t="n">
        <v>0.5</v>
      </c>
      <c r="E60" s="20" t="n">
        <v>23</v>
      </c>
      <c r="F60" s="20" t="n">
        <v>205</v>
      </c>
      <c r="G60" s="20" t="n">
        <v>13</v>
      </c>
      <c r="H60" s="16">
        <f>G60/F60</f>
        <v/>
      </c>
      <c r="I60" s="16">
        <f>G60/E60</f>
        <v/>
      </c>
      <c r="J60" s="17" t="n">
        <v>15</v>
      </c>
      <c r="K60" s="17" t="n">
        <v>181</v>
      </c>
      <c r="L60" s="17" t="n">
        <v>3</v>
      </c>
      <c r="M60" s="16">
        <f>L60/K60</f>
        <v/>
      </c>
      <c r="N60" s="16">
        <f>L60/J60</f>
        <v/>
      </c>
      <c r="O60" s="18" t="n">
        <v>7</v>
      </c>
      <c r="P60" s="18" t="n">
        <v>0</v>
      </c>
      <c r="Q60" s="16">
        <f>P60/O60</f>
        <v/>
      </c>
      <c r="R60" s="1" t="n">
        <v>1023</v>
      </c>
      <c r="S60" s="1" t="n">
        <v>16</v>
      </c>
      <c r="T60" s="1" t="n">
        <v>0</v>
      </c>
      <c r="U60" s="1" t="n">
        <v>9</v>
      </c>
      <c r="V60" s="1" t="n">
        <v>17</v>
      </c>
      <c r="W60" s="1" t="n">
        <v>19</v>
      </c>
      <c r="X60" s="1" t="n">
        <v>0</v>
      </c>
      <c r="Y60" s="1" t="n">
        <v>4</v>
      </c>
      <c r="Z60" s="1" t="n">
        <v>16</v>
      </c>
      <c r="AA60" s="1" t="n">
        <v>0</v>
      </c>
      <c r="AB60" s="1" t="n">
        <v>4</v>
      </c>
      <c r="AC60" s="1" t="n">
        <v>6</v>
      </c>
      <c r="AD60" s="1" t="n">
        <v>0</v>
      </c>
      <c r="AE60" s="1" t="n">
        <v>5</v>
      </c>
      <c r="AF60" s="1" t="n">
        <v>0</v>
      </c>
      <c r="AG60" s="1" t="n">
        <v>5</v>
      </c>
      <c r="AH60" s="1" t="n">
        <v>5</v>
      </c>
    </row>
    <row r="61">
      <c r="A61" s="1" t="inlineStr">
        <is>
          <t>colorectal cancer</t>
        </is>
      </c>
      <c r="B61" s="1" t="inlineStr">
        <is>
          <t>MONDO_0005575</t>
        </is>
      </c>
      <c r="C61" s="1" t="inlineStr">
        <is>
          <t>name</t>
        </is>
      </c>
      <c r="D61" s="1" t="n">
        <v>0.5</v>
      </c>
      <c r="E61" s="20" t="n">
        <v>46</v>
      </c>
      <c r="F61" s="20" t="n">
        <v>201</v>
      </c>
      <c r="G61" s="20" t="n">
        <v>26</v>
      </c>
      <c r="H61" s="16">
        <f>G61/F61</f>
        <v/>
      </c>
      <c r="I61" s="16">
        <f>G61/E61</f>
        <v/>
      </c>
      <c r="J61" s="17" t="n">
        <v>36</v>
      </c>
      <c r="K61" s="17" t="n">
        <v>126</v>
      </c>
      <c r="L61" s="17" t="n">
        <v>7</v>
      </c>
      <c r="M61" s="16">
        <f>L61/K61</f>
        <v/>
      </c>
      <c r="N61" s="16">
        <f>L61/J61</f>
        <v/>
      </c>
      <c r="O61" s="18" t="n">
        <v>3</v>
      </c>
      <c r="P61" s="18" t="n">
        <v>0</v>
      </c>
      <c r="Q61" s="16">
        <f>P61/O61</f>
        <v/>
      </c>
      <c r="R61" s="1" t="n">
        <v>2124</v>
      </c>
      <c r="S61" s="1" t="n">
        <v>33</v>
      </c>
      <c r="T61" s="1" t="n">
        <v>1</v>
      </c>
      <c r="U61" s="1" t="n">
        <v>37</v>
      </c>
      <c r="V61" s="1" t="n">
        <v>47</v>
      </c>
      <c r="W61" s="1" t="n">
        <v>20</v>
      </c>
      <c r="X61" s="1" t="n">
        <v>0</v>
      </c>
      <c r="Y61" s="1" t="n">
        <v>7</v>
      </c>
      <c r="Z61" s="1" t="n">
        <v>39</v>
      </c>
      <c r="AA61" s="1" t="n">
        <v>0</v>
      </c>
      <c r="AB61" s="1" t="n">
        <v>5</v>
      </c>
      <c r="AC61" s="1" t="n">
        <v>16</v>
      </c>
      <c r="AD61" s="1" t="n">
        <v>0</v>
      </c>
      <c r="AE61" s="1" t="n">
        <v>15</v>
      </c>
      <c r="AF61" s="1" t="n">
        <v>0</v>
      </c>
      <c r="AG61" s="1" t="n">
        <v>17</v>
      </c>
      <c r="AH61" s="1" t="n">
        <v>6</v>
      </c>
    </row>
    <row r="62">
      <c r="A62" s="1" t="inlineStr">
        <is>
          <t>pancreatic ductal adenocarcinoma</t>
        </is>
      </c>
      <c r="B62" s="1" t="inlineStr">
        <is>
          <t>MONDO_0005184</t>
        </is>
      </c>
      <c r="C62" s="1" t="inlineStr">
        <is>
          <t>name</t>
        </is>
      </c>
      <c r="D62" s="1" t="n">
        <v>0.5</v>
      </c>
      <c r="E62" s="20" t="n">
        <v>14</v>
      </c>
      <c r="F62" s="20" t="n">
        <v>135</v>
      </c>
      <c r="G62" s="20" t="n">
        <v>8</v>
      </c>
      <c r="H62" s="16">
        <f>G62/F62</f>
        <v/>
      </c>
      <c r="I62" s="16">
        <f>G62/E62</f>
        <v/>
      </c>
      <c r="J62" s="17" t="n">
        <v>8</v>
      </c>
      <c r="K62" s="17" t="n">
        <v>79</v>
      </c>
      <c r="L62" s="17" t="n">
        <v>1</v>
      </c>
      <c r="M62" s="16">
        <f>L62/K62</f>
        <v/>
      </c>
      <c r="N62" s="16">
        <f>L62/J62</f>
        <v/>
      </c>
      <c r="O62" s="18" t="n">
        <v>1</v>
      </c>
      <c r="P62" s="18" t="n">
        <v>0</v>
      </c>
      <c r="Q62" s="16">
        <f>P62/O62</f>
        <v/>
      </c>
      <c r="R62" s="1" t="n">
        <v>592</v>
      </c>
      <c r="S62" s="1" t="n">
        <v>9</v>
      </c>
      <c r="T62" s="1" t="n">
        <v>4</v>
      </c>
      <c r="U62" s="1" t="n">
        <v>16</v>
      </c>
      <c r="V62" s="1" t="n">
        <v>16</v>
      </c>
      <c r="W62" s="1" t="n">
        <v>6</v>
      </c>
      <c r="X62" s="1" t="n">
        <v>0</v>
      </c>
      <c r="Y62" s="1" t="n">
        <v>8</v>
      </c>
      <c r="Z62" s="1" t="n">
        <v>8</v>
      </c>
      <c r="AA62" s="1" t="n">
        <v>0</v>
      </c>
      <c r="AB62" s="1" t="n">
        <v>6</v>
      </c>
      <c r="AC62" s="1" t="n">
        <v>7</v>
      </c>
      <c r="AD62" s="1" t="n">
        <v>1</v>
      </c>
      <c r="AE62" s="1" t="n">
        <v>6</v>
      </c>
      <c r="AF62" s="1" t="n">
        <v>0</v>
      </c>
      <c r="AG62" s="1" t="n">
        <v>4</v>
      </c>
      <c r="AH62" s="1" t="n">
        <v>2</v>
      </c>
    </row>
    <row r="63">
      <c r="A63" s="1" t="inlineStr">
        <is>
          <t>prostate cancer</t>
        </is>
      </c>
      <c r="B63" s="1" t="inlineStr">
        <is>
          <t>MONDO_0008315</t>
        </is>
      </c>
      <c r="C63" s="1" t="inlineStr">
        <is>
          <t>name</t>
        </is>
      </c>
      <c r="D63" s="1" t="n">
        <v>0.5</v>
      </c>
      <c r="E63" s="20" t="n">
        <v>61</v>
      </c>
      <c r="F63" s="20" t="n">
        <v>180</v>
      </c>
      <c r="G63" s="20" t="n">
        <v>35</v>
      </c>
      <c r="H63" s="16">
        <f>G63/F63</f>
        <v/>
      </c>
      <c r="I63" s="16">
        <f>G63/E63</f>
        <v/>
      </c>
      <c r="J63" s="17" t="n">
        <v>71</v>
      </c>
      <c r="K63" s="17" t="n">
        <v>665</v>
      </c>
      <c r="L63" s="17" t="n">
        <v>42</v>
      </c>
      <c r="M63" s="16">
        <f>L63/K63</f>
        <v/>
      </c>
      <c r="N63" s="16">
        <f>L63/J63</f>
        <v/>
      </c>
      <c r="O63" s="18" t="n">
        <v>8</v>
      </c>
      <c r="P63" s="18" t="n">
        <v>4</v>
      </c>
      <c r="Q63" s="16">
        <f>P63/O63</f>
        <v/>
      </c>
      <c r="R63" s="1" t="n">
        <v>3429</v>
      </c>
      <c r="S63" s="1" t="n">
        <v>73</v>
      </c>
      <c r="T63" s="1" t="n">
        <v>10</v>
      </c>
      <c r="U63" s="1" t="n">
        <v>76</v>
      </c>
      <c r="V63" s="1" t="n">
        <v>132</v>
      </c>
      <c r="W63" s="1" t="n">
        <v>60</v>
      </c>
      <c r="X63" s="1" t="n">
        <v>11</v>
      </c>
      <c r="Y63" s="1" t="n">
        <v>38</v>
      </c>
      <c r="Z63" s="1" t="n">
        <v>102</v>
      </c>
      <c r="AA63" s="1" t="n">
        <v>1</v>
      </c>
      <c r="AB63" s="1" t="n">
        <v>15</v>
      </c>
      <c r="AC63" s="1" t="n">
        <v>33</v>
      </c>
      <c r="AD63" s="1" t="n">
        <v>2</v>
      </c>
      <c r="AE63" s="1" t="n">
        <v>51</v>
      </c>
      <c r="AF63" s="1" t="n">
        <v>6</v>
      </c>
      <c r="AG63" s="1" t="n">
        <v>22</v>
      </c>
      <c r="AH63" s="1" t="n">
        <v>19</v>
      </c>
    </row>
    <row r="64">
      <c r="A64" s="1" t="inlineStr">
        <is>
          <t>head and neck squamous cell carcinoma</t>
        </is>
      </c>
      <c r="B64" s="1" t="inlineStr">
        <is>
          <t>EFO_0000181</t>
        </is>
      </c>
      <c r="C64" s="1" t="inlineStr">
        <is>
          <t>name</t>
        </is>
      </c>
      <c r="D64" s="1" t="n">
        <v>0.5</v>
      </c>
      <c r="E64" s="20" t="n">
        <v>27</v>
      </c>
      <c r="F64" s="20" t="n">
        <v>297</v>
      </c>
      <c r="G64" s="20" t="n">
        <v>16</v>
      </c>
      <c r="H64" s="16">
        <f>G64/F64</f>
        <v/>
      </c>
      <c r="I64" s="16">
        <f>G64/E64</f>
        <v/>
      </c>
      <c r="J64" s="17" t="n">
        <v>14</v>
      </c>
      <c r="K64" s="17" t="n">
        <v>18</v>
      </c>
      <c r="L64" s="17" t="n">
        <v>1</v>
      </c>
      <c r="M64" s="16">
        <f>L64/K64</f>
        <v/>
      </c>
      <c r="N64" s="16">
        <f>L64/J64</f>
        <v/>
      </c>
      <c r="O64" s="18" t="n">
        <v>1</v>
      </c>
      <c r="P64" s="18" t="n">
        <v>0</v>
      </c>
      <c r="Q64" s="16">
        <f>P64/O64</f>
        <v/>
      </c>
      <c r="R64" s="1" t="n">
        <v>1045</v>
      </c>
      <c r="S64" s="1" t="n">
        <v>17</v>
      </c>
      <c r="T64" s="1" t="n">
        <v>2</v>
      </c>
      <c r="U64" s="1" t="n">
        <v>17</v>
      </c>
      <c r="V64" s="1" t="n">
        <v>21</v>
      </c>
      <c r="W64" s="1" t="n">
        <v>4</v>
      </c>
      <c r="X64" s="1" t="n">
        <v>0</v>
      </c>
      <c r="Y64" s="1" t="n">
        <v>4</v>
      </c>
      <c r="Z64" s="1" t="n">
        <v>15</v>
      </c>
      <c r="AA64" s="1" t="n">
        <v>0</v>
      </c>
      <c r="AB64" s="1" t="n">
        <v>2</v>
      </c>
      <c r="AC64" s="1" t="n">
        <v>9</v>
      </c>
      <c r="AD64" s="1" t="n">
        <v>0</v>
      </c>
      <c r="AE64" s="1" t="n">
        <v>8</v>
      </c>
      <c r="AF64" s="1" t="n">
        <v>0</v>
      </c>
      <c r="AG64" s="1" t="n">
        <v>2</v>
      </c>
      <c r="AH64" s="1" t="n">
        <v>4</v>
      </c>
    </row>
    <row r="65">
      <c r="A65" s="1" t="inlineStr">
        <is>
          <t>systemic lupus erythematosus</t>
        </is>
      </c>
      <c r="B65" s="1" t="inlineStr">
        <is>
          <t>MONDO_0007915</t>
        </is>
      </c>
      <c r="C65" s="1" t="inlineStr">
        <is>
          <t>name</t>
        </is>
      </c>
      <c r="D65" s="1" t="n">
        <v>0.5</v>
      </c>
      <c r="E65" s="20" t="n">
        <v>15</v>
      </c>
      <c r="F65" s="20" t="n">
        <v>267</v>
      </c>
      <c r="G65" s="20" t="n">
        <v>9</v>
      </c>
      <c r="H65" s="16">
        <f>G65/F65</f>
        <v/>
      </c>
      <c r="I65" s="16">
        <f>G65/E65</f>
        <v/>
      </c>
      <c r="J65" s="17" t="n">
        <v>20</v>
      </c>
      <c r="K65" s="17" t="n">
        <v>627</v>
      </c>
      <c r="L65" s="17" t="n">
        <v>12</v>
      </c>
      <c r="M65" s="16">
        <f>L65/K65</f>
        <v/>
      </c>
      <c r="N65" s="16">
        <f>L65/J65</f>
        <v/>
      </c>
      <c r="O65" s="18" t="n">
        <v>16</v>
      </c>
      <c r="P65" s="18" t="n">
        <v>1</v>
      </c>
      <c r="Q65" s="16">
        <f>P65/O65</f>
        <v/>
      </c>
      <c r="R65" s="1" t="n">
        <v>1071</v>
      </c>
      <c r="S65" s="1" t="n">
        <v>20</v>
      </c>
      <c r="T65" s="1" t="n">
        <v>2</v>
      </c>
      <c r="U65" s="1" t="n">
        <v>7</v>
      </c>
      <c r="V65" s="1" t="n">
        <v>14</v>
      </c>
      <c r="W65" s="1" t="n">
        <v>7</v>
      </c>
      <c r="X65" s="1" t="n">
        <v>3</v>
      </c>
      <c r="Y65" s="1" t="n">
        <v>0</v>
      </c>
      <c r="Z65" s="1" t="n">
        <v>17</v>
      </c>
      <c r="AA65" s="1" t="n">
        <v>0</v>
      </c>
      <c r="AB65" s="1" t="n">
        <v>1</v>
      </c>
      <c r="AC65" s="1" t="n">
        <v>2</v>
      </c>
      <c r="AD65" s="1" t="n">
        <v>0</v>
      </c>
      <c r="AE65" s="1" t="n">
        <v>6</v>
      </c>
      <c r="AF65" s="1" t="n">
        <v>3</v>
      </c>
      <c r="AG65" s="1" t="n">
        <v>0</v>
      </c>
      <c r="AH65" s="1" t="n">
        <v>4</v>
      </c>
    </row>
    <row r="66">
      <c r="A66" s="1" t="inlineStr">
        <is>
          <t>rheumatoid arthritis</t>
        </is>
      </c>
      <c r="B66" s="1" t="inlineStr">
        <is>
          <t>EFO_0000685</t>
        </is>
      </c>
      <c r="C66" s="1" t="inlineStr">
        <is>
          <t>name</t>
        </is>
      </c>
      <c r="D66" s="1" t="n">
        <v>0.5</v>
      </c>
      <c r="E66" s="20" t="n">
        <v>25</v>
      </c>
      <c r="F66" s="20" t="n">
        <v>273</v>
      </c>
      <c r="G66" s="20" t="n">
        <v>16</v>
      </c>
      <c r="H66" s="16">
        <f>G66/F66</f>
        <v/>
      </c>
      <c r="I66" s="16">
        <f>G66/E66</f>
        <v/>
      </c>
      <c r="J66" s="17" t="n">
        <v>45</v>
      </c>
      <c r="K66" s="17" t="n">
        <v>586</v>
      </c>
      <c r="L66" s="17" t="n">
        <v>27</v>
      </c>
      <c r="M66" s="16">
        <f>L66/K66</f>
        <v/>
      </c>
      <c r="N66" s="16">
        <f>L66/J66</f>
        <v/>
      </c>
      <c r="O66" s="18" t="n">
        <v>13</v>
      </c>
      <c r="P66" s="18" t="n">
        <v>4</v>
      </c>
      <c r="Q66" s="16">
        <f>P66/O66</f>
        <v/>
      </c>
      <c r="R66" s="1" t="n">
        <v>2397</v>
      </c>
      <c r="S66" s="1" t="n">
        <v>39</v>
      </c>
      <c r="T66" s="1" t="n">
        <v>1</v>
      </c>
      <c r="U66" s="1" t="n">
        <v>16</v>
      </c>
      <c r="V66" s="1" t="n">
        <v>33</v>
      </c>
      <c r="W66" s="1" t="n">
        <v>25</v>
      </c>
      <c r="X66" s="1" t="n">
        <v>41</v>
      </c>
      <c r="Y66" s="1" t="n">
        <v>5</v>
      </c>
      <c r="Z66" s="1" t="n">
        <v>47</v>
      </c>
      <c r="AA66" s="1" t="n">
        <v>0</v>
      </c>
      <c r="AB66" s="1" t="n">
        <v>2</v>
      </c>
      <c r="AC66" s="1" t="n">
        <v>16</v>
      </c>
      <c r="AD66" s="1" t="n">
        <v>0</v>
      </c>
      <c r="AE66" s="1" t="n">
        <v>17</v>
      </c>
      <c r="AF66" s="1" t="n">
        <v>20</v>
      </c>
      <c r="AG66" s="1" t="n">
        <v>5</v>
      </c>
      <c r="AH66" s="1" t="n">
        <v>4</v>
      </c>
    </row>
    <row r="67">
      <c r="A67" s="1" t="inlineStr">
        <is>
          <t>glioblastoma multiforme</t>
        </is>
      </c>
      <c r="B67" s="1" t="inlineStr">
        <is>
          <t>EFO_0000519</t>
        </is>
      </c>
      <c r="C67" s="1" t="inlineStr">
        <is>
          <t>name</t>
        </is>
      </c>
      <c r="D67" s="1" t="n">
        <v>0.5</v>
      </c>
      <c r="E67" s="20" t="n">
        <v>50</v>
      </c>
      <c r="F67" s="20" t="n">
        <v>252</v>
      </c>
      <c r="G67" s="20" t="n">
        <v>32</v>
      </c>
      <c r="H67" s="16">
        <f>G67/F67</f>
        <v/>
      </c>
      <c r="I67" s="16">
        <f>G67/E67</f>
        <v/>
      </c>
      <c r="J67" s="17" t="n">
        <v>32</v>
      </c>
      <c r="K67" s="17" t="n">
        <v>104</v>
      </c>
      <c r="L67" s="17" t="n">
        <v>8</v>
      </c>
      <c r="M67" s="16">
        <f>L67/K67</f>
        <v/>
      </c>
      <c r="N67" s="16">
        <f>L67/J67</f>
        <v/>
      </c>
      <c r="O67" s="18" t="n">
        <v>6</v>
      </c>
      <c r="P67" s="18" t="n">
        <v>0</v>
      </c>
      <c r="Q67" s="16">
        <f>P67/O67</f>
        <v/>
      </c>
      <c r="R67" s="1" t="n">
        <v>1726</v>
      </c>
      <c r="S67" s="1" t="n">
        <v>40</v>
      </c>
      <c r="T67" s="1" t="n">
        <v>7</v>
      </c>
      <c r="U67" s="1" t="n">
        <v>38</v>
      </c>
      <c r="V67" s="1" t="n">
        <v>35</v>
      </c>
      <c r="W67" s="1" t="n">
        <v>1</v>
      </c>
      <c r="X67" s="1" t="n">
        <v>0</v>
      </c>
      <c r="Y67" s="1" t="n">
        <v>12</v>
      </c>
      <c r="Z67" s="1" t="n">
        <v>29</v>
      </c>
      <c r="AA67" s="1" t="n">
        <v>0</v>
      </c>
      <c r="AB67" s="1" t="n">
        <v>2</v>
      </c>
      <c r="AC67" s="1" t="n">
        <v>14</v>
      </c>
      <c r="AD67" s="1" t="n">
        <v>1</v>
      </c>
      <c r="AE67" s="1" t="n">
        <v>15</v>
      </c>
      <c r="AF67" s="1" t="n">
        <v>0</v>
      </c>
      <c r="AG67" s="1" t="n">
        <v>4</v>
      </c>
      <c r="AH67" s="1" t="n">
        <v>4</v>
      </c>
    </row>
    <row r="68">
      <c r="A68" s="1" t="inlineStr">
        <is>
          <t>endometrial cancer</t>
        </is>
      </c>
      <c r="B68" s="1" t="inlineStr">
        <is>
          <t>MONDO_0011962</t>
        </is>
      </c>
      <c r="C68" s="1" t="inlineStr">
        <is>
          <t>name</t>
        </is>
      </c>
      <c r="D68" s="1" t="n">
        <v>0.5</v>
      </c>
      <c r="E68" s="20" t="n">
        <v>26</v>
      </c>
      <c r="F68" s="20" t="n">
        <v>212</v>
      </c>
      <c r="G68" s="20" t="n">
        <v>17</v>
      </c>
      <c r="H68" s="16">
        <f>G68/F68</f>
        <v/>
      </c>
      <c r="I68" s="16">
        <f>G68/E68</f>
        <v/>
      </c>
      <c r="J68" s="17" t="n">
        <v>20</v>
      </c>
      <c r="K68" s="17" t="n">
        <v>224</v>
      </c>
      <c r="L68" s="17" t="n">
        <v>6</v>
      </c>
      <c r="M68" s="16">
        <f>L68/K68</f>
        <v/>
      </c>
      <c r="N68" s="16">
        <f>L68/J68</f>
        <v/>
      </c>
      <c r="O68" s="18" t="n">
        <v>6</v>
      </c>
      <c r="P68" s="18" t="n">
        <v>0</v>
      </c>
      <c r="Q68" s="16">
        <f>P68/O68</f>
        <v/>
      </c>
      <c r="R68" s="1" t="n">
        <v>1032</v>
      </c>
      <c r="S68" s="1" t="n">
        <v>23</v>
      </c>
      <c r="T68" s="1" t="n">
        <v>3</v>
      </c>
      <c r="U68" s="1" t="n">
        <v>14</v>
      </c>
      <c r="V68" s="1" t="n">
        <v>27</v>
      </c>
      <c r="W68" s="1" t="n">
        <v>12</v>
      </c>
      <c r="X68" s="1" t="n">
        <v>0</v>
      </c>
      <c r="Y68" s="1" t="n">
        <v>6</v>
      </c>
      <c r="Z68" s="1" t="n">
        <v>16</v>
      </c>
      <c r="AA68" s="1" t="n">
        <v>0</v>
      </c>
      <c r="AB68" s="1" t="n">
        <v>5</v>
      </c>
      <c r="AC68" s="1" t="n">
        <v>17</v>
      </c>
      <c r="AD68" s="1" t="n">
        <v>0</v>
      </c>
      <c r="AE68" s="1" t="n">
        <v>8</v>
      </c>
      <c r="AF68" s="1" t="n">
        <v>0</v>
      </c>
      <c r="AG68" s="1" t="n">
        <v>4</v>
      </c>
      <c r="AH68" s="1" t="n">
        <v>0</v>
      </c>
    </row>
    <row r="69">
      <c r="A69" s="1" t="inlineStr">
        <is>
          <t>autism spectrum disorder</t>
        </is>
      </c>
      <c r="B69" s="1" t="inlineStr">
        <is>
          <t>EFO_0003756</t>
        </is>
      </c>
      <c r="C69" s="1" t="inlineStr">
        <is>
          <t>name</t>
        </is>
      </c>
      <c r="D69" s="1" t="n">
        <v>0.5</v>
      </c>
      <c r="E69" s="20" t="n">
        <v>3</v>
      </c>
      <c r="F69" s="20" t="n">
        <v>337</v>
      </c>
      <c r="G69" s="20" t="n">
        <v>2</v>
      </c>
      <c r="H69" s="16">
        <f>G69/F69</f>
        <v/>
      </c>
      <c r="I69" s="16">
        <f>G69/E69</f>
        <v/>
      </c>
      <c r="J69" s="17" t="n">
        <v>14</v>
      </c>
      <c r="K69" s="17" t="n">
        <v>51</v>
      </c>
      <c r="L69" s="17" t="n">
        <v>1</v>
      </c>
      <c r="M69" s="16">
        <f>L69/K69</f>
        <v/>
      </c>
      <c r="N69" s="16">
        <f>L69/J69</f>
        <v/>
      </c>
      <c r="O69" s="18" t="n">
        <v>1</v>
      </c>
      <c r="P69" s="18" t="n">
        <v>0</v>
      </c>
      <c r="Q69" s="16">
        <f>P69/O69</f>
        <v/>
      </c>
      <c r="R69" s="1" t="n">
        <v>366</v>
      </c>
      <c r="S69" s="1" t="n">
        <v>3</v>
      </c>
      <c r="T69" s="1" t="n">
        <v>0</v>
      </c>
      <c r="U69" s="1" t="n">
        <v>1</v>
      </c>
      <c r="V69" s="1" t="n">
        <v>2</v>
      </c>
      <c r="W69" s="1" t="n">
        <v>0</v>
      </c>
      <c r="X69" s="1" t="n">
        <v>0</v>
      </c>
      <c r="Y69" s="1" t="n">
        <v>0</v>
      </c>
      <c r="Z69" s="1" t="n">
        <v>1</v>
      </c>
      <c r="AA69" s="1" t="n">
        <v>0</v>
      </c>
      <c r="AB69" s="1" t="n">
        <v>0</v>
      </c>
      <c r="AC69" s="1" t="n">
        <v>0</v>
      </c>
      <c r="AD69" s="1" t="n">
        <v>1</v>
      </c>
      <c r="AE69" s="1" t="n">
        <v>0</v>
      </c>
      <c r="AF69" s="1" t="n">
        <v>0</v>
      </c>
      <c r="AG69" s="1" t="n">
        <v>0</v>
      </c>
      <c r="AH69" s="1" t="n">
        <v>1</v>
      </c>
    </row>
    <row r="70">
      <c r="A70" s="1" t="inlineStr">
        <is>
          <t>relapsing-remitting multiple sclerosis</t>
        </is>
      </c>
      <c r="B70" s="1" t="inlineStr">
        <is>
          <t>EFO_0003929</t>
        </is>
      </c>
      <c r="C70" s="1" t="inlineStr">
        <is>
          <t>name</t>
        </is>
      </c>
      <c r="D70" s="1" t="n">
        <v>0.5</v>
      </c>
      <c r="E70" s="20" t="n">
        <v>9</v>
      </c>
      <c r="F70" s="20" t="n">
        <v>249</v>
      </c>
      <c r="G70" s="20" t="n">
        <v>6</v>
      </c>
      <c r="H70" s="16">
        <f>G70/F70</f>
        <v/>
      </c>
      <c r="I70" s="16">
        <f>G70/E70</f>
        <v/>
      </c>
      <c r="J70" s="17" t="n">
        <v>19</v>
      </c>
      <c r="K70" s="17" t="n">
        <v>814</v>
      </c>
      <c r="L70" s="17" t="n">
        <v>10</v>
      </c>
      <c r="M70" s="16">
        <f>L70/K70</f>
        <v/>
      </c>
      <c r="N70" s="16">
        <f>L70/J70</f>
        <v/>
      </c>
      <c r="O70" s="18" t="n">
        <v>21</v>
      </c>
      <c r="P70" s="18" t="n">
        <v>1</v>
      </c>
      <c r="Q70" s="16">
        <f>P70/O70</f>
        <v/>
      </c>
      <c r="R70" s="1" t="n">
        <v>816</v>
      </c>
      <c r="S70" s="1" t="n">
        <v>15</v>
      </c>
      <c r="T70" s="1" t="n">
        <v>1</v>
      </c>
      <c r="U70" s="1" t="n">
        <v>8</v>
      </c>
      <c r="V70" s="1" t="n">
        <v>11</v>
      </c>
      <c r="W70" s="1" t="n">
        <v>5</v>
      </c>
      <c r="X70" s="1" t="n">
        <v>4</v>
      </c>
      <c r="Y70" s="1" t="n">
        <v>2</v>
      </c>
      <c r="Z70" s="1" t="n">
        <v>14</v>
      </c>
      <c r="AA70" s="1" t="n">
        <v>1</v>
      </c>
      <c r="AB70" s="1" t="n">
        <v>0</v>
      </c>
      <c r="AC70" s="1" t="n">
        <v>3</v>
      </c>
      <c r="AD70" s="1" t="n">
        <v>0</v>
      </c>
      <c r="AE70" s="1" t="n">
        <v>5</v>
      </c>
      <c r="AF70" s="1" t="n">
        <v>1</v>
      </c>
      <c r="AG70" s="1" t="n">
        <v>0</v>
      </c>
      <c r="AH70" s="1" t="n">
        <v>3</v>
      </c>
    </row>
    <row r="71">
      <c r="A71" s="1" t="inlineStr">
        <is>
          <t>bipolar disorder</t>
        </is>
      </c>
      <c r="B71" s="1" t="inlineStr">
        <is>
          <t>MONDO_0004985</t>
        </is>
      </c>
      <c r="C71" s="1" t="inlineStr">
        <is>
          <t>name</t>
        </is>
      </c>
      <c r="D71" s="1" t="n">
        <v>0.5</v>
      </c>
      <c r="E71" s="20" t="n">
        <v>9</v>
      </c>
      <c r="F71" s="20" t="n">
        <v>122</v>
      </c>
      <c r="G71" s="20" t="n">
        <v>6</v>
      </c>
      <c r="H71" s="16">
        <f>G71/F71</f>
        <v/>
      </c>
      <c r="I71" s="16">
        <f>G71/E71</f>
        <v/>
      </c>
      <c r="J71" s="17" t="n">
        <v>28</v>
      </c>
      <c r="K71" s="17" t="n">
        <v>147</v>
      </c>
      <c r="L71" s="17" t="n">
        <v>9</v>
      </c>
      <c r="M71" s="16">
        <f>L71/K71</f>
        <v/>
      </c>
      <c r="N71" s="16">
        <f>L71/J71</f>
        <v/>
      </c>
      <c r="O71" s="18" t="n">
        <v>5</v>
      </c>
      <c r="P71" s="18" t="n">
        <v>0</v>
      </c>
      <c r="Q71" s="16">
        <f>P71/O71</f>
        <v/>
      </c>
      <c r="R71" s="1" t="n">
        <v>1146</v>
      </c>
      <c r="S71" s="1" t="n">
        <v>15</v>
      </c>
      <c r="T71" s="1" t="n">
        <v>1</v>
      </c>
      <c r="U71" s="1" t="n">
        <v>1</v>
      </c>
      <c r="V71" s="1" t="n">
        <v>12</v>
      </c>
      <c r="W71" s="1" t="n">
        <v>14</v>
      </c>
      <c r="X71" s="1" t="n">
        <v>14</v>
      </c>
      <c r="Y71" s="1" t="n">
        <v>0</v>
      </c>
      <c r="Z71" s="1" t="n">
        <v>19</v>
      </c>
      <c r="AA71" s="1" t="n">
        <v>0</v>
      </c>
      <c r="AB71" s="1" t="n">
        <v>0</v>
      </c>
      <c r="AC71" s="1" t="n">
        <v>2</v>
      </c>
      <c r="AD71" s="1" t="n">
        <v>0</v>
      </c>
      <c r="AE71" s="1" t="n">
        <v>8</v>
      </c>
      <c r="AF71" s="1" t="n">
        <v>3</v>
      </c>
      <c r="AG71" s="1" t="n">
        <v>7</v>
      </c>
      <c r="AH71" s="1" t="n">
        <v>3</v>
      </c>
    </row>
    <row r="72">
      <c r="A72" s="1" t="inlineStr">
        <is>
          <t>myelodysplastic syndrome</t>
        </is>
      </c>
      <c r="B72" s="1" t="inlineStr">
        <is>
          <t>EFO_0000198</t>
        </is>
      </c>
      <c r="C72" s="1" t="inlineStr">
        <is>
          <t>name</t>
        </is>
      </c>
      <c r="D72" s="1" t="n">
        <v>0.5</v>
      </c>
      <c r="E72" s="20" t="n">
        <v>40</v>
      </c>
      <c r="F72" s="20" t="n">
        <v>221</v>
      </c>
      <c r="G72" s="20" t="n">
        <v>27</v>
      </c>
      <c r="H72" s="16">
        <f>G72/F72</f>
        <v/>
      </c>
      <c r="I72" s="16">
        <f>G72/E72</f>
        <v/>
      </c>
      <c r="J72" s="17" t="n">
        <v>30</v>
      </c>
      <c r="K72" s="17" t="n">
        <v>736</v>
      </c>
      <c r="L72" s="17" t="n">
        <v>15</v>
      </c>
      <c r="M72" s="16">
        <f>L72/K72</f>
        <v/>
      </c>
      <c r="N72" s="16">
        <f>L72/J72</f>
        <v/>
      </c>
      <c r="O72" s="18" t="n">
        <v>19</v>
      </c>
      <c r="P72" s="18" t="n">
        <v>0</v>
      </c>
      <c r="Q72" s="16">
        <f>P72/O72</f>
        <v/>
      </c>
      <c r="R72" s="1" t="n">
        <v>1767</v>
      </c>
      <c r="S72" s="1" t="n">
        <v>42</v>
      </c>
      <c r="T72" s="1" t="n">
        <v>0</v>
      </c>
      <c r="U72" s="1" t="n">
        <v>47</v>
      </c>
      <c r="V72" s="1" t="n">
        <v>48</v>
      </c>
      <c r="W72" s="1" t="n">
        <v>14</v>
      </c>
      <c r="X72" s="1" t="n">
        <v>0</v>
      </c>
      <c r="Y72" s="1" t="n">
        <v>5</v>
      </c>
      <c r="Z72" s="1" t="n">
        <v>48</v>
      </c>
      <c r="AA72" s="1" t="n">
        <v>0</v>
      </c>
      <c r="AB72" s="1" t="n">
        <v>2</v>
      </c>
      <c r="AC72" s="1" t="n">
        <v>13</v>
      </c>
      <c r="AD72" s="1" t="n">
        <v>0</v>
      </c>
      <c r="AE72" s="1" t="n">
        <v>20</v>
      </c>
      <c r="AF72" s="1" t="n">
        <v>0</v>
      </c>
      <c r="AG72" s="1" t="n">
        <v>14</v>
      </c>
      <c r="AH72" s="1" t="n">
        <v>7</v>
      </c>
    </row>
    <row r="73">
      <c r="A73" s="1" t="inlineStr">
        <is>
          <t>Ischemic stroke</t>
        </is>
      </c>
      <c r="B73" s="1" t="inlineStr">
        <is>
          <t>HP_0002140</t>
        </is>
      </c>
      <c r="C73" s="1" t="inlineStr">
        <is>
          <t>name</t>
        </is>
      </c>
      <c r="D73" s="1" t="n">
        <v>0.5</v>
      </c>
      <c r="E73" s="20" t="n">
        <v>7</v>
      </c>
      <c r="F73" s="20" t="n">
        <v>253</v>
      </c>
      <c r="G73" s="20" t="n">
        <v>5</v>
      </c>
      <c r="H73" s="16">
        <f>G73/F73</f>
        <v/>
      </c>
      <c r="I73" s="16">
        <f>G73/E73</f>
        <v/>
      </c>
      <c r="J73" s="17" t="n">
        <v>13</v>
      </c>
      <c r="K73" s="17" t="n">
        <v>76</v>
      </c>
      <c r="L73" s="17" t="n">
        <v>2</v>
      </c>
      <c r="M73" s="16">
        <f>L73/K73</f>
        <v/>
      </c>
      <c r="N73" s="16">
        <f>L73/J73</f>
        <v/>
      </c>
      <c r="O73" s="18" t="n">
        <v>1</v>
      </c>
      <c r="P73" s="18" t="n">
        <v>0</v>
      </c>
      <c r="Q73" s="16">
        <f>P73/O73</f>
        <v/>
      </c>
      <c r="R73" s="1" t="n">
        <v>651</v>
      </c>
      <c r="S73" s="1" t="n">
        <v>7</v>
      </c>
      <c r="T73" s="1" t="n">
        <v>0</v>
      </c>
      <c r="U73" s="1" t="n">
        <v>9</v>
      </c>
      <c r="V73" s="1" t="n">
        <v>5</v>
      </c>
      <c r="W73" s="1" t="n">
        <v>4</v>
      </c>
      <c r="X73" s="1" t="n">
        <v>0</v>
      </c>
      <c r="Y73" s="1" t="n">
        <v>0</v>
      </c>
      <c r="Z73" s="1" t="n">
        <v>4</v>
      </c>
      <c r="AA73" s="1" t="n">
        <v>0</v>
      </c>
      <c r="AB73" s="1" t="n">
        <v>1</v>
      </c>
      <c r="AC73" s="1" t="n">
        <v>6</v>
      </c>
      <c r="AD73" s="1" t="n">
        <v>0</v>
      </c>
      <c r="AE73" s="1" t="n">
        <v>2</v>
      </c>
      <c r="AF73" s="1" t="n">
        <v>0</v>
      </c>
      <c r="AG73" s="1" t="n">
        <v>1</v>
      </c>
      <c r="AH73" s="1" t="n">
        <v>4</v>
      </c>
    </row>
    <row r="74">
      <c r="A74" s="1" t="inlineStr">
        <is>
          <t>type 2 diabetes mellitus</t>
        </is>
      </c>
      <c r="B74" s="1" t="inlineStr">
        <is>
          <t>MONDO_0005148</t>
        </is>
      </c>
      <c r="C74" s="1" t="inlineStr">
        <is>
          <t>name</t>
        </is>
      </c>
      <c r="D74" s="1" t="n">
        <v>0.5</v>
      </c>
      <c r="E74" s="20" t="n">
        <v>21</v>
      </c>
      <c r="F74" s="20" t="n">
        <v>314</v>
      </c>
      <c r="G74" s="20" t="n">
        <v>15</v>
      </c>
      <c r="H74" s="16">
        <f>G74/F74</f>
        <v/>
      </c>
      <c r="I74" s="16">
        <f>G74/E74</f>
        <v/>
      </c>
      <c r="J74" s="17" t="n">
        <v>56</v>
      </c>
      <c r="K74" s="17" t="n">
        <v>842</v>
      </c>
      <c r="L74" s="17" t="n">
        <v>33</v>
      </c>
      <c r="M74" s="16">
        <f>L74/K74</f>
        <v/>
      </c>
      <c r="N74" s="16">
        <f>L74/J74</f>
        <v/>
      </c>
      <c r="O74" s="18" t="n">
        <v>31</v>
      </c>
      <c r="P74" s="18" t="n">
        <v>5</v>
      </c>
      <c r="Q74" s="16">
        <f>P74/O74</f>
        <v/>
      </c>
      <c r="R74" s="1" t="n">
        <v>2321</v>
      </c>
      <c r="S74" s="1" t="n">
        <v>43</v>
      </c>
      <c r="T74" s="1" t="n">
        <v>4</v>
      </c>
      <c r="U74" s="1" t="n">
        <v>37</v>
      </c>
      <c r="V74" s="1" t="n">
        <v>29</v>
      </c>
      <c r="W74" s="1" t="n">
        <v>50</v>
      </c>
      <c r="X74" s="1" t="n">
        <v>20</v>
      </c>
      <c r="Y74" s="1" t="n">
        <v>9</v>
      </c>
      <c r="Z74" s="1" t="n">
        <v>59</v>
      </c>
      <c r="AA74" s="1" t="n">
        <v>3</v>
      </c>
      <c r="AB74" s="1" t="n">
        <v>10</v>
      </c>
      <c r="AC74" s="1" t="n">
        <v>10</v>
      </c>
      <c r="AD74" s="1" t="n">
        <v>4</v>
      </c>
      <c r="AE74" s="1" t="n">
        <v>18</v>
      </c>
      <c r="AF74" s="1" t="n">
        <v>6</v>
      </c>
      <c r="AG74" s="1" t="n">
        <v>12</v>
      </c>
      <c r="AH74" s="1" t="n">
        <v>9</v>
      </c>
    </row>
    <row r="75">
      <c r="A75" s="1" t="inlineStr">
        <is>
          <t>chronic obstructive pulmonary disease</t>
        </is>
      </c>
      <c r="B75" s="1" t="inlineStr">
        <is>
          <t>EFO_0000341</t>
        </is>
      </c>
      <c r="C75" s="1" t="inlineStr">
        <is>
          <t>name</t>
        </is>
      </c>
      <c r="D75" s="1" t="n">
        <v>0.5</v>
      </c>
      <c r="E75" s="20" t="n">
        <v>15</v>
      </c>
      <c r="F75" s="20" t="n">
        <v>211</v>
      </c>
      <c r="G75" s="20" t="n">
        <v>11</v>
      </c>
      <c r="H75" s="16">
        <f>G75/F75</f>
        <v/>
      </c>
      <c r="I75" s="16">
        <f>G75/E75</f>
        <v/>
      </c>
      <c r="J75" s="17" t="n">
        <v>29</v>
      </c>
      <c r="K75" s="17" t="n">
        <v>218</v>
      </c>
      <c r="L75" s="17" t="n">
        <v>9</v>
      </c>
      <c r="M75" s="16">
        <f>L75/K75</f>
        <v/>
      </c>
      <c r="N75" s="16">
        <f>L75/J75</f>
        <v/>
      </c>
      <c r="O75" s="18" t="n">
        <v>7</v>
      </c>
      <c r="P75" s="18" t="n">
        <v>1</v>
      </c>
      <c r="Q75" s="16">
        <f>P75/O75</f>
        <v/>
      </c>
      <c r="R75" s="1" t="n">
        <v>1577</v>
      </c>
      <c r="S75" s="1" t="n">
        <v>19</v>
      </c>
      <c r="T75" s="1" t="n">
        <v>2</v>
      </c>
      <c r="U75" s="1" t="n">
        <v>6</v>
      </c>
      <c r="V75" s="1" t="n">
        <v>19</v>
      </c>
      <c r="W75" s="1" t="n">
        <v>21</v>
      </c>
      <c r="X75" s="1" t="n">
        <v>12</v>
      </c>
      <c r="Y75" s="1" t="n">
        <v>0</v>
      </c>
      <c r="Z75" s="1" t="n">
        <v>26</v>
      </c>
      <c r="AA75" s="1" t="n">
        <v>0</v>
      </c>
      <c r="AB75" s="1" t="n">
        <v>2</v>
      </c>
      <c r="AC75" s="1" t="n">
        <v>12</v>
      </c>
      <c r="AD75" s="1" t="n">
        <v>0</v>
      </c>
      <c r="AE75" s="1" t="n">
        <v>7</v>
      </c>
      <c r="AF75" s="1" t="n">
        <v>3</v>
      </c>
      <c r="AG75" s="1" t="n">
        <v>7</v>
      </c>
      <c r="AH75" s="1" t="n">
        <v>3</v>
      </c>
    </row>
    <row r="76">
      <c r="A76" s="1" t="inlineStr">
        <is>
          <t>chronic granulomatous disease</t>
        </is>
      </c>
      <c r="B76" s="1" t="inlineStr">
        <is>
          <t>MONDO_0018305</t>
        </is>
      </c>
      <c r="C76" s="1" t="inlineStr">
        <is>
          <t>name</t>
        </is>
      </c>
      <c r="D76" s="1" t="n">
        <v>0.5</v>
      </c>
      <c r="E76" s="20" t="n">
        <v>4</v>
      </c>
      <c r="F76" s="20" t="n">
        <v>318</v>
      </c>
      <c r="G76" s="20" t="n">
        <v>3</v>
      </c>
      <c r="H76" s="16">
        <f>G76/F76</f>
        <v/>
      </c>
      <c r="I76" s="16">
        <f>G76/E76</f>
        <v/>
      </c>
      <c r="J76" s="17" t="n">
        <v>3</v>
      </c>
      <c r="K76" s="17" t="n">
        <v>123</v>
      </c>
      <c r="L76" s="17" t="n">
        <v>1</v>
      </c>
      <c r="M76" s="16">
        <f>L76/K76</f>
        <v/>
      </c>
      <c r="N76" s="16">
        <f>L76/J76</f>
        <v/>
      </c>
      <c r="O76" s="18" t="n">
        <v>5</v>
      </c>
      <c r="P76" s="18" t="n">
        <v>0</v>
      </c>
      <c r="Q76" s="16">
        <f>P76/O76</f>
        <v/>
      </c>
      <c r="R76" s="1" t="n">
        <v>275</v>
      </c>
      <c r="S76" s="1" t="n">
        <v>4</v>
      </c>
      <c r="T76" s="1" t="n">
        <v>1</v>
      </c>
      <c r="U76" s="1" t="n">
        <v>5</v>
      </c>
      <c r="V76" s="1" t="n">
        <v>0</v>
      </c>
      <c r="W76" s="1" t="n">
        <v>0</v>
      </c>
      <c r="X76" s="1" t="n">
        <v>0</v>
      </c>
      <c r="Y76" s="1" t="n">
        <v>1</v>
      </c>
      <c r="Z76" s="1" t="n">
        <v>0</v>
      </c>
      <c r="AA76" s="1" t="n">
        <v>1</v>
      </c>
      <c r="AB76" s="1" t="n">
        <v>0</v>
      </c>
      <c r="AC76" s="1" t="n">
        <v>2</v>
      </c>
      <c r="AD76" s="1" t="n">
        <v>0</v>
      </c>
      <c r="AE76" s="1" t="n">
        <v>2</v>
      </c>
      <c r="AF76" s="1" t="n">
        <v>0</v>
      </c>
      <c r="AG76" s="1" t="n">
        <v>0</v>
      </c>
      <c r="AH76" s="1" t="n">
        <v>0</v>
      </c>
    </row>
    <row r="77">
      <c r="A77" s="1" t="inlineStr">
        <is>
          <t>malignant pleural mesothelioma</t>
        </is>
      </c>
      <c r="B77" s="1" t="inlineStr">
        <is>
          <t>EFO_0000770</t>
        </is>
      </c>
      <c r="C77" s="1" t="inlineStr">
        <is>
          <t>name</t>
        </is>
      </c>
      <c r="D77" s="1" t="n">
        <v>0.5</v>
      </c>
      <c r="E77" s="20" t="n">
        <v>4</v>
      </c>
      <c r="F77" s="20" t="n">
        <v>220</v>
      </c>
      <c r="G77" s="20" t="n">
        <v>3</v>
      </c>
      <c r="H77" s="16">
        <f>G77/F77</f>
        <v/>
      </c>
      <c r="I77" s="16">
        <f>G77/E77</f>
        <v/>
      </c>
      <c r="J77" s="17" t="n">
        <v>3</v>
      </c>
      <c r="K77" s="17" t="n">
        <v>66</v>
      </c>
      <c r="L77" s="17" t="n">
        <v>0</v>
      </c>
      <c r="M77" s="16">
        <f>L77/K77</f>
        <v/>
      </c>
      <c r="N77" s="16">
        <f>L77/J77</f>
        <v/>
      </c>
      <c r="O77" s="18" t="n">
        <v>2</v>
      </c>
      <c r="P77" s="18" t="n">
        <v>0</v>
      </c>
      <c r="Q77" s="16">
        <f>P77/O77</f>
        <v/>
      </c>
      <c r="R77" s="1" t="n">
        <v>246</v>
      </c>
      <c r="S77" s="1" t="n">
        <v>3</v>
      </c>
      <c r="T77" s="1" t="n">
        <v>0</v>
      </c>
      <c r="U77" s="1" t="n">
        <v>5</v>
      </c>
      <c r="V77" s="1" t="n">
        <v>10</v>
      </c>
      <c r="W77" s="1" t="n">
        <v>3</v>
      </c>
      <c r="X77" s="1" t="n">
        <v>1</v>
      </c>
      <c r="Y77" s="1" t="n">
        <v>5</v>
      </c>
      <c r="Z77" s="1" t="n">
        <v>6</v>
      </c>
      <c r="AA77" s="1" t="n">
        <v>0</v>
      </c>
      <c r="AB77" s="1" t="n">
        <v>1</v>
      </c>
      <c r="AC77" s="1" t="n">
        <v>3</v>
      </c>
      <c r="AD77" s="1" t="n">
        <v>0</v>
      </c>
      <c r="AE77" s="1" t="n">
        <v>0</v>
      </c>
      <c r="AF77" s="1" t="n">
        <v>1</v>
      </c>
      <c r="AG77" s="1" t="n">
        <v>2</v>
      </c>
      <c r="AH77" s="1" t="n">
        <v>1</v>
      </c>
    </row>
    <row r="78">
      <c r="A78" s="1" t="inlineStr">
        <is>
          <t>amyotrophic lateral sclerosis</t>
        </is>
      </c>
      <c r="B78" s="1" t="inlineStr">
        <is>
          <t>MONDO_0004976</t>
        </is>
      </c>
      <c r="C78" s="1" t="inlineStr">
        <is>
          <t>name</t>
        </is>
      </c>
      <c r="D78" s="1" t="n">
        <v>0.5</v>
      </c>
      <c r="E78" s="20" t="n">
        <v>12</v>
      </c>
      <c r="F78" s="20" t="n">
        <v>343</v>
      </c>
      <c r="G78" s="20" t="n">
        <v>9</v>
      </c>
      <c r="H78" s="16">
        <f>G78/F78</f>
        <v/>
      </c>
      <c r="I78" s="16">
        <f>G78/E78</f>
        <v/>
      </c>
      <c r="J78" s="17" t="n">
        <v>25</v>
      </c>
      <c r="K78" s="17" t="n">
        <v>64</v>
      </c>
      <c r="L78" s="17" t="n">
        <v>5</v>
      </c>
      <c r="M78" s="16">
        <f>L78/K78</f>
        <v/>
      </c>
      <c r="N78" s="16">
        <f>L78/J78</f>
        <v/>
      </c>
      <c r="O78" s="18" t="n">
        <v>1</v>
      </c>
      <c r="P78" s="18" t="n">
        <v>0</v>
      </c>
      <c r="Q78" s="16">
        <f>P78/O78</f>
        <v/>
      </c>
      <c r="R78" s="1" t="n">
        <v>925</v>
      </c>
      <c r="S78" s="1" t="n">
        <v>14</v>
      </c>
      <c r="T78" s="1" t="n">
        <v>1</v>
      </c>
      <c r="U78" s="1" t="n">
        <v>5</v>
      </c>
      <c r="V78" s="1" t="n">
        <v>6</v>
      </c>
      <c r="W78" s="1" t="n">
        <v>1</v>
      </c>
      <c r="X78" s="1" t="n">
        <v>0</v>
      </c>
      <c r="Y78" s="1" t="n">
        <v>0</v>
      </c>
      <c r="Z78" s="1" t="n">
        <v>11</v>
      </c>
      <c r="AA78" s="1" t="n">
        <v>0</v>
      </c>
      <c r="AB78" s="1" t="n">
        <v>1</v>
      </c>
      <c r="AC78" s="1" t="n">
        <v>0</v>
      </c>
      <c r="AD78" s="1" t="n">
        <v>0</v>
      </c>
      <c r="AE78" s="1" t="n">
        <v>1</v>
      </c>
      <c r="AF78" s="1" t="n">
        <v>0</v>
      </c>
      <c r="AG78" s="1" t="n">
        <v>0</v>
      </c>
      <c r="AH78" s="1" t="n">
        <v>0</v>
      </c>
    </row>
    <row r="79">
      <c r="A79" s="1" t="inlineStr">
        <is>
          <t>Crohn's disease</t>
        </is>
      </c>
      <c r="B79" s="1" t="inlineStr">
        <is>
          <t>EFO_0000384</t>
        </is>
      </c>
      <c r="C79" s="1" t="inlineStr">
        <is>
          <t>name</t>
        </is>
      </c>
      <c r="D79" s="1" t="n">
        <v>0.5</v>
      </c>
      <c r="E79" s="20" t="n">
        <v>12</v>
      </c>
      <c r="F79" s="20" t="n">
        <v>332</v>
      </c>
      <c r="G79" s="20" t="n">
        <v>9</v>
      </c>
      <c r="H79" s="16">
        <f>G79/F79</f>
        <v/>
      </c>
      <c r="I79" s="16">
        <f>G79/E79</f>
        <v/>
      </c>
      <c r="J79" s="17" t="n">
        <v>27</v>
      </c>
      <c r="K79" s="17" t="n">
        <v>144</v>
      </c>
      <c r="L79" s="17" t="n">
        <v>3</v>
      </c>
      <c r="M79" s="16">
        <f>L79/K79</f>
        <v/>
      </c>
      <c r="N79" s="16">
        <f>L79/J79</f>
        <v/>
      </c>
      <c r="O79" s="18" t="n">
        <v>6</v>
      </c>
      <c r="P79" s="18" t="n">
        <v>0</v>
      </c>
      <c r="Q79" s="16">
        <f>P79/O79</f>
        <v/>
      </c>
      <c r="R79" s="1" t="n">
        <v>1283</v>
      </c>
      <c r="S79" s="1" t="n">
        <v>12</v>
      </c>
      <c r="T79" s="1" t="n">
        <v>0</v>
      </c>
      <c r="U79" s="1" t="n">
        <v>5</v>
      </c>
      <c r="V79" s="1" t="n">
        <v>7</v>
      </c>
      <c r="W79" s="1" t="n">
        <v>5</v>
      </c>
      <c r="X79" s="1" t="n">
        <v>5</v>
      </c>
      <c r="Y79" s="1" t="n">
        <v>0</v>
      </c>
      <c r="Z79" s="1" t="n">
        <v>12</v>
      </c>
      <c r="AA79" s="1" t="n">
        <v>0</v>
      </c>
      <c r="AB79" s="1" t="n">
        <v>0</v>
      </c>
      <c r="AC79" s="1" t="n">
        <v>1</v>
      </c>
      <c r="AD79" s="1" t="n">
        <v>1</v>
      </c>
      <c r="AE79" s="1" t="n">
        <v>3</v>
      </c>
      <c r="AF79" s="1" t="n">
        <v>4</v>
      </c>
      <c r="AG79" s="1" t="n">
        <v>0</v>
      </c>
      <c r="AH79" s="1" t="n">
        <v>1</v>
      </c>
    </row>
    <row r="80">
      <c r="A80" s="1" t="inlineStr">
        <is>
          <t>lung adenocarcinoma</t>
        </is>
      </c>
      <c r="B80" s="1" t="inlineStr">
        <is>
          <t>EFO_0000571</t>
        </is>
      </c>
      <c r="C80" s="1" t="inlineStr">
        <is>
          <t>name</t>
        </is>
      </c>
      <c r="D80" s="1" t="n">
        <v>0.5</v>
      </c>
      <c r="E80" s="20" t="n">
        <v>13</v>
      </c>
      <c r="F80" s="20" t="n">
        <v>146</v>
      </c>
      <c r="G80" s="20" t="n">
        <v>10</v>
      </c>
      <c r="H80" s="16">
        <f>G80/F80</f>
        <v/>
      </c>
      <c r="I80" s="16">
        <f>G80/E80</f>
        <v/>
      </c>
      <c r="J80" s="17" t="n">
        <v>6</v>
      </c>
      <c r="K80" s="17" t="n">
        <v>238</v>
      </c>
      <c r="L80" s="17" t="n">
        <v>3</v>
      </c>
      <c r="M80" s="16">
        <f>L80/K80</f>
        <v/>
      </c>
      <c r="N80" s="16">
        <f>L80/J80</f>
        <v/>
      </c>
      <c r="O80" s="18" t="n">
        <v>3</v>
      </c>
      <c r="P80" s="18" t="n">
        <v>0</v>
      </c>
      <c r="Q80" s="16">
        <f>P80/O80</f>
        <v/>
      </c>
      <c r="R80" s="1" t="n">
        <v>466</v>
      </c>
      <c r="S80" s="1" t="n">
        <v>13</v>
      </c>
      <c r="T80" s="1" t="n">
        <v>1</v>
      </c>
      <c r="U80" s="1" t="n">
        <v>10</v>
      </c>
      <c r="V80" s="1" t="n">
        <v>13</v>
      </c>
      <c r="W80" s="1" t="n">
        <v>7</v>
      </c>
      <c r="X80" s="1" t="n">
        <v>0</v>
      </c>
      <c r="Y80" s="1" t="n">
        <v>1</v>
      </c>
      <c r="Z80" s="1" t="n">
        <v>15</v>
      </c>
      <c r="AA80" s="1" t="n">
        <v>0</v>
      </c>
      <c r="AB80" s="1" t="n">
        <v>0</v>
      </c>
      <c r="AC80" s="1" t="n">
        <v>2</v>
      </c>
      <c r="AD80" s="1" t="n">
        <v>0</v>
      </c>
      <c r="AE80" s="1" t="n">
        <v>10</v>
      </c>
      <c r="AF80" s="1" t="n">
        <v>0</v>
      </c>
      <c r="AG80" s="1" t="n">
        <v>2</v>
      </c>
      <c r="AH80" s="1" t="n">
        <v>1</v>
      </c>
    </row>
    <row r="81">
      <c r="A81" s="1" t="inlineStr">
        <is>
          <t>severe acute respiratory syndrome</t>
        </is>
      </c>
      <c r="B81" s="1" t="inlineStr">
        <is>
          <t>EFO_0000694</t>
        </is>
      </c>
      <c r="C81" s="1" t="inlineStr">
        <is>
          <t>name</t>
        </is>
      </c>
      <c r="D81" s="1" t="n">
        <v>0.5</v>
      </c>
      <c r="E81" s="20" t="n">
        <v>9</v>
      </c>
      <c r="F81" s="20" t="n">
        <v>304</v>
      </c>
      <c r="G81" s="20" t="n">
        <v>7</v>
      </c>
      <c r="H81" s="16">
        <f>G81/F81</f>
        <v/>
      </c>
      <c r="I81" s="16">
        <f>G81/E81</f>
        <v/>
      </c>
      <c r="J81" s="17" t="n">
        <v>14</v>
      </c>
      <c r="K81" s="17" t="n">
        <v>631</v>
      </c>
      <c r="L81" s="17" t="n">
        <v>7</v>
      </c>
      <c r="M81" s="16">
        <f>L81/K81</f>
        <v/>
      </c>
      <c r="N81" s="16">
        <f>L81/J81</f>
        <v/>
      </c>
      <c r="O81" s="18" t="n">
        <v>16</v>
      </c>
      <c r="P81" s="18" t="n">
        <v>1</v>
      </c>
      <c r="Q81" s="16">
        <f>P81/O81</f>
        <v/>
      </c>
      <c r="R81" s="1" t="n">
        <v>694</v>
      </c>
      <c r="S81" s="1" t="n">
        <v>13</v>
      </c>
      <c r="T81" s="1" t="n">
        <v>0</v>
      </c>
      <c r="U81" s="1" t="n">
        <v>4</v>
      </c>
      <c r="V81" s="1" t="n">
        <v>5</v>
      </c>
      <c r="W81" s="1" t="n">
        <v>8</v>
      </c>
      <c r="X81" s="1" t="n">
        <v>0</v>
      </c>
      <c r="Y81" s="1" t="n">
        <v>1</v>
      </c>
      <c r="Z81" s="1" t="n">
        <v>5</v>
      </c>
      <c r="AA81" s="1" t="n">
        <v>0</v>
      </c>
      <c r="AB81" s="1" t="n">
        <v>1</v>
      </c>
      <c r="AC81" s="1" t="n">
        <v>5</v>
      </c>
      <c r="AD81" s="1" t="n">
        <v>0</v>
      </c>
      <c r="AE81" s="1" t="n">
        <v>3</v>
      </c>
      <c r="AF81" s="1" t="n">
        <v>0</v>
      </c>
      <c r="AG81" s="1" t="n">
        <v>0</v>
      </c>
      <c r="AH81" s="1" t="n">
        <v>2</v>
      </c>
    </row>
    <row r="82">
      <c r="A82" s="1" t="inlineStr">
        <is>
          <t>cystic fibrosis</t>
        </is>
      </c>
      <c r="B82" s="1" t="inlineStr">
        <is>
          <t>MONDO_0009061</t>
        </is>
      </c>
      <c r="C82" s="1" t="inlineStr">
        <is>
          <t>name</t>
        </is>
      </c>
      <c r="D82" s="1" t="n">
        <v>0.5</v>
      </c>
      <c r="E82" s="20" t="n">
        <v>5</v>
      </c>
      <c r="F82" s="20" t="n">
        <v>339</v>
      </c>
      <c r="G82" s="20" t="n">
        <v>4</v>
      </c>
      <c r="H82" s="16">
        <f>G82/F82</f>
        <v/>
      </c>
      <c r="I82" s="16">
        <f>G82/E82</f>
        <v/>
      </c>
      <c r="J82" s="17" t="n">
        <v>8</v>
      </c>
      <c r="K82" s="17" t="n">
        <v>135</v>
      </c>
      <c r="L82" s="17" t="n">
        <v>1</v>
      </c>
      <c r="M82" s="16">
        <f>L82/K82</f>
        <v/>
      </c>
      <c r="N82" s="16">
        <f>L82/J82</f>
        <v/>
      </c>
      <c r="O82" s="18" t="n">
        <v>4</v>
      </c>
      <c r="P82" s="18" t="n">
        <v>0</v>
      </c>
      <c r="Q82" s="16">
        <f>P82/O82</f>
        <v/>
      </c>
      <c r="R82" s="1" t="n">
        <v>555</v>
      </c>
      <c r="S82" s="1" t="n">
        <v>5</v>
      </c>
      <c r="T82" s="1" t="n">
        <v>0</v>
      </c>
      <c r="U82" s="1" t="n">
        <v>2</v>
      </c>
      <c r="V82" s="1" t="n">
        <v>4</v>
      </c>
      <c r="W82" s="1" t="n">
        <v>3</v>
      </c>
      <c r="X82" s="1" t="n">
        <v>0</v>
      </c>
      <c r="Y82" s="1" t="n">
        <v>0</v>
      </c>
      <c r="Z82" s="1" t="n">
        <v>7</v>
      </c>
      <c r="AA82" s="1" t="n">
        <v>0</v>
      </c>
      <c r="AB82" s="1" t="n">
        <v>0</v>
      </c>
      <c r="AC82" s="1" t="n">
        <v>1</v>
      </c>
      <c r="AD82" s="1" t="n">
        <v>0</v>
      </c>
      <c r="AE82" s="1" t="n">
        <v>1</v>
      </c>
      <c r="AF82" s="1" t="n">
        <v>0</v>
      </c>
      <c r="AG82" s="1" t="n">
        <v>0</v>
      </c>
      <c r="AH82" s="1" t="n">
        <v>0</v>
      </c>
    </row>
    <row r="83">
      <c r="A83" s="1" t="inlineStr">
        <is>
          <t>acute myocardial infarction</t>
        </is>
      </c>
      <c r="B83" s="1" t="inlineStr">
        <is>
          <t>EFO_0008583</t>
        </is>
      </c>
      <c r="C83" s="1" t="inlineStr">
        <is>
          <t>name</t>
        </is>
      </c>
      <c r="D83" s="1" t="n">
        <v>0.5</v>
      </c>
      <c r="E83" s="20" t="n">
        <v>5</v>
      </c>
      <c r="F83" s="20" t="n">
        <v>338</v>
      </c>
      <c r="G83" s="20" t="n">
        <v>4</v>
      </c>
      <c r="H83" s="16">
        <f>G83/F83</f>
        <v/>
      </c>
      <c r="I83" s="16">
        <f>G83/E83</f>
        <v/>
      </c>
      <c r="J83" s="17" t="n">
        <v>7</v>
      </c>
      <c r="K83" s="17" t="n">
        <v>72</v>
      </c>
      <c r="L83" s="17" t="n">
        <v>2</v>
      </c>
      <c r="M83" s="16">
        <f>L83/K83</f>
        <v/>
      </c>
      <c r="N83" s="16">
        <f>L83/J83</f>
        <v/>
      </c>
      <c r="O83" s="18" t="n">
        <v>3</v>
      </c>
      <c r="P83" s="18" t="n">
        <v>1</v>
      </c>
      <c r="Q83" s="16">
        <f>P83/O83</f>
        <v/>
      </c>
      <c r="R83" s="1" t="n">
        <v>552</v>
      </c>
      <c r="S83" s="1" t="n">
        <v>5</v>
      </c>
      <c r="T83" s="1" t="n">
        <v>0</v>
      </c>
      <c r="U83" s="1" t="n">
        <v>0</v>
      </c>
      <c r="V83" s="1" t="n">
        <v>3</v>
      </c>
      <c r="W83" s="1" t="n">
        <v>4</v>
      </c>
      <c r="X83" s="1" t="n">
        <v>1</v>
      </c>
      <c r="Y83" s="1" t="n">
        <v>0</v>
      </c>
      <c r="Z83" s="1" t="n">
        <v>3</v>
      </c>
      <c r="AA83" s="1" t="n">
        <v>0</v>
      </c>
      <c r="AB83" s="1" t="n">
        <v>0</v>
      </c>
      <c r="AC83" s="1" t="n">
        <v>2</v>
      </c>
      <c r="AD83" s="1" t="n">
        <v>0</v>
      </c>
      <c r="AE83" s="1" t="n">
        <v>0</v>
      </c>
      <c r="AF83" s="1" t="n">
        <v>0</v>
      </c>
      <c r="AG83" s="1" t="n">
        <v>2</v>
      </c>
      <c r="AH83" s="1" t="n">
        <v>1</v>
      </c>
    </row>
    <row r="84">
      <c r="A84" s="1" t="inlineStr">
        <is>
          <t>Duchenne muscular dystrophy</t>
        </is>
      </c>
      <c r="B84" s="1" t="inlineStr">
        <is>
          <t>MONDO_0010679</t>
        </is>
      </c>
      <c r="C84" s="1" t="inlineStr">
        <is>
          <t>name</t>
        </is>
      </c>
      <c r="D84" s="1" t="n">
        <v>0.5</v>
      </c>
      <c r="E84" s="20" t="n">
        <v>6</v>
      </c>
      <c r="F84" s="20" t="n">
        <v>317</v>
      </c>
      <c r="G84" s="20" t="n">
        <v>5</v>
      </c>
      <c r="H84" s="16">
        <f>G84/F84</f>
        <v/>
      </c>
      <c r="I84" s="16">
        <f>G84/E84</f>
        <v/>
      </c>
      <c r="J84" s="17" t="n">
        <v>8</v>
      </c>
      <c r="K84" s="17" t="n">
        <v>9</v>
      </c>
      <c r="L84" s="17" t="n">
        <v>0</v>
      </c>
      <c r="M84" s="16">
        <f>L84/K84</f>
        <v/>
      </c>
      <c r="N84" s="16">
        <f>L84/J84</f>
        <v/>
      </c>
      <c r="O84" s="18" t="n">
        <v>0</v>
      </c>
      <c r="P84" s="18" t="n">
        <v>0</v>
      </c>
      <c r="Q84" s="16">
        <f>P84/O84</f>
        <v/>
      </c>
      <c r="R84" s="1" t="n">
        <v>429</v>
      </c>
      <c r="S84" s="1" t="n">
        <v>5</v>
      </c>
      <c r="T84" s="1" t="n">
        <v>2</v>
      </c>
      <c r="U84" s="1" t="n">
        <v>2</v>
      </c>
      <c r="V84" s="1" t="n">
        <v>5</v>
      </c>
      <c r="W84" s="1" t="n">
        <v>5</v>
      </c>
      <c r="X84" s="1" t="n">
        <v>1</v>
      </c>
      <c r="Y84" s="1" t="n">
        <v>0</v>
      </c>
      <c r="Z84" s="1" t="n">
        <v>7</v>
      </c>
      <c r="AA84" s="1" t="n">
        <v>1</v>
      </c>
      <c r="AB84" s="1" t="n">
        <v>0</v>
      </c>
      <c r="AC84" s="1" t="n">
        <v>2</v>
      </c>
      <c r="AD84" s="1" t="n">
        <v>0</v>
      </c>
      <c r="AE84" s="1" t="n">
        <v>4</v>
      </c>
      <c r="AF84" s="1" t="n">
        <v>1</v>
      </c>
      <c r="AG84" s="1" t="n">
        <v>0</v>
      </c>
      <c r="AH84" s="1" t="n">
        <v>0</v>
      </c>
    </row>
    <row r="85">
      <c r="A85" s="1" t="inlineStr">
        <is>
          <t>influenza</t>
        </is>
      </c>
      <c r="B85" s="1" t="inlineStr">
        <is>
          <t>EFO_0007328</t>
        </is>
      </c>
      <c r="C85" s="1" t="inlineStr">
        <is>
          <t>name</t>
        </is>
      </c>
      <c r="D85" s="1" t="n">
        <v>0.5</v>
      </c>
      <c r="E85" s="20" t="n">
        <v>6</v>
      </c>
      <c r="F85" s="20" t="n">
        <v>297</v>
      </c>
      <c r="G85" s="20" t="n">
        <v>5</v>
      </c>
      <c r="H85" s="16">
        <f>G85/F85</f>
        <v/>
      </c>
      <c r="I85" s="16">
        <f>G85/E85</f>
        <v/>
      </c>
      <c r="J85" s="17" t="n">
        <v>19</v>
      </c>
      <c r="K85" s="17" t="n">
        <v>163</v>
      </c>
      <c r="L85" s="17" t="n">
        <v>4</v>
      </c>
      <c r="M85" s="16">
        <f>L85/K85</f>
        <v/>
      </c>
      <c r="N85" s="16">
        <f>L85/J85</f>
        <v/>
      </c>
      <c r="O85" s="18" t="n">
        <v>6</v>
      </c>
      <c r="P85" s="18" t="n">
        <v>0</v>
      </c>
      <c r="Q85" s="16">
        <f>P85/O85</f>
        <v/>
      </c>
      <c r="R85" s="1" t="n">
        <v>813</v>
      </c>
      <c r="S85" s="1" t="n">
        <v>9</v>
      </c>
      <c r="T85" s="1" t="n">
        <v>0</v>
      </c>
      <c r="U85" s="1" t="n">
        <v>1</v>
      </c>
      <c r="V85" s="1" t="n">
        <v>1</v>
      </c>
      <c r="W85" s="1" t="n">
        <v>8</v>
      </c>
      <c r="X85" s="1" t="n">
        <v>0</v>
      </c>
      <c r="Y85" s="1" t="n">
        <v>0</v>
      </c>
      <c r="Z85" s="1" t="n">
        <v>2</v>
      </c>
      <c r="AA85" s="1" t="n">
        <v>0</v>
      </c>
      <c r="AB85" s="1" t="n">
        <v>1</v>
      </c>
      <c r="AC85" s="1" t="n">
        <v>5</v>
      </c>
      <c r="AD85" s="1" t="n">
        <v>0</v>
      </c>
      <c r="AE85" s="1" t="n">
        <v>2</v>
      </c>
      <c r="AF85" s="1" t="n">
        <v>0</v>
      </c>
      <c r="AG85" s="1" t="n">
        <v>0</v>
      </c>
      <c r="AH85" s="1" t="n">
        <v>0</v>
      </c>
    </row>
    <row r="86">
      <c r="A86" s="1" t="inlineStr">
        <is>
          <t>breast adenocarcinoma</t>
        </is>
      </c>
      <c r="B86" s="1" t="inlineStr">
        <is>
          <t>EFO_0000304</t>
        </is>
      </c>
      <c r="C86" s="1" t="inlineStr">
        <is>
          <t>name</t>
        </is>
      </c>
      <c r="D86" s="1" t="n">
        <v>0.5</v>
      </c>
      <c r="E86" s="20" t="n">
        <v>12</v>
      </c>
      <c r="F86" s="20" t="n">
        <v>274</v>
      </c>
      <c r="G86" s="20" t="n">
        <v>10</v>
      </c>
      <c r="H86" s="16">
        <f>G86/F86</f>
        <v/>
      </c>
      <c r="I86" s="16">
        <f>G86/E86</f>
        <v/>
      </c>
      <c r="J86" s="17" t="n">
        <v>9</v>
      </c>
      <c r="K86" s="17" t="n">
        <v>164</v>
      </c>
      <c r="L86" s="17" t="n">
        <v>3</v>
      </c>
      <c r="M86" s="16">
        <f>L86/K86</f>
        <v/>
      </c>
      <c r="N86" s="16">
        <f>L86/J86</f>
        <v/>
      </c>
      <c r="O86" s="18" t="n">
        <v>9</v>
      </c>
      <c r="P86" s="18" t="n">
        <v>0</v>
      </c>
      <c r="Q86" s="16">
        <f>P86/O86</f>
        <v/>
      </c>
      <c r="R86" s="1" t="n">
        <v>512</v>
      </c>
      <c r="S86" s="1" t="n">
        <v>13</v>
      </c>
      <c r="T86" s="1" t="n">
        <v>0</v>
      </c>
      <c r="U86" s="1" t="n">
        <v>5</v>
      </c>
      <c r="V86" s="1" t="n">
        <v>5</v>
      </c>
      <c r="W86" s="1" t="n">
        <v>12</v>
      </c>
      <c r="X86" s="1" t="n">
        <v>0</v>
      </c>
      <c r="Y86" s="1" t="n">
        <v>11</v>
      </c>
      <c r="Z86" s="1" t="n">
        <v>6</v>
      </c>
      <c r="AA86" s="1" t="n">
        <v>0</v>
      </c>
      <c r="AB86" s="1" t="n">
        <v>0</v>
      </c>
      <c r="AC86" s="1" t="n">
        <v>1</v>
      </c>
      <c r="AD86" s="1" t="n">
        <v>2</v>
      </c>
      <c r="AE86" s="1" t="n">
        <v>2</v>
      </c>
      <c r="AF86" s="1" t="n">
        <v>0</v>
      </c>
      <c r="AG86" s="1" t="n">
        <v>0</v>
      </c>
      <c r="AH86" s="1" t="n">
        <v>0</v>
      </c>
    </row>
    <row r="87">
      <c r="A87" s="1" t="inlineStr">
        <is>
          <t>colorectal adenocarcinoma</t>
        </is>
      </c>
      <c r="B87" s="1" t="inlineStr">
        <is>
          <t>EFO_0000365</t>
        </is>
      </c>
      <c r="C87" s="1" t="inlineStr">
        <is>
          <t>name</t>
        </is>
      </c>
      <c r="D87" s="1" t="n">
        <v>0.5</v>
      </c>
      <c r="E87" s="20" t="n">
        <v>19</v>
      </c>
      <c r="F87" s="20" t="n">
        <v>282</v>
      </c>
      <c r="G87" s="20" t="n">
        <v>16</v>
      </c>
      <c r="H87" s="16">
        <f>G87/F87</f>
        <v/>
      </c>
      <c r="I87" s="16">
        <f>G87/E87</f>
        <v/>
      </c>
      <c r="J87" s="17" t="n">
        <v>12</v>
      </c>
      <c r="K87" s="17" t="n">
        <v>88</v>
      </c>
      <c r="L87" s="17" t="n">
        <v>1</v>
      </c>
      <c r="M87" s="16">
        <f>L87/K87</f>
        <v/>
      </c>
      <c r="N87" s="16">
        <f>L87/J87</f>
        <v/>
      </c>
      <c r="O87" s="18" t="n">
        <v>4</v>
      </c>
      <c r="P87" s="18" t="n">
        <v>0</v>
      </c>
      <c r="Q87" s="16">
        <f>P87/O87</f>
        <v/>
      </c>
      <c r="R87" s="1" t="n">
        <v>743</v>
      </c>
      <c r="S87" s="1" t="n">
        <v>17</v>
      </c>
      <c r="T87" s="1" t="n">
        <v>0</v>
      </c>
      <c r="U87" s="1" t="n">
        <v>13</v>
      </c>
      <c r="V87" s="1" t="n">
        <v>21</v>
      </c>
      <c r="W87" s="1" t="n">
        <v>4</v>
      </c>
      <c r="X87" s="1" t="n">
        <v>0</v>
      </c>
      <c r="Y87" s="1" t="n">
        <v>10</v>
      </c>
      <c r="Z87" s="1" t="n">
        <v>14</v>
      </c>
      <c r="AA87" s="1" t="n">
        <v>0</v>
      </c>
      <c r="AB87" s="1" t="n">
        <v>0</v>
      </c>
      <c r="AC87" s="1" t="n">
        <v>3</v>
      </c>
      <c r="AD87" s="1" t="n">
        <v>0</v>
      </c>
      <c r="AE87" s="1" t="n">
        <v>5</v>
      </c>
      <c r="AF87" s="1" t="n">
        <v>0</v>
      </c>
      <c r="AG87" s="1" t="n">
        <v>3</v>
      </c>
      <c r="AH87" s="1" t="n">
        <v>3</v>
      </c>
    </row>
    <row r="88">
      <c r="A88" s="1" t="inlineStr">
        <is>
          <t>myocardial infarction</t>
        </is>
      </c>
      <c r="B88" s="1" t="inlineStr">
        <is>
          <t>EFO_0000612</t>
        </is>
      </c>
      <c r="C88" s="1" t="inlineStr">
        <is>
          <t>name</t>
        </is>
      </c>
      <c r="D88" s="1" t="n">
        <v>0.5</v>
      </c>
      <c r="E88" s="20" t="n">
        <v>13</v>
      </c>
      <c r="F88" s="20" t="n">
        <v>338</v>
      </c>
      <c r="G88" s="20" t="n">
        <v>11</v>
      </c>
      <c r="H88" s="16">
        <f>G88/F88</f>
        <v/>
      </c>
      <c r="I88" s="16">
        <f>G88/E88</f>
        <v/>
      </c>
      <c r="J88" s="17" t="n">
        <v>30</v>
      </c>
      <c r="K88" s="17" t="n">
        <v>466</v>
      </c>
      <c r="L88" s="17" t="n">
        <v>9</v>
      </c>
      <c r="M88" s="16">
        <f>L88/K88</f>
        <v/>
      </c>
      <c r="N88" s="16">
        <f>L88/J88</f>
        <v/>
      </c>
      <c r="O88" s="18" t="n">
        <v>20</v>
      </c>
      <c r="P88" s="18" t="n">
        <v>1</v>
      </c>
      <c r="Q88" s="16">
        <f>P88/O88</f>
        <v/>
      </c>
      <c r="R88" s="1" t="n">
        <v>1312</v>
      </c>
      <c r="S88" s="1" t="n">
        <v>19</v>
      </c>
      <c r="T88" s="1" t="n">
        <v>0</v>
      </c>
      <c r="U88" s="1" t="n">
        <v>1</v>
      </c>
      <c r="V88" s="1" t="n">
        <v>8</v>
      </c>
      <c r="W88" s="1" t="n">
        <v>10</v>
      </c>
      <c r="X88" s="1" t="n">
        <v>9</v>
      </c>
      <c r="Y88" s="1" t="n">
        <v>0</v>
      </c>
      <c r="Z88" s="1" t="n">
        <v>13</v>
      </c>
      <c r="AA88" s="1" t="n">
        <v>0</v>
      </c>
      <c r="AB88" s="1" t="n">
        <v>2</v>
      </c>
      <c r="AC88" s="1" t="n">
        <v>1</v>
      </c>
      <c r="AD88" s="1" t="n">
        <v>0</v>
      </c>
      <c r="AE88" s="1" t="n">
        <v>3</v>
      </c>
      <c r="AF88" s="1" t="n">
        <v>6</v>
      </c>
      <c r="AG88" s="1" t="n">
        <v>3</v>
      </c>
      <c r="AH88" s="1" t="n">
        <v>0</v>
      </c>
    </row>
    <row r="89">
      <c r="A89" s="1" t="inlineStr">
        <is>
          <t>inflammatory bowel disease</t>
        </is>
      </c>
      <c r="B89" s="1" t="inlineStr">
        <is>
          <t>EFO_0003767</t>
        </is>
      </c>
      <c r="C89" s="1" t="inlineStr">
        <is>
          <t>name</t>
        </is>
      </c>
      <c r="D89" s="1" t="n">
        <v>0.5</v>
      </c>
      <c r="E89" s="20" t="n">
        <v>7</v>
      </c>
      <c r="F89" s="20" t="n">
        <v>346</v>
      </c>
      <c r="G89" s="20" t="n">
        <v>6</v>
      </c>
      <c r="H89" s="16">
        <f>G89/F89</f>
        <v/>
      </c>
      <c r="I89" s="16">
        <f>G89/E89</f>
        <v/>
      </c>
      <c r="J89" s="17" t="n">
        <v>11</v>
      </c>
      <c r="K89" s="17" t="n">
        <v>157</v>
      </c>
      <c r="L89" s="17" t="n">
        <v>2</v>
      </c>
      <c r="M89" s="16">
        <f>L89/K89</f>
        <v/>
      </c>
      <c r="N89" s="16">
        <f>L89/J89</f>
        <v/>
      </c>
      <c r="O89" s="18" t="n">
        <v>8</v>
      </c>
      <c r="P89" s="18" t="n">
        <v>1</v>
      </c>
      <c r="Q89" s="16">
        <f>P89/O89</f>
        <v/>
      </c>
      <c r="R89" s="1" t="n">
        <v>538</v>
      </c>
      <c r="S89" s="1" t="n">
        <v>7</v>
      </c>
      <c r="T89" s="1" t="n">
        <v>0</v>
      </c>
      <c r="U89" s="1" t="n">
        <v>1</v>
      </c>
      <c r="V89" s="1" t="n">
        <v>6</v>
      </c>
      <c r="W89" s="1" t="n">
        <v>0</v>
      </c>
      <c r="X89" s="1" t="n">
        <v>0</v>
      </c>
      <c r="Y89" s="1" t="n">
        <v>0</v>
      </c>
      <c r="Z89" s="1" t="n">
        <v>2</v>
      </c>
      <c r="AA89" s="1" t="n">
        <v>0</v>
      </c>
      <c r="AB89" s="1" t="n">
        <v>0</v>
      </c>
      <c r="AC89" s="1" t="n">
        <v>2</v>
      </c>
      <c r="AD89" s="1" t="n">
        <v>0</v>
      </c>
      <c r="AE89" s="1" t="n">
        <v>3</v>
      </c>
      <c r="AF89" s="1" t="n">
        <v>0</v>
      </c>
      <c r="AG89" s="1" t="n">
        <v>0</v>
      </c>
      <c r="AH89" s="1" t="n">
        <v>0</v>
      </c>
    </row>
    <row r="90">
      <c r="A90" s="1" t="inlineStr">
        <is>
          <t>acne</t>
        </is>
      </c>
      <c r="B90" s="1" t="inlineStr">
        <is>
          <t>EFO_0003894</t>
        </is>
      </c>
      <c r="C90" s="1" t="inlineStr">
        <is>
          <t>name</t>
        </is>
      </c>
      <c r="D90" s="1" t="n">
        <v>0.5</v>
      </c>
      <c r="E90" s="20" t="n">
        <v>7</v>
      </c>
      <c r="F90" s="20" t="n">
        <v>289</v>
      </c>
      <c r="G90" s="20" t="n">
        <v>6</v>
      </c>
      <c r="H90" s="16">
        <f>G90/F90</f>
        <v/>
      </c>
      <c r="I90" s="16">
        <f>G90/E90</f>
        <v/>
      </c>
      <c r="J90" s="17" t="n">
        <v>11</v>
      </c>
      <c r="K90" s="17" t="n">
        <v>168</v>
      </c>
      <c r="L90" s="17" t="n">
        <v>2</v>
      </c>
      <c r="M90" s="16">
        <f>L90/K90</f>
        <v/>
      </c>
      <c r="N90" s="16">
        <f>L90/J90</f>
        <v/>
      </c>
      <c r="O90" s="18" t="n">
        <v>9</v>
      </c>
      <c r="P90" s="18" t="n">
        <v>0</v>
      </c>
      <c r="Q90" s="16">
        <f>P90/O90</f>
        <v/>
      </c>
      <c r="R90" s="1" t="n">
        <v>394</v>
      </c>
      <c r="S90" s="1" t="n">
        <v>8</v>
      </c>
      <c r="T90" s="1" t="n">
        <v>1</v>
      </c>
      <c r="U90" s="1" t="n">
        <v>5</v>
      </c>
      <c r="V90" s="1" t="n">
        <v>8</v>
      </c>
      <c r="W90" s="1" t="n">
        <v>5</v>
      </c>
      <c r="X90" s="1" t="n">
        <v>11</v>
      </c>
      <c r="Y90" s="1" t="n">
        <v>1</v>
      </c>
      <c r="Z90" s="1" t="n">
        <v>15</v>
      </c>
      <c r="AA90" s="1" t="n">
        <v>0</v>
      </c>
      <c r="AB90" s="1" t="n">
        <v>0</v>
      </c>
      <c r="AC90" s="1" t="n">
        <v>2</v>
      </c>
      <c r="AD90" s="1" t="n">
        <v>0</v>
      </c>
      <c r="AE90" s="1" t="n">
        <v>2</v>
      </c>
      <c r="AF90" s="1" t="n">
        <v>5</v>
      </c>
      <c r="AG90" s="1" t="n">
        <v>5</v>
      </c>
      <c r="AH90" s="1" t="n">
        <v>0</v>
      </c>
    </row>
    <row r="91">
      <c r="A91" s="1" t="inlineStr">
        <is>
          <t>pulmonary hypertension</t>
        </is>
      </c>
      <c r="B91" s="1" t="inlineStr">
        <is>
          <t>MONDO_0005149</t>
        </is>
      </c>
      <c r="C91" s="1" t="inlineStr">
        <is>
          <t>name</t>
        </is>
      </c>
      <c r="D91" s="1" t="n">
        <v>0.5</v>
      </c>
      <c r="E91" s="20" t="n">
        <v>7</v>
      </c>
      <c r="F91" s="20" t="n">
        <v>213</v>
      </c>
      <c r="G91" s="20" t="n">
        <v>6</v>
      </c>
      <c r="H91" s="16">
        <f>G91/F91</f>
        <v/>
      </c>
      <c r="I91" s="16">
        <f>G91/E91</f>
        <v/>
      </c>
      <c r="J91" s="17" t="n">
        <v>8</v>
      </c>
      <c r="K91" s="17" t="n">
        <v>786</v>
      </c>
      <c r="L91" s="17" t="n">
        <v>5</v>
      </c>
      <c r="M91" s="16">
        <f>L91/K91</f>
        <v/>
      </c>
      <c r="N91" s="16">
        <f>L91/J91</f>
        <v/>
      </c>
      <c r="O91" s="18" t="n">
        <v>13</v>
      </c>
      <c r="P91" s="18" t="n">
        <v>0</v>
      </c>
      <c r="Q91" s="16">
        <f>P91/O91</f>
        <v/>
      </c>
      <c r="R91" s="1" t="n">
        <v>447</v>
      </c>
      <c r="S91" s="1" t="n">
        <v>11</v>
      </c>
      <c r="T91" s="1" t="n">
        <v>1</v>
      </c>
      <c r="U91" s="1" t="n">
        <v>4</v>
      </c>
      <c r="V91" s="1" t="n">
        <v>10</v>
      </c>
      <c r="W91" s="1" t="n">
        <v>8</v>
      </c>
      <c r="X91" s="1" t="n">
        <v>4</v>
      </c>
      <c r="Y91" s="1" t="n">
        <v>0</v>
      </c>
      <c r="Z91" s="1" t="n">
        <v>15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5</v>
      </c>
      <c r="AF91" s="1" t="n">
        <v>3</v>
      </c>
      <c r="AG91" s="1" t="n">
        <v>2</v>
      </c>
      <c r="AH91" s="1" t="n">
        <v>2</v>
      </c>
    </row>
    <row r="92">
      <c r="A92" s="1" t="inlineStr">
        <is>
          <t>tuberculosis</t>
        </is>
      </c>
      <c r="B92" s="1" t="inlineStr">
        <is>
          <t>MONDO_0018076</t>
        </is>
      </c>
      <c r="C92" s="1" t="inlineStr">
        <is>
          <t>name</t>
        </is>
      </c>
      <c r="D92" s="1" t="n">
        <v>0.5</v>
      </c>
      <c r="E92" s="20" t="n">
        <v>9</v>
      </c>
      <c r="F92" s="20" t="n">
        <v>339</v>
      </c>
      <c r="G92" s="20" t="n">
        <v>8</v>
      </c>
      <c r="H92" s="16">
        <f>G92/F92</f>
        <v/>
      </c>
      <c r="I92" s="16">
        <f>G92/E92</f>
        <v/>
      </c>
      <c r="J92" s="17" t="n">
        <v>12</v>
      </c>
      <c r="K92" s="17" t="n">
        <v>767</v>
      </c>
      <c r="L92" s="17" t="n">
        <v>6</v>
      </c>
      <c r="M92" s="16">
        <f>L92/K92</f>
        <v/>
      </c>
      <c r="N92" s="16">
        <f>L92/J92</f>
        <v/>
      </c>
      <c r="O92" s="18" t="n">
        <v>37</v>
      </c>
      <c r="P92" s="18" t="n">
        <v>1</v>
      </c>
      <c r="Q92" s="16">
        <f>P92/O92</f>
        <v/>
      </c>
      <c r="R92" s="1" t="n">
        <v>589</v>
      </c>
      <c r="S92" s="1" t="n">
        <v>13</v>
      </c>
      <c r="T92" s="1" t="n">
        <v>0</v>
      </c>
      <c r="U92" s="1" t="n">
        <v>4</v>
      </c>
      <c r="V92" s="1" t="n">
        <v>7</v>
      </c>
      <c r="W92" s="1" t="n">
        <v>3</v>
      </c>
      <c r="X92" s="1" t="n">
        <v>0</v>
      </c>
      <c r="Y92" s="1" t="n">
        <v>0</v>
      </c>
      <c r="Z92" s="1" t="n">
        <v>5</v>
      </c>
      <c r="AA92" s="1" t="n">
        <v>0</v>
      </c>
      <c r="AB92" s="1" t="n">
        <v>3</v>
      </c>
      <c r="AC92" s="1" t="n">
        <v>3</v>
      </c>
      <c r="AD92" s="1" t="n">
        <v>0</v>
      </c>
      <c r="AE92" s="1" t="n">
        <v>0</v>
      </c>
      <c r="AF92" s="1" t="n">
        <v>0</v>
      </c>
      <c r="AG92" s="1" t="n">
        <v>2</v>
      </c>
      <c r="AH92" s="1" t="n">
        <v>1</v>
      </c>
    </row>
    <row r="93">
      <c r="A93" s="1" t="inlineStr">
        <is>
          <t>inclusion body myositis</t>
        </is>
      </c>
      <c r="B93" s="1" t="inlineStr">
        <is>
          <t>EFO_0007323</t>
        </is>
      </c>
      <c r="C93" s="1" t="inlineStr">
        <is>
          <t>name</t>
        </is>
      </c>
      <c r="D93" s="1" t="n">
        <v>0.5</v>
      </c>
      <c r="E93" s="20" t="n">
        <v>1</v>
      </c>
      <c r="F93" s="20" t="n">
        <v>362</v>
      </c>
      <c r="G93" s="20" t="n">
        <v>1</v>
      </c>
      <c r="H93" s="16">
        <f>G93/F93</f>
        <v/>
      </c>
      <c r="I93" s="16">
        <f>G93/E93</f>
        <v/>
      </c>
      <c r="J93" s="17" t="n">
        <v>1</v>
      </c>
      <c r="K93" s="17" t="n">
        <v>57</v>
      </c>
      <c r="L93" s="17" t="n">
        <v>1</v>
      </c>
      <c r="M93" s="16">
        <f>L93/K93</f>
        <v/>
      </c>
      <c r="N93" s="16">
        <f>L93/J93</f>
        <v/>
      </c>
      <c r="O93" s="18" t="n">
        <v>5</v>
      </c>
      <c r="P93" s="18" t="n">
        <v>0</v>
      </c>
      <c r="Q93" s="16">
        <f>P93/O93</f>
        <v/>
      </c>
      <c r="R93" s="1" t="n">
        <v>69</v>
      </c>
      <c r="S93" s="1" t="n">
        <v>2</v>
      </c>
      <c r="T93" s="1" t="n">
        <v>0</v>
      </c>
      <c r="U93" s="1" t="n">
        <v>0</v>
      </c>
      <c r="V93" s="1" t="n">
        <v>1</v>
      </c>
      <c r="W93" s="1" t="n">
        <v>1</v>
      </c>
      <c r="X93" s="1" t="n">
        <v>0</v>
      </c>
      <c r="Y93" s="1" t="n">
        <v>0</v>
      </c>
      <c r="Z93" s="1" t="n">
        <v>1</v>
      </c>
      <c r="AA93" s="1" t="n">
        <v>0</v>
      </c>
      <c r="AB93" s="1" t="n">
        <v>0</v>
      </c>
      <c r="AC93" s="1" t="n">
        <v>1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</row>
    <row r="94">
      <c r="A94" s="1" t="inlineStr">
        <is>
          <t>adenoma</t>
        </is>
      </c>
      <c r="B94" s="1" t="inlineStr">
        <is>
          <t>EFO_0000232</t>
        </is>
      </c>
      <c r="C94" s="1" t="inlineStr">
        <is>
          <t>name</t>
        </is>
      </c>
      <c r="D94" s="1" t="n">
        <v>0.5</v>
      </c>
      <c r="E94" s="20" t="n">
        <v>1</v>
      </c>
      <c r="F94" s="20" t="n">
        <v>321</v>
      </c>
      <c r="G94" s="20" t="n">
        <v>1</v>
      </c>
      <c r="H94" s="16">
        <f>G94/F94</f>
        <v/>
      </c>
      <c r="I94" s="16">
        <f>G94/E94</f>
        <v/>
      </c>
      <c r="J94" s="17" t="n">
        <v>2</v>
      </c>
      <c r="K94" s="17" t="n">
        <v>74</v>
      </c>
      <c r="L94" s="17" t="n">
        <v>1</v>
      </c>
      <c r="M94" s="16">
        <f>L94/K94</f>
        <v/>
      </c>
      <c r="N94" s="16">
        <f>L94/J94</f>
        <v/>
      </c>
      <c r="O94" s="18" t="n">
        <v>6</v>
      </c>
      <c r="P94" s="18" t="n">
        <v>0</v>
      </c>
      <c r="Q94" s="16">
        <f>P94/O94</f>
        <v/>
      </c>
      <c r="R94" s="1" t="n">
        <v>198</v>
      </c>
      <c r="S94" s="1" t="n">
        <v>2</v>
      </c>
      <c r="T94" s="1" t="n">
        <v>0</v>
      </c>
      <c r="U94" s="1" t="n">
        <v>0</v>
      </c>
      <c r="V94" s="1" t="n">
        <v>2</v>
      </c>
      <c r="W94" s="1" t="n">
        <v>0</v>
      </c>
      <c r="X94" s="1" t="n">
        <v>0</v>
      </c>
      <c r="Y94" s="1" t="n">
        <v>0</v>
      </c>
      <c r="Z94" s="1" t="n">
        <v>2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</row>
    <row r="95">
      <c r="A95" s="1" t="inlineStr">
        <is>
          <t>colitis</t>
        </is>
      </c>
      <c r="B95" s="1" t="inlineStr">
        <is>
          <t>EFO_0003872</t>
        </is>
      </c>
      <c r="C95" s="1" t="inlineStr">
        <is>
          <t>name</t>
        </is>
      </c>
      <c r="D95" s="1" t="n">
        <v>0.5</v>
      </c>
      <c r="E95" s="20" t="n">
        <v>1</v>
      </c>
      <c r="F95" s="20" t="n">
        <v>311</v>
      </c>
      <c r="G95" s="20" t="n">
        <v>1</v>
      </c>
      <c r="H95" s="16">
        <f>G95/F95</f>
        <v/>
      </c>
      <c r="I95" s="16">
        <f>G95/E95</f>
        <v/>
      </c>
      <c r="J95" s="17" t="n">
        <v>5</v>
      </c>
      <c r="K95" s="17" t="n">
        <v>102</v>
      </c>
      <c r="L95" s="17" t="n">
        <v>0</v>
      </c>
      <c r="M95" s="16">
        <f>L95/K95</f>
        <v/>
      </c>
      <c r="N95" s="16">
        <f>L95/J95</f>
        <v/>
      </c>
      <c r="O95" s="18" t="n">
        <v>5</v>
      </c>
      <c r="P95" s="18" t="n">
        <v>0</v>
      </c>
      <c r="Q95" s="16">
        <f>P95/O95</f>
        <v/>
      </c>
      <c r="R95" s="1" t="n">
        <v>202</v>
      </c>
      <c r="S95" s="1" t="n">
        <v>1</v>
      </c>
      <c r="T95" s="1" t="n">
        <v>0</v>
      </c>
      <c r="U95" s="1" t="n">
        <v>0</v>
      </c>
      <c r="V95" s="1" t="n">
        <v>1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1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</row>
    <row r="96">
      <c r="A96" s="1" t="inlineStr">
        <is>
          <t>large cell neuroendocrine carcinoma</t>
        </is>
      </c>
      <c r="B96" s="1" t="inlineStr">
        <is>
          <t>EFO_0000563</t>
        </is>
      </c>
      <c r="C96" s="1" t="inlineStr">
        <is>
          <t>name</t>
        </is>
      </c>
      <c r="D96" s="1" t="n">
        <v>0.5</v>
      </c>
      <c r="E96" s="20" t="n">
        <v>1</v>
      </c>
      <c r="F96" s="20" t="n">
        <v>297</v>
      </c>
      <c r="G96" s="20" t="n">
        <v>1</v>
      </c>
      <c r="H96" s="16">
        <f>G96/F96</f>
        <v/>
      </c>
      <c r="I96" s="16">
        <f>G96/E96</f>
        <v/>
      </c>
      <c r="J96" s="17" t="n">
        <v>0</v>
      </c>
      <c r="K96" s="17" t="n">
        <v>48</v>
      </c>
      <c r="L96" s="17" t="n">
        <v>0</v>
      </c>
      <c r="M96" s="16">
        <f>L96/K96</f>
        <v/>
      </c>
      <c r="N96" s="16">
        <f>L96/J96</f>
        <v/>
      </c>
      <c r="O96" s="18" t="n">
        <v>1</v>
      </c>
      <c r="P96" s="18" t="n">
        <v>0</v>
      </c>
      <c r="Q96" s="16">
        <f>P96/O96</f>
        <v/>
      </c>
      <c r="R96" s="1" t="n">
        <v>31</v>
      </c>
      <c r="S96" s="1" t="n">
        <v>1</v>
      </c>
      <c r="T96" s="1" t="n">
        <v>0</v>
      </c>
      <c r="U96" s="1" t="n">
        <v>0</v>
      </c>
      <c r="V96" s="1" t="n">
        <v>1</v>
      </c>
      <c r="W96" s="1" t="n">
        <v>0</v>
      </c>
      <c r="X96" s="1" t="n">
        <v>0</v>
      </c>
      <c r="Y96" s="1" t="n">
        <v>1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</row>
    <row r="97">
      <c r="A97" s="1" t="inlineStr">
        <is>
          <t>alpha 1-antitrypsin deficiency</t>
        </is>
      </c>
      <c r="B97" s="1" t="inlineStr">
        <is>
          <t>MONDO_0013282</t>
        </is>
      </c>
      <c r="C97" s="1" t="inlineStr">
        <is>
          <t>name</t>
        </is>
      </c>
      <c r="D97" s="1" t="n">
        <v>0.5</v>
      </c>
      <c r="E97" s="20" t="n">
        <v>1</v>
      </c>
      <c r="F97" s="20" t="n">
        <v>291</v>
      </c>
      <c r="G97" s="20" t="n">
        <v>1</v>
      </c>
      <c r="H97" s="16">
        <f>G97/F97</f>
        <v/>
      </c>
      <c r="I97" s="16">
        <f>G97/E97</f>
        <v/>
      </c>
      <c r="J97" s="17" t="n">
        <v>1</v>
      </c>
      <c r="K97" s="17" t="n">
        <v>140</v>
      </c>
      <c r="L97" s="17" t="n">
        <v>0</v>
      </c>
      <c r="M97" s="16">
        <f>L97/K97</f>
        <v/>
      </c>
      <c r="N97" s="16">
        <f>L97/J97</f>
        <v/>
      </c>
      <c r="O97" s="18" t="n">
        <v>6</v>
      </c>
      <c r="P97" s="18" t="n">
        <v>0</v>
      </c>
      <c r="Q97" s="16">
        <f>P97/O97</f>
        <v/>
      </c>
      <c r="R97" s="1" t="n">
        <v>4</v>
      </c>
      <c r="S97" s="1" t="n">
        <v>1</v>
      </c>
      <c r="T97" s="1" t="n">
        <v>0</v>
      </c>
      <c r="U97" s="1" t="n">
        <v>1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1</v>
      </c>
      <c r="AF97" s="1" t="n">
        <v>0</v>
      </c>
      <c r="AG97" s="1" t="n">
        <v>0</v>
      </c>
      <c r="AH97" s="1" t="n">
        <v>0</v>
      </c>
    </row>
    <row r="98">
      <c r="A98" s="1" t="inlineStr">
        <is>
          <t>pulmonary fibrosis</t>
        </is>
      </c>
      <c r="B98" s="1" t="inlineStr">
        <is>
          <t>EFO_0009448</t>
        </is>
      </c>
      <c r="C98" s="1" t="inlineStr">
        <is>
          <t>name</t>
        </is>
      </c>
      <c r="D98" s="1" t="n">
        <v>0.5</v>
      </c>
      <c r="E98" s="20" t="n">
        <v>1</v>
      </c>
      <c r="F98" s="20" t="n">
        <v>282</v>
      </c>
      <c r="G98" s="20" t="n">
        <v>1</v>
      </c>
      <c r="H98" s="16">
        <f>G98/F98</f>
        <v/>
      </c>
      <c r="I98" s="16">
        <f>G98/E98</f>
        <v/>
      </c>
      <c r="J98" s="17" t="n">
        <v>3</v>
      </c>
      <c r="K98" s="17" t="n">
        <v>375</v>
      </c>
      <c r="L98" s="17" t="n">
        <v>1</v>
      </c>
      <c r="M98" s="16">
        <f>L98/K98</f>
        <v/>
      </c>
      <c r="N98" s="16">
        <f>L98/J98</f>
        <v/>
      </c>
      <c r="O98" s="18" t="n">
        <v>14</v>
      </c>
      <c r="P98" s="18" t="n">
        <v>0</v>
      </c>
      <c r="Q98" s="16">
        <f>P98/O98</f>
        <v/>
      </c>
      <c r="R98" s="1" t="n">
        <v>232</v>
      </c>
      <c r="S98" s="1" t="n">
        <v>2</v>
      </c>
      <c r="T98" s="1" t="n">
        <v>0</v>
      </c>
      <c r="U98" s="1" t="n">
        <v>0</v>
      </c>
      <c r="V98" s="1" t="n">
        <v>2</v>
      </c>
      <c r="W98" s="1" t="n">
        <v>0</v>
      </c>
      <c r="X98" s="1" t="n">
        <v>0</v>
      </c>
      <c r="Y98" s="1" t="n">
        <v>0</v>
      </c>
      <c r="Z98" s="1" t="n">
        <v>1</v>
      </c>
      <c r="AA98" s="1" t="n">
        <v>0</v>
      </c>
      <c r="AB98" s="1" t="n">
        <v>0</v>
      </c>
      <c r="AC98" s="1" t="n">
        <v>1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</row>
    <row r="99">
      <c r="A99" s="1" t="inlineStr">
        <is>
          <t>scleroderma</t>
        </is>
      </c>
      <c r="B99" s="1" t="inlineStr">
        <is>
          <t>EFO_1001993</t>
        </is>
      </c>
      <c r="C99" s="1" t="inlineStr">
        <is>
          <t>name</t>
        </is>
      </c>
      <c r="D99" s="1" t="n">
        <v>0.5</v>
      </c>
      <c r="E99" s="20" t="n">
        <v>1</v>
      </c>
      <c r="F99" s="20" t="n">
        <v>231</v>
      </c>
      <c r="G99" s="20" t="n">
        <v>1</v>
      </c>
      <c r="H99" s="16">
        <f>G99/F99</f>
        <v/>
      </c>
      <c r="I99" s="16">
        <f>G99/E99</f>
        <v/>
      </c>
      <c r="J99" s="17" t="n">
        <v>4</v>
      </c>
      <c r="K99" s="17" t="n">
        <v>746</v>
      </c>
      <c r="L99" s="17" t="n">
        <v>2</v>
      </c>
      <c r="M99" s="16">
        <f>L99/K99</f>
        <v/>
      </c>
      <c r="N99" s="16">
        <f>L99/J99</f>
        <v/>
      </c>
      <c r="O99" s="18" t="n">
        <v>27</v>
      </c>
      <c r="P99" s="18" t="n">
        <v>0</v>
      </c>
      <c r="Q99" s="16">
        <f>P99/O99</f>
        <v/>
      </c>
      <c r="R99" s="1" t="n">
        <v>224</v>
      </c>
      <c r="S99" s="1" t="n">
        <v>3</v>
      </c>
      <c r="T99" s="1" t="n">
        <v>0</v>
      </c>
      <c r="U99" s="1" t="n">
        <v>1</v>
      </c>
      <c r="V99" s="1" t="n">
        <v>2</v>
      </c>
      <c r="W99" s="1" t="n">
        <v>0</v>
      </c>
      <c r="X99" s="1" t="n">
        <v>0</v>
      </c>
      <c r="Y99" s="1" t="n">
        <v>0</v>
      </c>
      <c r="Z99" s="1" t="n">
        <v>1</v>
      </c>
      <c r="AA99" s="1" t="n">
        <v>0</v>
      </c>
      <c r="AB99" s="1" t="n">
        <v>0</v>
      </c>
      <c r="AC99" s="1" t="n">
        <v>1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1</v>
      </c>
    </row>
    <row r="100">
      <c r="A100" s="1" t="inlineStr">
        <is>
          <t>discoid lupus erythematosus</t>
        </is>
      </c>
      <c r="B100" s="1" t="inlineStr">
        <is>
          <t>MONDO_0019558</t>
        </is>
      </c>
      <c r="C100" s="1" t="inlineStr">
        <is>
          <t>name</t>
        </is>
      </c>
      <c r="D100" s="1" t="n">
        <v>0.5</v>
      </c>
      <c r="E100" s="20" t="n">
        <v>2</v>
      </c>
      <c r="F100" s="20" t="n">
        <v>360</v>
      </c>
      <c r="G100" s="20" t="n">
        <v>2</v>
      </c>
      <c r="H100" s="16">
        <f>G100/F100</f>
        <v/>
      </c>
      <c r="I100" s="16">
        <f>G100/E100</f>
        <v/>
      </c>
      <c r="J100" s="17" t="n">
        <v>1</v>
      </c>
      <c r="K100" s="17" t="n">
        <v>73</v>
      </c>
      <c r="L100" s="17" t="n">
        <v>1</v>
      </c>
      <c r="M100" s="16">
        <f>L100/K100</f>
        <v/>
      </c>
      <c r="N100" s="16">
        <f>L100/J100</f>
        <v/>
      </c>
      <c r="O100" s="18" t="n">
        <v>5</v>
      </c>
      <c r="P100" s="18" t="n">
        <v>0</v>
      </c>
      <c r="Q100" s="16">
        <f>P100/O100</f>
        <v/>
      </c>
      <c r="R100" s="1" t="n">
        <v>84</v>
      </c>
      <c r="S100" s="1" t="n">
        <v>3</v>
      </c>
      <c r="T100" s="1" t="n">
        <v>2</v>
      </c>
      <c r="U100" s="1" t="n">
        <v>0</v>
      </c>
      <c r="V100" s="1" t="n">
        <v>1</v>
      </c>
      <c r="W100" s="1" t="n">
        <v>0</v>
      </c>
      <c r="X100" s="1" t="n">
        <v>0</v>
      </c>
      <c r="Y100" s="1" t="n">
        <v>0</v>
      </c>
      <c r="Z100" s="1" t="n">
        <v>1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2</v>
      </c>
      <c r="AF100" s="1" t="n">
        <v>0</v>
      </c>
      <c r="AG100" s="1" t="n">
        <v>0</v>
      </c>
      <c r="AH100" s="1" t="n">
        <v>0</v>
      </c>
    </row>
    <row r="101">
      <c r="A101" s="1" t="inlineStr">
        <is>
          <t>skin squamous cell carcinoma</t>
        </is>
      </c>
      <c r="B101" s="1" t="inlineStr">
        <is>
          <t>MONDO_0002529</t>
        </is>
      </c>
      <c r="C101" s="1" t="inlineStr">
        <is>
          <t>name</t>
        </is>
      </c>
      <c r="D101" s="1" t="n">
        <v>0.5</v>
      </c>
      <c r="E101" s="20" t="n">
        <v>2</v>
      </c>
      <c r="F101" s="20" t="n">
        <v>332</v>
      </c>
      <c r="G101" s="20" t="n">
        <v>2</v>
      </c>
      <c r="H101" s="16">
        <f>G101/F101</f>
        <v/>
      </c>
      <c r="I101" s="16">
        <f>G101/E101</f>
        <v/>
      </c>
      <c r="J101" s="17" t="n">
        <v>0</v>
      </c>
      <c r="K101" s="17" t="n">
        <v>652</v>
      </c>
      <c r="L101" s="17" t="n">
        <v>0</v>
      </c>
      <c r="M101" s="16">
        <f>L101/K101</f>
        <v/>
      </c>
      <c r="N101" s="16">
        <f>L101/J101</f>
        <v/>
      </c>
      <c r="O101" s="18" t="n">
        <v>31</v>
      </c>
      <c r="P101" s="18" t="n">
        <v>0</v>
      </c>
      <c r="Q101" s="16">
        <f>P101/O101</f>
        <v/>
      </c>
      <c r="R101" s="1" t="n">
        <v>76</v>
      </c>
      <c r="S101" s="1" t="n">
        <v>2</v>
      </c>
      <c r="T101" s="1" t="n">
        <v>0</v>
      </c>
      <c r="U101" s="1" t="n">
        <v>1</v>
      </c>
      <c r="V101" s="1" t="n">
        <v>2</v>
      </c>
      <c r="W101" s="1" t="n">
        <v>0</v>
      </c>
      <c r="X101" s="1" t="n">
        <v>0</v>
      </c>
      <c r="Y101" s="1" t="n">
        <v>1</v>
      </c>
      <c r="Z101" s="1" t="n">
        <v>2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</row>
    <row r="102">
      <c r="A102" s="1" t="inlineStr">
        <is>
          <t>Turner syndrome</t>
        </is>
      </c>
      <c r="B102" s="1" t="inlineStr">
        <is>
          <t>MONDO_0019499</t>
        </is>
      </c>
      <c r="C102" s="1" t="inlineStr">
        <is>
          <t>name</t>
        </is>
      </c>
      <c r="D102" s="1" t="n">
        <v>0.5</v>
      </c>
      <c r="E102" s="20" t="n">
        <v>1</v>
      </c>
      <c r="F102" s="20" t="n">
        <v>158</v>
      </c>
      <c r="G102" s="20" t="n">
        <v>1</v>
      </c>
      <c r="H102" s="16">
        <f>G102/F102</f>
        <v/>
      </c>
      <c r="I102" s="16">
        <f>G102/E102</f>
        <v/>
      </c>
      <c r="J102" s="17" t="n">
        <v>1</v>
      </c>
      <c r="K102" s="17" t="n">
        <v>748</v>
      </c>
      <c r="L102" s="17" t="n">
        <v>1</v>
      </c>
      <c r="M102" s="16">
        <f>L102/K102</f>
        <v/>
      </c>
      <c r="N102" s="16">
        <f>L102/J102</f>
        <v/>
      </c>
      <c r="O102" s="18" t="n">
        <v>12</v>
      </c>
      <c r="P102" s="18" t="n">
        <v>0</v>
      </c>
      <c r="Q102" s="16">
        <f>P102/O102</f>
        <v/>
      </c>
      <c r="R102" s="1" t="n">
        <v>226</v>
      </c>
      <c r="S102" s="1" t="n">
        <v>2</v>
      </c>
      <c r="T102" s="1" t="n">
        <v>0</v>
      </c>
      <c r="U102" s="1" t="n">
        <v>1</v>
      </c>
      <c r="V102" s="1" t="n">
        <v>0</v>
      </c>
      <c r="W102" s="1" t="n">
        <v>2</v>
      </c>
      <c r="X102" s="1" t="n">
        <v>0</v>
      </c>
      <c r="Y102" s="1" t="n">
        <v>0</v>
      </c>
      <c r="Z102" s="1" t="n">
        <v>2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1</v>
      </c>
      <c r="AF102" s="1" t="n">
        <v>0</v>
      </c>
      <c r="AG102" s="1" t="n">
        <v>0</v>
      </c>
      <c r="AH102" s="1" t="n">
        <v>0</v>
      </c>
    </row>
    <row r="103">
      <c r="A103" s="1" t="inlineStr">
        <is>
          <t>Cardiomyopathy</t>
        </is>
      </c>
      <c r="B103" s="1" t="inlineStr">
        <is>
          <t>EFO_0000318</t>
        </is>
      </c>
      <c r="C103" s="1" t="inlineStr">
        <is>
          <t>name</t>
        </is>
      </c>
      <c r="D103" s="1" t="n">
        <v>0.5</v>
      </c>
      <c r="E103" s="20" t="n">
        <v>2</v>
      </c>
      <c r="F103" s="20" t="n">
        <v>253</v>
      </c>
      <c r="G103" s="20" t="n">
        <v>2</v>
      </c>
      <c r="H103" s="16">
        <f>G103/F103</f>
        <v/>
      </c>
      <c r="I103" s="16">
        <f>G103/E103</f>
        <v/>
      </c>
      <c r="J103" s="17" t="n">
        <v>6</v>
      </c>
      <c r="K103" s="17" t="n">
        <v>40</v>
      </c>
      <c r="L103" s="17" t="n">
        <v>0</v>
      </c>
      <c r="M103" s="16">
        <f>L103/K103</f>
        <v/>
      </c>
      <c r="N103" s="16">
        <f>L103/J103</f>
        <v/>
      </c>
      <c r="O103" s="18" t="n">
        <v>2</v>
      </c>
      <c r="P103" s="18" t="n">
        <v>0</v>
      </c>
      <c r="Q103" s="16">
        <f>P103/O103</f>
        <v/>
      </c>
      <c r="R103" s="1" t="n">
        <v>194</v>
      </c>
      <c r="S103" s="1" t="n">
        <v>2</v>
      </c>
      <c r="T103" s="1" t="n">
        <v>0</v>
      </c>
      <c r="U103" s="1" t="n">
        <v>0</v>
      </c>
      <c r="V103" s="1" t="n">
        <v>1</v>
      </c>
      <c r="W103" s="1" t="n">
        <v>1</v>
      </c>
      <c r="X103" s="1" t="n">
        <v>0</v>
      </c>
      <c r="Y103" s="1" t="n">
        <v>0</v>
      </c>
      <c r="Z103" s="1" t="n">
        <v>1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1</v>
      </c>
      <c r="AH103" s="1" t="n">
        <v>0</v>
      </c>
    </row>
    <row r="104">
      <c r="A104" s="1" t="inlineStr">
        <is>
          <t>alcohol abuse</t>
        </is>
      </c>
      <c r="B104" s="1" t="inlineStr">
        <is>
          <t>MONDO_0002046</t>
        </is>
      </c>
      <c r="C104" s="1" t="inlineStr">
        <is>
          <t>name</t>
        </is>
      </c>
      <c r="D104" s="1" t="n">
        <v>0.5</v>
      </c>
      <c r="E104" s="20" t="n">
        <v>2</v>
      </c>
      <c r="F104" s="20" t="n">
        <v>241</v>
      </c>
      <c r="G104" s="20" t="n">
        <v>2</v>
      </c>
      <c r="H104" s="16">
        <f>G104/F104</f>
        <v/>
      </c>
      <c r="I104" s="16">
        <f>G104/E104</f>
        <v/>
      </c>
      <c r="J104" s="17" t="n">
        <v>7</v>
      </c>
      <c r="K104" s="17" t="n">
        <v>81</v>
      </c>
      <c r="L104" s="17" t="n">
        <v>1</v>
      </c>
      <c r="M104" s="16">
        <f>L104/K104</f>
        <v/>
      </c>
      <c r="N104" s="16">
        <f>L104/J104</f>
        <v/>
      </c>
      <c r="O104" s="18" t="n">
        <v>1</v>
      </c>
      <c r="P104" s="18" t="n">
        <v>0</v>
      </c>
      <c r="Q104" s="16">
        <f>P104/O104</f>
        <v/>
      </c>
      <c r="R104" s="1" t="n">
        <v>131</v>
      </c>
      <c r="S104" s="1" t="n">
        <v>3</v>
      </c>
      <c r="T104" s="1" t="n">
        <v>0</v>
      </c>
      <c r="U104" s="1" t="n">
        <v>0</v>
      </c>
      <c r="V104" s="1" t="n">
        <v>3</v>
      </c>
      <c r="W104" s="1" t="n">
        <v>0</v>
      </c>
      <c r="X104" s="1" t="n">
        <v>0</v>
      </c>
      <c r="Y104" s="1" t="n">
        <v>0</v>
      </c>
      <c r="Z104" s="1" t="n">
        <v>3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</row>
    <row r="105">
      <c r="A105" s="1" t="inlineStr">
        <is>
          <t>osteoporosis</t>
        </is>
      </c>
      <c r="B105" s="1" t="inlineStr">
        <is>
          <t>EFO_0003882</t>
        </is>
      </c>
      <c r="C105" s="1" t="inlineStr">
        <is>
          <t>name</t>
        </is>
      </c>
      <c r="D105" s="1" t="n">
        <v>0.5</v>
      </c>
      <c r="E105" s="20" t="n">
        <v>2</v>
      </c>
      <c r="F105" s="20" t="n">
        <v>235</v>
      </c>
      <c r="G105" s="20" t="n">
        <v>2</v>
      </c>
      <c r="H105" s="16">
        <f>G105/F105</f>
        <v/>
      </c>
      <c r="I105" s="16">
        <f>G105/E105</f>
        <v/>
      </c>
      <c r="J105" s="17" t="n">
        <v>10</v>
      </c>
      <c r="K105" s="17" t="n">
        <v>759</v>
      </c>
      <c r="L105" s="17" t="n">
        <v>7</v>
      </c>
      <c r="M105" s="16">
        <f>L105/K105</f>
        <v/>
      </c>
      <c r="N105" s="16">
        <f>L105/J105</f>
        <v/>
      </c>
      <c r="O105" s="18" t="n">
        <v>22</v>
      </c>
      <c r="P105" s="18" t="n">
        <v>0</v>
      </c>
      <c r="Q105" s="16">
        <f>P105/O105</f>
        <v/>
      </c>
      <c r="R105" s="1" t="n">
        <v>668</v>
      </c>
      <c r="S105" s="1" t="n">
        <v>9</v>
      </c>
      <c r="T105" s="1" t="n">
        <v>2</v>
      </c>
      <c r="U105" s="1" t="n">
        <v>4</v>
      </c>
      <c r="V105" s="1" t="n">
        <v>1</v>
      </c>
      <c r="W105" s="1" t="n">
        <v>7</v>
      </c>
      <c r="X105" s="1" t="n">
        <v>1</v>
      </c>
      <c r="Y105" s="1" t="n">
        <v>0</v>
      </c>
      <c r="Z105" s="1" t="n">
        <v>11</v>
      </c>
      <c r="AA105" s="1" t="n">
        <v>0</v>
      </c>
      <c r="AB105" s="1" t="n">
        <v>1</v>
      </c>
      <c r="AC105" s="1" t="n">
        <v>0</v>
      </c>
      <c r="AD105" s="1" t="n">
        <v>0</v>
      </c>
      <c r="AE105" s="1" t="n">
        <v>2</v>
      </c>
      <c r="AF105" s="1" t="n">
        <v>1</v>
      </c>
      <c r="AG105" s="1" t="n">
        <v>0</v>
      </c>
      <c r="AH105" s="1" t="n">
        <v>0</v>
      </c>
    </row>
    <row r="106">
      <c r="A106" s="1" t="inlineStr">
        <is>
          <t>anemia</t>
        </is>
      </c>
      <c r="B106" s="1" t="inlineStr">
        <is>
          <t>MONDO_0002280</t>
        </is>
      </c>
      <c r="C106" s="1" t="inlineStr">
        <is>
          <t>name</t>
        </is>
      </c>
      <c r="D106" s="1" t="n">
        <v>0.5</v>
      </c>
      <c r="E106" s="20" t="n">
        <v>3</v>
      </c>
      <c r="F106" s="20" t="n">
        <v>264</v>
      </c>
      <c r="G106" s="20" t="n">
        <v>3</v>
      </c>
      <c r="H106" s="16">
        <f>G106/F106</f>
        <v/>
      </c>
      <c r="I106" s="16">
        <f>G106/E106</f>
        <v/>
      </c>
      <c r="J106" s="17" t="n">
        <v>5</v>
      </c>
      <c r="K106" s="17" t="n">
        <v>205</v>
      </c>
      <c r="L106" s="17" t="n">
        <v>2</v>
      </c>
      <c r="M106" s="16">
        <f>L106/K106</f>
        <v/>
      </c>
      <c r="N106" s="16">
        <f>L106/J106</f>
        <v/>
      </c>
      <c r="O106" s="18" t="n">
        <v>11</v>
      </c>
      <c r="P106" s="18" t="n">
        <v>0</v>
      </c>
      <c r="Q106" s="16">
        <f>P106/O106</f>
        <v/>
      </c>
      <c r="R106" s="1" t="n">
        <v>243</v>
      </c>
      <c r="S106" s="1" t="n">
        <v>5</v>
      </c>
      <c r="T106" s="1" t="n">
        <v>0</v>
      </c>
      <c r="U106" s="1" t="n">
        <v>0</v>
      </c>
      <c r="V106" s="1" t="n">
        <v>2</v>
      </c>
      <c r="W106" s="1" t="n">
        <v>0</v>
      </c>
      <c r="X106" s="1" t="n">
        <v>1</v>
      </c>
      <c r="Y106" s="1" t="n">
        <v>0</v>
      </c>
      <c r="Z106" s="1" t="n">
        <v>0</v>
      </c>
      <c r="AA106" s="1" t="n">
        <v>0</v>
      </c>
      <c r="AB106" s="1" t="n">
        <v>2</v>
      </c>
      <c r="AC106" s="1" t="n">
        <v>0</v>
      </c>
      <c r="AD106" s="1" t="n">
        <v>0</v>
      </c>
      <c r="AE106" s="1" t="n">
        <v>0</v>
      </c>
      <c r="AF106" s="1" t="n">
        <v>1</v>
      </c>
      <c r="AG106" s="1" t="n">
        <v>0</v>
      </c>
      <c r="AH106" s="1" t="n">
        <v>0</v>
      </c>
    </row>
    <row r="107">
      <c r="A107" s="1" t="inlineStr">
        <is>
          <t>actinic keratosis</t>
        </is>
      </c>
      <c r="B107" s="1" t="inlineStr">
        <is>
          <t>EFO_0002496</t>
        </is>
      </c>
      <c r="C107" s="1" t="inlineStr">
        <is>
          <t>name</t>
        </is>
      </c>
      <c r="D107" s="1" t="n">
        <v>0.5</v>
      </c>
      <c r="E107" s="20" t="n">
        <v>5</v>
      </c>
      <c r="F107" s="20" t="n">
        <v>379</v>
      </c>
      <c r="G107" s="20" t="n">
        <v>5</v>
      </c>
      <c r="H107" s="16">
        <f>G107/F107</f>
        <v/>
      </c>
      <c r="I107" s="16">
        <f>G107/E107</f>
        <v/>
      </c>
      <c r="J107" s="17" t="n">
        <v>11</v>
      </c>
      <c r="K107" s="17" t="n">
        <v>81</v>
      </c>
      <c r="L107" s="17" t="n">
        <v>2</v>
      </c>
      <c r="M107" s="16">
        <f>L107/K107</f>
        <v/>
      </c>
      <c r="N107" s="16">
        <f>L107/J107</f>
        <v/>
      </c>
      <c r="O107" s="18" t="n">
        <v>2</v>
      </c>
      <c r="P107" s="18" t="n">
        <v>0</v>
      </c>
      <c r="Q107" s="16">
        <f>P107/O107</f>
        <v/>
      </c>
      <c r="R107" s="1" t="n">
        <v>478</v>
      </c>
      <c r="S107" s="1" t="n">
        <v>7</v>
      </c>
      <c r="T107" s="1" t="n">
        <v>1</v>
      </c>
      <c r="U107" s="1" t="n">
        <v>1</v>
      </c>
      <c r="V107" s="1" t="n">
        <v>5</v>
      </c>
      <c r="W107" s="1" t="n">
        <v>2</v>
      </c>
      <c r="X107" s="1" t="n">
        <v>4</v>
      </c>
      <c r="Y107" s="1" t="n">
        <v>0</v>
      </c>
      <c r="Z107" s="1" t="n">
        <v>7</v>
      </c>
      <c r="AA107" s="1" t="n">
        <v>1</v>
      </c>
      <c r="AB107" s="1" t="n">
        <v>0</v>
      </c>
      <c r="AC107" s="1" t="n">
        <v>2</v>
      </c>
      <c r="AD107" s="1" t="n">
        <v>0</v>
      </c>
      <c r="AE107" s="1" t="n">
        <v>1</v>
      </c>
      <c r="AF107" s="1" t="n">
        <v>1</v>
      </c>
      <c r="AG107" s="1" t="n">
        <v>1</v>
      </c>
      <c r="AH107" s="1" t="n">
        <v>0</v>
      </c>
    </row>
    <row r="108">
      <c r="A108" s="1" t="inlineStr">
        <is>
          <t>sarcoidosis</t>
        </is>
      </c>
      <c r="B108" s="1" t="inlineStr">
        <is>
          <t>MONDO_0019338</t>
        </is>
      </c>
      <c r="C108" s="1" t="inlineStr">
        <is>
          <t>name</t>
        </is>
      </c>
      <c r="D108" s="1" t="n">
        <v>0.5</v>
      </c>
      <c r="E108" s="20" t="n">
        <v>3</v>
      </c>
      <c r="F108" s="20" t="n">
        <v>208</v>
      </c>
      <c r="G108" s="20" t="n">
        <v>3</v>
      </c>
      <c r="H108" s="16">
        <f>G108/F108</f>
        <v/>
      </c>
      <c r="I108" s="16">
        <f>G108/E108</f>
        <v/>
      </c>
      <c r="J108" s="17" t="n">
        <v>6</v>
      </c>
      <c r="K108" s="17" t="n">
        <v>550</v>
      </c>
      <c r="L108" s="17" t="n">
        <v>3</v>
      </c>
      <c r="M108" s="16">
        <f>L108/K108</f>
        <v/>
      </c>
      <c r="N108" s="16">
        <f>L108/J108</f>
        <v/>
      </c>
      <c r="O108" s="18" t="n">
        <v>10</v>
      </c>
      <c r="P108" s="18" t="n">
        <v>0</v>
      </c>
      <c r="Q108" s="16">
        <f>P108/O108</f>
        <v/>
      </c>
      <c r="R108" s="1" t="n">
        <v>376</v>
      </c>
      <c r="S108" s="1" t="n">
        <v>6</v>
      </c>
      <c r="T108" s="1" t="n">
        <v>0</v>
      </c>
      <c r="U108" s="1" t="n">
        <v>1</v>
      </c>
      <c r="V108" s="1" t="n">
        <v>4</v>
      </c>
      <c r="W108" s="1" t="n">
        <v>1</v>
      </c>
      <c r="X108" s="1" t="n">
        <v>3</v>
      </c>
      <c r="Y108" s="1" t="n">
        <v>0</v>
      </c>
      <c r="Z108" s="1" t="n">
        <v>2</v>
      </c>
      <c r="AA108" s="1" t="n">
        <v>0</v>
      </c>
      <c r="AB108" s="1" t="n">
        <v>2</v>
      </c>
      <c r="AC108" s="1" t="n">
        <v>0</v>
      </c>
      <c r="AD108" s="1" t="n">
        <v>0</v>
      </c>
      <c r="AE108" s="1" t="n">
        <v>1</v>
      </c>
      <c r="AF108" s="1" t="n">
        <v>3</v>
      </c>
      <c r="AG108" s="1" t="n">
        <v>1</v>
      </c>
      <c r="AH108" s="1" t="n">
        <v>0</v>
      </c>
    </row>
    <row r="109">
      <c r="A109" s="1" t="inlineStr">
        <is>
          <t>psoriatic arthritis</t>
        </is>
      </c>
      <c r="B109" s="1" t="inlineStr">
        <is>
          <t>EFO_0003778</t>
        </is>
      </c>
      <c r="C109" s="1" t="inlineStr">
        <is>
          <t>name</t>
        </is>
      </c>
      <c r="D109" s="1" t="n">
        <v>0.5</v>
      </c>
      <c r="E109" s="20" t="n">
        <v>6</v>
      </c>
      <c r="F109" s="20" t="n">
        <v>379</v>
      </c>
      <c r="G109" s="20" t="n">
        <v>6</v>
      </c>
      <c r="H109" s="16">
        <f>G109/F109</f>
        <v/>
      </c>
      <c r="I109" s="16">
        <f>G109/E109</f>
        <v/>
      </c>
      <c r="J109" s="17" t="n">
        <v>9</v>
      </c>
      <c r="K109" s="17" t="n">
        <v>330</v>
      </c>
      <c r="L109" s="17" t="n">
        <v>4</v>
      </c>
      <c r="M109" s="16">
        <f>L109/K109</f>
        <v/>
      </c>
      <c r="N109" s="16">
        <f>L109/J109</f>
        <v/>
      </c>
      <c r="O109" s="18" t="n">
        <v>15</v>
      </c>
      <c r="P109" s="18" t="n">
        <v>2</v>
      </c>
      <c r="Q109" s="16">
        <f>P109/O109</f>
        <v/>
      </c>
      <c r="R109" s="1" t="n">
        <v>630</v>
      </c>
      <c r="S109" s="1" t="n">
        <v>8</v>
      </c>
      <c r="T109" s="1" t="n">
        <v>0</v>
      </c>
      <c r="U109" s="1" t="n">
        <v>1</v>
      </c>
      <c r="V109" s="1" t="n">
        <v>5</v>
      </c>
      <c r="W109" s="1" t="n">
        <v>5</v>
      </c>
      <c r="X109" s="1" t="n">
        <v>8</v>
      </c>
      <c r="Y109" s="1" t="n">
        <v>0</v>
      </c>
      <c r="Z109" s="1" t="n">
        <v>5</v>
      </c>
      <c r="AA109" s="1" t="n">
        <v>0</v>
      </c>
      <c r="AB109" s="1" t="n">
        <v>1</v>
      </c>
      <c r="AC109" s="1" t="n">
        <v>4</v>
      </c>
      <c r="AD109" s="1" t="n">
        <v>0</v>
      </c>
      <c r="AE109" s="1" t="n">
        <v>2</v>
      </c>
      <c r="AF109" s="1" t="n">
        <v>6</v>
      </c>
      <c r="AG109" s="1" t="n">
        <v>0</v>
      </c>
      <c r="AH109" s="1" t="n">
        <v>1</v>
      </c>
    </row>
    <row r="110">
      <c r="A110" s="1" t="inlineStr">
        <is>
          <t>Psoriasis vulgaris</t>
        </is>
      </c>
      <c r="B110" s="1" t="inlineStr">
        <is>
          <t>EFO_1001494</t>
        </is>
      </c>
      <c r="C110" s="1" t="inlineStr">
        <is>
          <t>name</t>
        </is>
      </c>
      <c r="D110" s="1" t="n">
        <v>0.5</v>
      </c>
      <c r="E110" s="20" t="n">
        <v>7</v>
      </c>
      <c r="F110" s="20" t="n">
        <v>332</v>
      </c>
      <c r="G110" s="20" t="n">
        <v>7</v>
      </c>
      <c r="H110" s="16">
        <f>G110/F110</f>
        <v/>
      </c>
      <c r="I110" s="16">
        <f>G110/E110</f>
        <v/>
      </c>
      <c r="J110" s="17" t="n">
        <v>6</v>
      </c>
      <c r="K110" s="17" t="n">
        <v>673</v>
      </c>
      <c r="L110" s="17" t="n">
        <v>4</v>
      </c>
      <c r="M110" s="16">
        <f>L110/K110</f>
        <v/>
      </c>
      <c r="N110" s="16">
        <f>L110/J110</f>
        <v/>
      </c>
      <c r="O110" s="18" t="n">
        <v>27</v>
      </c>
      <c r="P110" s="18" t="n">
        <v>2</v>
      </c>
      <c r="Q110" s="16">
        <f>P110/O110</f>
        <v/>
      </c>
      <c r="R110" s="1" t="n">
        <v>658</v>
      </c>
      <c r="S110" s="1" t="n">
        <v>9</v>
      </c>
      <c r="T110" s="1" t="n">
        <v>1</v>
      </c>
      <c r="U110" s="1" t="n">
        <v>4</v>
      </c>
      <c r="V110" s="1" t="n">
        <v>6</v>
      </c>
      <c r="W110" s="1" t="n">
        <v>4</v>
      </c>
      <c r="X110" s="1" t="n">
        <v>7</v>
      </c>
      <c r="Y110" s="1" t="n">
        <v>0</v>
      </c>
      <c r="Z110" s="1" t="n">
        <v>16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3</v>
      </c>
      <c r="AG110" s="1" t="n">
        <v>2</v>
      </c>
      <c r="AH110" s="1" t="n">
        <v>1</v>
      </c>
    </row>
    <row r="111">
      <c r="A111" s="1" t="inlineStr">
        <is>
          <t>ankylosing spondylitis</t>
        </is>
      </c>
      <c r="B111" s="1" t="inlineStr">
        <is>
          <t>EFO_0003898</t>
        </is>
      </c>
      <c r="C111" s="1" t="inlineStr">
        <is>
          <t>name</t>
        </is>
      </c>
      <c r="D111" s="1" t="n">
        <v>0.5</v>
      </c>
      <c r="E111" s="20" t="n">
        <v>9</v>
      </c>
      <c r="F111" s="20" t="n">
        <v>357</v>
      </c>
      <c r="G111" s="20" t="n">
        <v>9</v>
      </c>
      <c r="H111" s="16">
        <f>G111/F111</f>
        <v/>
      </c>
      <c r="I111" s="16">
        <f>G111/E111</f>
        <v/>
      </c>
      <c r="J111" s="17" t="n">
        <v>12</v>
      </c>
      <c r="K111" s="17" t="n">
        <v>60</v>
      </c>
      <c r="L111" s="17" t="n">
        <v>1</v>
      </c>
      <c r="M111" s="16">
        <f>L111/K111</f>
        <v/>
      </c>
      <c r="N111" s="16">
        <f>L111/J111</f>
        <v/>
      </c>
      <c r="O111" s="18" t="n">
        <v>2</v>
      </c>
      <c r="P111" s="18" t="n">
        <v>1</v>
      </c>
      <c r="Q111" s="16">
        <f>P111/O111</f>
        <v/>
      </c>
      <c r="R111" s="1" t="n">
        <v>634</v>
      </c>
      <c r="S111" s="1" t="n">
        <v>9</v>
      </c>
      <c r="T111" s="1" t="n">
        <v>0</v>
      </c>
      <c r="U111" s="1" t="n">
        <v>0</v>
      </c>
      <c r="V111" s="1" t="n">
        <v>7</v>
      </c>
      <c r="W111" s="1" t="n">
        <v>7</v>
      </c>
      <c r="X111" s="1" t="n">
        <v>7</v>
      </c>
      <c r="Y111" s="1" t="n">
        <v>0</v>
      </c>
      <c r="Z111" s="1" t="n">
        <v>9</v>
      </c>
      <c r="AA111" s="1" t="n">
        <v>0</v>
      </c>
      <c r="AB111" s="1" t="n">
        <v>0</v>
      </c>
      <c r="AC111" s="1" t="n">
        <v>3</v>
      </c>
      <c r="AD111" s="1" t="n">
        <v>0</v>
      </c>
      <c r="AE111" s="1" t="n">
        <v>1</v>
      </c>
      <c r="AF111" s="1" t="n">
        <v>4</v>
      </c>
      <c r="AG111" s="1" t="n">
        <v>3</v>
      </c>
      <c r="AH111" s="1" t="n">
        <v>1</v>
      </c>
    </row>
    <row r="112">
      <c r="A112" s="1" t="inlineStr">
        <is>
          <t>Diabetic Nephropathy</t>
        </is>
      </c>
      <c r="B112" s="1" t="inlineStr">
        <is>
          <t>EFO_0000401</t>
        </is>
      </c>
      <c r="C112" s="1" t="inlineStr">
        <is>
          <t>name</t>
        </is>
      </c>
      <c r="D112" s="1" t="n">
        <v>0.5</v>
      </c>
      <c r="E112" s="20" t="n">
        <v>9</v>
      </c>
      <c r="F112" s="20" t="n">
        <v>333</v>
      </c>
      <c r="G112" s="20" t="n">
        <v>9</v>
      </c>
      <c r="H112" s="16">
        <f>G112/F112</f>
        <v/>
      </c>
      <c r="I112" s="16">
        <f>G112/E112</f>
        <v/>
      </c>
      <c r="J112" s="17" t="n">
        <v>11</v>
      </c>
      <c r="K112" s="17" t="n">
        <v>52</v>
      </c>
      <c r="L112" s="17" t="n">
        <v>0</v>
      </c>
      <c r="M112" s="16">
        <f>L112/K112</f>
        <v/>
      </c>
      <c r="N112" s="16">
        <f>L112/J112</f>
        <v/>
      </c>
      <c r="O112" s="18" t="n">
        <v>1</v>
      </c>
      <c r="P112" s="18" t="n">
        <v>0</v>
      </c>
      <c r="Q112" s="16">
        <f>P112/O112</f>
        <v/>
      </c>
      <c r="R112" s="1" t="n">
        <v>507</v>
      </c>
      <c r="S112" s="1" t="n">
        <v>9</v>
      </c>
      <c r="T112" s="1" t="n">
        <v>0</v>
      </c>
      <c r="U112" s="1" t="n">
        <v>1</v>
      </c>
      <c r="V112" s="1" t="n">
        <v>7</v>
      </c>
      <c r="W112" s="1" t="n">
        <v>2</v>
      </c>
      <c r="X112" s="1" t="n">
        <v>1</v>
      </c>
      <c r="Y112" s="1" t="n">
        <v>0</v>
      </c>
      <c r="Z112" s="1" t="n">
        <v>8</v>
      </c>
      <c r="AA112" s="1" t="n">
        <v>0</v>
      </c>
      <c r="AB112" s="1" t="n">
        <v>0</v>
      </c>
      <c r="AC112" s="1" t="n">
        <v>2</v>
      </c>
      <c r="AD112" s="1" t="n">
        <v>0</v>
      </c>
      <c r="AE112" s="1" t="n">
        <v>0</v>
      </c>
      <c r="AF112" s="1" t="n">
        <v>1</v>
      </c>
      <c r="AG112" s="1" t="n">
        <v>0</v>
      </c>
      <c r="AH112" s="1" t="n">
        <v>0</v>
      </c>
    </row>
    <row r="113">
      <c r="A113" s="1" t="inlineStr">
        <is>
          <t>autoimmune thrombocytopenic purpura</t>
        </is>
      </c>
      <c r="B113" s="1" t="inlineStr">
        <is>
          <t>EFO_0007160</t>
        </is>
      </c>
      <c r="C113" s="1" t="inlineStr">
        <is>
          <t>name</t>
        </is>
      </c>
      <c r="D113" s="1" t="n">
        <v>0.5</v>
      </c>
      <c r="E113" s="20" t="n">
        <v>11</v>
      </c>
      <c r="F113" s="20" t="n">
        <v>379</v>
      </c>
      <c r="G113" s="20" t="n">
        <v>11</v>
      </c>
      <c r="H113" s="16">
        <f>G113/F113</f>
        <v/>
      </c>
      <c r="I113" s="16">
        <f>G113/E113</f>
        <v/>
      </c>
      <c r="J113" s="17" t="n">
        <v>16</v>
      </c>
      <c r="K113" s="17" t="n">
        <v>95</v>
      </c>
      <c r="L113" s="17" t="n">
        <v>4</v>
      </c>
      <c r="M113" s="16">
        <f>L113/K113</f>
        <v/>
      </c>
      <c r="N113" s="16">
        <f>L113/J113</f>
        <v/>
      </c>
      <c r="O113" s="18" t="n">
        <v>4</v>
      </c>
      <c r="P113" s="18" t="n">
        <v>0</v>
      </c>
      <c r="Q113" s="16">
        <f>P113/O113</f>
        <v/>
      </c>
      <c r="R113" s="1" t="n">
        <v>605</v>
      </c>
      <c r="S113" s="1" t="n">
        <v>15</v>
      </c>
      <c r="T113" s="1" t="n">
        <v>0</v>
      </c>
      <c r="U113" s="1" t="n">
        <v>2</v>
      </c>
      <c r="V113" s="1" t="n">
        <v>20</v>
      </c>
      <c r="W113" s="1" t="n">
        <v>15</v>
      </c>
      <c r="X113" s="1" t="n">
        <v>7</v>
      </c>
      <c r="Y113" s="1" t="n">
        <v>4</v>
      </c>
      <c r="Z113" s="1" t="n">
        <v>10</v>
      </c>
      <c r="AA113" s="1" t="n">
        <v>0</v>
      </c>
      <c r="AB113" s="1" t="n">
        <v>6</v>
      </c>
      <c r="AC113" s="1" t="n">
        <v>6</v>
      </c>
      <c r="AD113" s="1" t="n">
        <v>0</v>
      </c>
      <c r="AE113" s="1" t="n">
        <v>1</v>
      </c>
      <c r="AF113" s="1" t="n">
        <v>3</v>
      </c>
      <c r="AG113" s="1" t="n">
        <v>7</v>
      </c>
      <c r="AH113" s="1" t="n">
        <v>7</v>
      </c>
    </row>
    <row r="114">
      <c r="A114" s="1" t="inlineStr">
        <is>
          <t>psoriasis</t>
        </is>
      </c>
      <c r="B114" s="1" t="inlineStr">
        <is>
          <t>EFO_0000676</t>
        </is>
      </c>
      <c r="C114" s="1" t="inlineStr">
        <is>
          <t>name</t>
        </is>
      </c>
      <c r="D114" s="1" t="n">
        <v>0.5</v>
      </c>
      <c r="E114" s="20" t="n">
        <v>15</v>
      </c>
      <c r="F114" s="20" t="n">
        <v>338</v>
      </c>
      <c r="G114" s="20" t="n">
        <v>15</v>
      </c>
      <c r="H114" s="16">
        <f>G114/F114</f>
        <v/>
      </c>
      <c r="I114" s="16">
        <f>G114/E114</f>
        <v/>
      </c>
      <c r="J114" s="17" t="n">
        <v>24</v>
      </c>
      <c r="K114" s="17" t="n">
        <v>347</v>
      </c>
      <c r="L114" s="17" t="n">
        <v>8</v>
      </c>
      <c r="M114" s="16">
        <f>L114/K114</f>
        <v/>
      </c>
      <c r="N114" s="16">
        <f>L114/J114</f>
        <v/>
      </c>
      <c r="O114" s="18" t="n">
        <v>12</v>
      </c>
      <c r="P114" s="18" t="n">
        <v>2</v>
      </c>
      <c r="Q114" s="16">
        <f>P114/O114</f>
        <v/>
      </c>
      <c r="R114" s="1" t="n">
        <v>1473</v>
      </c>
      <c r="S114" s="1" t="n">
        <v>21</v>
      </c>
      <c r="T114" s="1" t="n">
        <v>2</v>
      </c>
      <c r="U114" s="1" t="n">
        <v>12</v>
      </c>
      <c r="V114" s="1" t="n">
        <v>17</v>
      </c>
      <c r="W114" s="1" t="n">
        <v>12</v>
      </c>
      <c r="X114" s="1" t="n">
        <v>24</v>
      </c>
      <c r="Y114" s="1" t="n">
        <v>1</v>
      </c>
      <c r="Z114" s="1" t="n">
        <v>36</v>
      </c>
      <c r="AA114" s="1" t="n">
        <v>0</v>
      </c>
      <c r="AB114" s="1" t="n">
        <v>3</v>
      </c>
      <c r="AC114" s="1" t="n">
        <v>6</v>
      </c>
      <c r="AD114" s="1" t="n">
        <v>0</v>
      </c>
      <c r="AE114" s="1" t="n">
        <v>3</v>
      </c>
      <c r="AF114" s="1" t="n">
        <v>9</v>
      </c>
      <c r="AG114" s="1" t="n">
        <v>6</v>
      </c>
      <c r="AH114" s="1" t="n">
        <v>3</v>
      </c>
    </row>
    <row r="115">
      <c r="A115" s="1" t="inlineStr">
        <is>
          <t>diabetes mellitus</t>
        </is>
      </c>
      <c r="B115" s="1" t="inlineStr">
        <is>
          <t>EFO_0000400</t>
        </is>
      </c>
      <c r="C115" s="1" t="inlineStr">
        <is>
          <t>name</t>
        </is>
      </c>
      <c r="D115" s="1" t="n">
        <v>0.5</v>
      </c>
      <c r="E115" s="20" t="n">
        <v>19</v>
      </c>
      <c r="F115" s="20" t="n">
        <v>377</v>
      </c>
      <c r="G115" s="20" t="n">
        <v>19</v>
      </c>
      <c r="H115" s="16">
        <f>G115/F115</f>
        <v/>
      </c>
      <c r="I115" s="16">
        <f>G115/E115</f>
        <v/>
      </c>
      <c r="J115" s="17" t="n">
        <v>46</v>
      </c>
      <c r="K115" s="17" t="n">
        <v>17</v>
      </c>
      <c r="L115" s="17" t="n">
        <v>0</v>
      </c>
      <c r="M115" s="16">
        <f>L115/K115</f>
        <v/>
      </c>
      <c r="N115" s="16">
        <f>L115/J115</f>
        <v/>
      </c>
      <c r="O115" s="18" t="n">
        <v>0</v>
      </c>
      <c r="P115" s="18" t="n">
        <v>0</v>
      </c>
      <c r="Q115" s="16">
        <f>P115/O115</f>
        <v/>
      </c>
      <c r="R115" s="1" t="n">
        <v>2122</v>
      </c>
      <c r="S115" s="1" t="n">
        <v>19</v>
      </c>
      <c r="T115" s="1" t="n">
        <v>1</v>
      </c>
      <c r="U115" s="1" t="n">
        <v>8</v>
      </c>
      <c r="V115" s="1" t="n">
        <v>6</v>
      </c>
      <c r="W115" s="1" t="n">
        <v>13</v>
      </c>
      <c r="X115" s="1" t="n">
        <v>18</v>
      </c>
      <c r="Y115" s="1" t="n">
        <v>1</v>
      </c>
      <c r="Z115" s="1" t="n">
        <v>22</v>
      </c>
      <c r="AA115" s="1" t="n">
        <v>0</v>
      </c>
      <c r="AB115" s="1" t="n">
        <v>4</v>
      </c>
      <c r="AC115" s="1" t="n">
        <v>3</v>
      </c>
      <c r="AD115" s="1" t="n">
        <v>0</v>
      </c>
      <c r="AE115" s="1" t="n">
        <v>5</v>
      </c>
      <c r="AF115" s="1" t="n">
        <v>7</v>
      </c>
      <c r="AG115" s="1" t="n">
        <v>3</v>
      </c>
      <c r="AH115" s="1" t="n">
        <v>1</v>
      </c>
    </row>
    <row r="116">
      <c r="A116" s="1" t="inlineStr">
        <is>
          <t>breast cancer</t>
        </is>
      </c>
      <c r="B116" s="1" t="inlineStr">
        <is>
          <t>MONDO_0007254</t>
        </is>
      </c>
      <c r="C116" s="1" t="inlineStr">
        <is>
          <t>name</t>
        </is>
      </c>
      <c r="D116" s="1" t="n">
        <v>0.5</v>
      </c>
      <c r="E116" s="20" t="n">
        <v>78</v>
      </c>
      <c r="F116" s="20" t="n">
        <v>378</v>
      </c>
      <c r="G116" s="20" t="n">
        <v>78</v>
      </c>
      <c r="H116" s="16">
        <f>G116/F116</f>
        <v/>
      </c>
      <c r="I116" s="16">
        <f>G116/E116</f>
        <v/>
      </c>
      <c r="J116" s="17" t="n">
        <v>83</v>
      </c>
      <c r="K116" s="17" t="n">
        <v>25</v>
      </c>
      <c r="L116" s="17" t="n">
        <v>5</v>
      </c>
      <c r="M116" s="16">
        <f>L116/K116</f>
        <v/>
      </c>
      <c r="N116" s="16">
        <f>L116/J116</f>
        <v/>
      </c>
      <c r="O116" s="18" t="n">
        <v>1</v>
      </c>
      <c r="P116" s="18" t="n">
        <v>1</v>
      </c>
      <c r="Q116" s="16">
        <f>P116/O116</f>
        <v/>
      </c>
      <c r="R116" s="1" t="n">
        <v>4617</v>
      </c>
      <c r="S116" s="1" t="n">
        <v>82</v>
      </c>
      <c r="T116" s="1" t="n">
        <v>15</v>
      </c>
      <c r="U116" s="1" t="n">
        <v>139</v>
      </c>
      <c r="V116" s="1" t="n">
        <v>202</v>
      </c>
      <c r="W116" s="1" t="n">
        <v>116</v>
      </c>
      <c r="X116" s="1" t="n">
        <v>37</v>
      </c>
      <c r="Y116" s="1" t="n">
        <v>65</v>
      </c>
      <c r="Z116" s="1" t="n">
        <v>132</v>
      </c>
      <c r="AA116" s="1" t="n">
        <v>6</v>
      </c>
      <c r="AB116" s="1" t="n">
        <v>33</v>
      </c>
      <c r="AC116" s="1" t="n">
        <v>72</v>
      </c>
      <c r="AD116" s="1" t="n">
        <v>10</v>
      </c>
      <c r="AE116" s="1" t="n">
        <v>84</v>
      </c>
      <c r="AF116" s="1" t="n">
        <v>13</v>
      </c>
      <c r="AG116" s="1" t="n">
        <v>53</v>
      </c>
      <c r="AH116" s="1" t="n">
        <v>41</v>
      </c>
    </row>
    <row r="117">
      <c r="A117" s="1" t="inlineStr">
        <is>
          <t>adrenoleukodystrophy</t>
        </is>
      </c>
      <c r="B117" s="1" t="inlineStr">
        <is>
          <t>MONDO_0018544</t>
        </is>
      </c>
      <c r="C117" s="1" t="inlineStr">
        <is>
          <t>name</t>
        </is>
      </c>
      <c r="D117" s="1" t="n">
        <v>0.5</v>
      </c>
      <c r="E117" s="20" t="n">
        <v>0</v>
      </c>
      <c r="F117" s="20" t="n">
        <v>174</v>
      </c>
      <c r="G117" s="20" t="n">
        <v>0</v>
      </c>
      <c r="H117" s="16">
        <f>G117/F117</f>
        <v/>
      </c>
      <c r="I117" s="16">
        <f>G117/E117</f>
        <v/>
      </c>
      <c r="J117" s="17" t="n">
        <v>0</v>
      </c>
      <c r="K117" s="17" t="n">
        <v>106</v>
      </c>
      <c r="L117" s="17" t="n">
        <v>0</v>
      </c>
      <c r="M117" s="16">
        <f>L117/K117</f>
        <v/>
      </c>
      <c r="N117" s="16">
        <f>L117/J117</f>
        <v/>
      </c>
      <c r="O117" s="18" t="n">
        <v>4</v>
      </c>
      <c r="P117" s="18" t="n">
        <v>0</v>
      </c>
      <c r="Q117" s="16">
        <f>P117/O117</f>
        <v/>
      </c>
      <c r="R117" s="1" t="n">
        <v>4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</row>
    <row r="118">
      <c r="A118" s="1" t="inlineStr">
        <is>
          <t>allergic asthma</t>
        </is>
      </c>
      <c r="B118" s="1" t="inlineStr">
        <is>
          <t>MONDO_0004784</t>
        </is>
      </c>
      <c r="C118" s="1" t="inlineStr">
        <is>
          <t>name</t>
        </is>
      </c>
      <c r="D118" s="1" t="n">
        <v>0.5</v>
      </c>
      <c r="E118" s="20" t="n">
        <v>0</v>
      </c>
      <c r="F118" s="20" t="n">
        <v>109</v>
      </c>
      <c r="G118" s="20" t="n">
        <v>0</v>
      </c>
      <c r="H118" s="16">
        <f>G118/F118</f>
        <v/>
      </c>
      <c r="I118" s="16">
        <f>G118/E118</f>
        <v/>
      </c>
      <c r="J118" s="17" t="n">
        <v>2</v>
      </c>
      <c r="K118" s="17" t="n">
        <v>203</v>
      </c>
      <c r="L118" s="17" t="n">
        <v>2</v>
      </c>
      <c r="M118" s="16">
        <f>L118/K118</f>
        <v/>
      </c>
      <c r="N118" s="16">
        <f>L118/J118</f>
        <v/>
      </c>
      <c r="O118" s="18" t="n">
        <v>2</v>
      </c>
      <c r="P118" s="18" t="n">
        <v>0</v>
      </c>
      <c r="Q118" s="16">
        <f>P118/O118</f>
        <v/>
      </c>
      <c r="R118" s="1" t="n">
        <v>162</v>
      </c>
      <c r="S118" s="1" t="n">
        <v>2</v>
      </c>
      <c r="T118" s="1" t="n">
        <v>0</v>
      </c>
      <c r="U118" s="1" t="n">
        <v>1</v>
      </c>
      <c r="V118" s="1" t="n">
        <v>0</v>
      </c>
      <c r="W118" s="1" t="n">
        <v>1</v>
      </c>
      <c r="X118" s="1" t="n">
        <v>0</v>
      </c>
      <c r="Y118" s="1" t="n">
        <v>0</v>
      </c>
      <c r="Z118" s="1" t="n">
        <v>1</v>
      </c>
      <c r="AA118" s="1" t="n">
        <v>0</v>
      </c>
      <c r="AB118" s="1" t="n">
        <v>0</v>
      </c>
      <c r="AC118" s="1" t="n">
        <v>1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</row>
    <row r="119">
      <c r="A119" s="1" t="inlineStr">
        <is>
          <t>allergic contact dermatitis</t>
        </is>
      </c>
      <c r="B119" s="1" t="inlineStr">
        <is>
          <t>EFO_1000668</t>
        </is>
      </c>
      <c r="C119" s="1" t="inlineStr">
        <is>
          <t>name</t>
        </is>
      </c>
      <c r="D119" s="1" t="n">
        <v>0.5</v>
      </c>
      <c r="E119" s="20" t="n">
        <v>0</v>
      </c>
      <c r="F119" s="20" t="n">
        <v>319</v>
      </c>
      <c r="G119" s="20" t="n">
        <v>0</v>
      </c>
      <c r="H119" s="16">
        <f>G119/F119</f>
        <v/>
      </c>
      <c r="I119" s="16">
        <f>G119/E119</f>
        <v/>
      </c>
      <c r="J119" s="17" t="n">
        <v>0</v>
      </c>
      <c r="K119" s="17" t="n">
        <v>186</v>
      </c>
      <c r="L119" s="17" t="n">
        <v>0</v>
      </c>
      <c r="M119" s="16">
        <f>L119/K119</f>
        <v/>
      </c>
      <c r="N119" s="16">
        <f>L119/J119</f>
        <v/>
      </c>
      <c r="O119" s="18" t="n">
        <v>5</v>
      </c>
      <c r="P119" s="18" t="n">
        <v>0</v>
      </c>
      <c r="Q119" s="16">
        <f>P119/O119</f>
        <v/>
      </c>
      <c r="R119" s="1" t="n">
        <v>17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</row>
    <row r="120">
      <c r="A120" s="1" t="inlineStr">
        <is>
          <t>Anaplasmosis</t>
        </is>
      </c>
      <c r="B120" s="1" t="inlineStr">
        <is>
          <t>MONDO_0025303</t>
        </is>
      </c>
      <c r="C120" s="1" t="inlineStr">
        <is>
          <t>name</t>
        </is>
      </c>
      <c r="D120" s="1" t="n">
        <v>0.5</v>
      </c>
      <c r="E120" s="20" t="n">
        <v>0</v>
      </c>
      <c r="F120" s="20" t="n">
        <v>90</v>
      </c>
      <c r="G120" s="20" t="n">
        <v>0</v>
      </c>
      <c r="H120" s="16">
        <f>G120/F120</f>
        <v/>
      </c>
      <c r="I120" s="16">
        <f>G120/E120</f>
        <v/>
      </c>
      <c r="J120" s="17" t="n">
        <v>0</v>
      </c>
      <c r="K120" s="17" t="n">
        <v>109</v>
      </c>
      <c r="L120" s="17" t="n">
        <v>0</v>
      </c>
      <c r="M120" s="16">
        <f>L120/K120</f>
        <v/>
      </c>
      <c r="N120" s="16">
        <f>L120/J120</f>
        <v/>
      </c>
      <c r="O120" s="18" t="n">
        <v>1</v>
      </c>
      <c r="P120" s="18" t="n">
        <v>0</v>
      </c>
      <c r="Q120" s="16">
        <f>P120/O120</f>
        <v/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</row>
    <row r="121">
      <c r="A121" s="1" t="inlineStr">
        <is>
          <t>androgen insensitivity syndrome</t>
        </is>
      </c>
      <c r="B121" s="1" t="inlineStr">
        <is>
          <t>MONDO_0019154</t>
        </is>
      </c>
      <c r="C121" s="1" t="inlineStr">
        <is>
          <t>name</t>
        </is>
      </c>
      <c r="D121" s="1" t="n">
        <v>0.5</v>
      </c>
      <c r="E121" s="20" t="n">
        <v>0</v>
      </c>
      <c r="F121" s="20" t="n">
        <v>29</v>
      </c>
      <c r="G121" s="20" t="n">
        <v>0</v>
      </c>
      <c r="H121" s="16">
        <f>G121/F121</f>
        <v/>
      </c>
      <c r="I121" s="16">
        <f>G121/E121</f>
        <v/>
      </c>
      <c r="J121" s="17" t="n">
        <v>0</v>
      </c>
      <c r="K121" s="17" t="n">
        <v>29</v>
      </c>
      <c r="L121" s="17" t="n">
        <v>0</v>
      </c>
      <c r="M121" s="16">
        <f>L121/K121</f>
        <v/>
      </c>
      <c r="N121" s="16">
        <f>L121/J121</f>
        <v/>
      </c>
      <c r="O121" s="18" t="n">
        <v>0</v>
      </c>
      <c r="P121" s="18" t="n">
        <v>0</v>
      </c>
      <c r="Q121" s="16">
        <f>P121/O121</f>
        <v/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</row>
    <row r="122">
      <c r="A122" s="1" t="inlineStr">
        <is>
          <t>aplastic anemia</t>
        </is>
      </c>
      <c r="B122" s="1" t="inlineStr">
        <is>
          <t>MONDO_0015909</t>
        </is>
      </c>
      <c r="C122" s="1" t="inlineStr">
        <is>
          <t>name</t>
        </is>
      </c>
      <c r="D122" s="1" t="n">
        <v>0.5</v>
      </c>
      <c r="E122" s="20" t="n">
        <v>0</v>
      </c>
      <c r="F122" s="20" t="n">
        <v>281</v>
      </c>
      <c r="G122" s="20" t="n">
        <v>0</v>
      </c>
      <c r="H122" s="16">
        <f>G122/F122</f>
        <v/>
      </c>
      <c r="I122" s="16">
        <f>G122/E122</f>
        <v/>
      </c>
      <c r="J122" s="17" t="n">
        <v>0</v>
      </c>
      <c r="K122" s="17" t="n">
        <v>82</v>
      </c>
      <c r="L122" s="17" t="n">
        <v>0</v>
      </c>
      <c r="M122" s="16">
        <f>L122/K122</f>
        <v/>
      </c>
      <c r="N122" s="16">
        <f>L122/J122</f>
        <v/>
      </c>
      <c r="O122" s="18" t="n">
        <v>3</v>
      </c>
      <c r="P122" s="18" t="n">
        <v>0</v>
      </c>
      <c r="Q122" s="16">
        <f>P122/O122</f>
        <v/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</row>
    <row r="123">
      <c r="A123" s="1" t="inlineStr">
        <is>
          <t>cerebral palsy</t>
        </is>
      </c>
      <c r="B123" s="1" t="inlineStr">
        <is>
          <t>EFO_1000632</t>
        </is>
      </c>
      <c r="C123" s="1" t="inlineStr">
        <is>
          <t>name</t>
        </is>
      </c>
      <c r="D123" s="1" t="n">
        <v>0.5</v>
      </c>
      <c r="E123" s="20" t="n">
        <v>0</v>
      </c>
      <c r="F123" s="20" t="n">
        <v>168</v>
      </c>
      <c r="G123" s="20" t="n">
        <v>0</v>
      </c>
      <c r="H123" s="16">
        <f>G123/F123</f>
        <v/>
      </c>
      <c r="I123" s="16">
        <f>G123/E123</f>
        <v/>
      </c>
      <c r="J123" s="17" t="n">
        <v>3</v>
      </c>
      <c r="K123" s="17" t="n">
        <v>98</v>
      </c>
      <c r="L123" s="17" t="n">
        <v>2</v>
      </c>
      <c r="M123" s="16">
        <f>L123/K123</f>
        <v/>
      </c>
      <c r="N123" s="16">
        <f>L123/J123</f>
        <v/>
      </c>
      <c r="O123" s="18" t="n">
        <v>0</v>
      </c>
      <c r="P123" s="18" t="n">
        <v>0</v>
      </c>
      <c r="Q123" s="16">
        <f>P123/O123</f>
        <v/>
      </c>
      <c r="R123" s="1" t="n">
        <v>287</v>
      </c>
      <c r="S123" s="1" t="n">
        <v>2</v>
      </c>
      <c r="T123" s="1" t="n">
        <v>0</v>
      </c>
      <c r="U123" s="1" t="n">
        <v>0</v>
      </c>
      <c r="V123" s="1" t="n">
        <v>2</v>
      </c>
      <c r="W123" s="1" t="n">
        <v>1</v>
      </c>
      <c r="X123" s="1" t="n">
        <v>3</v>
      </c>
      <c r="Y123" s="1" t="n">
        <v>1</v>
      </c>
      <c r="Z123" s="1" t="n">
        <v>3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1</v>
      </c>
      <c r="AF123" s="1" t="n">
        <v>1</v>
      </c>
      <c r="AG123" s="1" t="n">
        <v>0</v>
      </c>
      <c r="AH123" s="1" t="n">
        <v>0</v>
      </c>
    </row>
    <row r="124">
      <c r="A124" s="1" t="inlineStr">
        <is>
          <t>cleft lip</t>
        </is>
      </c>
      <c r="B124" s="1" t="inlineStr">
        <is>
          <t>EFO_0003959</t>
        </is>
      </c>
      <c r="C124" s="1" t="inlineStr">
        <is>
          <t>name</t>
        </is>
      </c>
      <c r="D124" s="1" t="n">
        <v>0.5</v>
      </c>
      <c r="E124" s="20" t="n">
        <v>0</v>
      </c>
      <c r="F124" s="20" t="n">
        <v>89</v>
      </c>
      <c r="G124" s="20" t="n">
        <v>0</v>
      </c>
      <c r="H124" s="16">
        <f>G124/F124</f>
        <v/>
      </c>
      <c r="I124" s="16">
        <f>G124/E124</f>
        <v/>
      </c>
      <c r="J124" s="17" t="n">
        <v>0</v>
      </c>
      <c r="K124" s="17" t="n">
        <v>102</v>
      </c>
      <c r="L124" s="17" t="n">
        <v>0</v>
      </c>
      <c r="M124" s="16">
        <f>L124/K124</f>
        <v/>
      </c>
      <c r="N124" s="16">
        <f>L124/J124</f>
        <v/>
      </c>
      <c r="O124" s="18" t="n">
        <v>2</v>
      </c>
      <c r="P124" s="18" t="n">
        <v>0</v>
      </c>
      <c r="Q124" s="16">
        <f>P124/O124</f>
        <v/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</row>
    <row r="125">
      <c r="A125" s="1" t="inlineStr">
        <is>
          <t>cystitis</t>
        </is>
      </c>
      <c r="B125" s="1" t="inlineStr">
        <is>
          <t>EFO_1000025</t>
        </is>
      </c>
      <c r="C125" s="1" t="inlineStr">
        <is>
          <t>name</t>
        </is>
      </c>
      <c r="D125" s="1" t="n">
        <v>0.5</v>
      </c>
      <c r="E125" s="20" t="n">
        <v>0</v>
      </c>
      <c r="F125" s="20" t="n">
        <v>62</v>
      </c>
      <c r="G125" s="20" t="n">
        <v>0</v>
      </c>
      <c r="H125" s="16">
        <f>G125/F125</f>
        <v/>
      </c>
      <c r="I125" s="16">
        <f>G125/E125</f>
        <v/>
      </c>
      <c r="J125" s="17" t="n">
        <v>1</v>
      </c>
      <c r="K125" s="17" t="n">
        <v>85</v>
      </c>
      <c r="L125" s="17" t="n">
        <v>1</v>
      </c>
      <c r="M125" s="16">
        <f>L125/K125</f>
        <v/>
      </c>
      <c r="N125" s="16">
        <f>L125/J125</f>
        <v/>
      </c>
      <c r="O125" s="18" t="n">
        <v>2</v>
      </c>
      <c r="P125" s="18" t="n">
        <v>0</v>
      </c>
      <c r="Q125" s="16">
        <f>P125/O125</f>
        <v/>
      </c>
      <c r="R125" s="1" t="n">
        <v>21</v>
      </c>
      <c r="S125" s="1" t="n">
        <v>1</v>
      </c>
      <c r="T125" s="1" t="n">
        <v>0</v>
      </c>
      <c r="U125" s="1" t="n">
        <v>0</v>
      </c>
      <c r="V125" s="1" t="n">
        <v>0</v>
      </c>
      <c r="W125" s="1" t="n">
        <v>1</v>
      </c>
      <c r="X125" s="1" t="n">
        <v>0</v>
      </c>
      <c r="Y125" s="1" t="n">
        <v>0</v>
      </c>
      <c r="Z125" s="1" t="n">
        <v>1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</row>
    <row r="126">
      <c r="A126" s="1" t="inlineStr">
        <is>
          <t>dengue disease</t>
        </is>
      </c>
      <c r="B126" s="1" t="inlineStr">
        <is>
          <t>EFO_0005547</t>
        </is>
      </c>
      <c r="C126" s="1" t="inlineStr">
        <is>
          <t>name</t>
        </is>
      </c>
      <c r="D126" s="1" t="n">
        <v>0.5</v>
      </c>
      <c r="E126" s="20" t="n">
        <v>0</v>
      </c>
      <c r="F126" s="20" t="n">
        <v>296</v>
      </c>
      <c r="G126" s="20" t="n">
        <v>0</v>
      </c>
      <c r="H126" s="16">
        <f>G126/F126</f>
        <v/>
      </c>
      <c r="I126" s="16">
        <f>G126/E126</f>
        <v/>
      </c>
      <c r="J126" s="17" t="n">
        <v>3</v>
      </c>
      <c r="K126" s="17" t="n">
        <v>142</v>
      </c>
      <c r="L126" s="17" t="n">
        <v>1</v>
      </c>
      <c r="M126" s="16">
        <f>L126/K126</f>
        <v/>
      </c>
      <c r="N126" s="16">
        <f>L126/J126</f>
        <v/>
      </c>
      <c r="O126" s="18" t="n">
        <v>6</v>
      </c>
      <c r="P126" s="18" t="n">
        <v>0</v>
      </c>
      <c r="Q126" s="16">
        <f>P126/O126</f>
        <v/>
      </c>
      <c r="R126" s="1" t="n">
        <v>142</v>
      </c>
      <c r="S126" s="1" t="n">
        <v>1</v>
      </c>
      <c r="T126" s="1" t="n">
        <v>0</v>
      </c>
      <c r="U126" s="1" t="n">
        <v>0</v>
      </c>
      <c r="V126" s="1" t="n">
        <v>1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1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</row>
    <row r="127">
      <c r="A127" s="1" t="inlineStr">
        <is>
          <t>dengue hemorrhagic fever</t>
        </is>
      </c>
      <c r="B127" s="1" t="inlineStr">
        <is>
          <t>EFO_0004227</t>
        </is>
      </c>
      <c r="C127" s="1" t="inlineStr">
        <is>
          <t>name</t>
        </is>
      </c>
      <c r="D127" s="1" t="n">
        <v>0.5</v>
      </c>
      <c r="E127" s="20" t="n">
        <v>0</v>
      </c>
      <c r="F127" s="20" t="n">
        <v>313</v>
      </c>
      <c r="G127" s="20" t="n">
        <v>0</v>
      </c>
      <c r="H127" s="16">
        <f>G127/F127</f>
        <v/>
      </c>
      <c r="I127" s="16">
        <f>G127/E127</f>
        <v/>
      </c>
      <c r="J127" s="17" t="n">
        <v>0</v>
      </c>
      <c r="K127" s="17" t="n">
        <v>171</v>
      </c>
      <c r="L127" s="17" t="n">
        <v>0</v>
      </c>
      <c r="M127" s="16">
        <f>L127/K127</f>
        <v/>
      </c>
      <c r="N127" s="16">
        <f>L127/J127</f>
        <v/>
      </c>
      <c r="O127" s="18" t="n">
        <v>9</v>
      </c>
      <c r="P127" s="18" t="n">
        <v>0</v>
      </c>
      <c r="Q127" s="16">
        <f>P127/O127</f>
        <v/>
      </c>
      <c r="R127" s="1" t="n">
        <v>10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</row>
    <row r="128">
      <c r="A128" s="1" t="inlineStr">
        <is>
          <t>dystonia</t>
        </is>
      </c>
      <c r="B128" s="1" t="inlineStr">
        <is>
          <t>HP_0001332</t>
        </is>
      </c>
      <c r="C128" s="1" t="inlineStr">
        <is>
          <t>name</t>
        </is>
      </c>
      <c r="D128" s="1" t="n">
        <v>0.5</v>
      </c>
      <c r="E128" s="20" t="n">
        <v>0</v>
      </c>
      <c r="F128" s="20" t="n">
        <v>217</v>
      </c>
      <c r="G128" s="20" t="n">
        <v>0</v>
      </c>
      <c r="H128" s="16">
        <f>G128/F128</f>
        <v/>
      </c>
      <c r="I128" s="16">
        <f>G128/E128</f>
        <v/>
      </c>
      <c r="J128" s="17" t="n">
        <v>0</v>
      </c>
      <c r="K128" s="17" t="n">
        <v>76</v>
      </c>
      <c r="L128" s="17" t="n">
        <v>0</v>
      </c>
      <c r="M128" s="16">
        <f>L128/K128</f>
        <v/>
      </c>
      <c r="N128" s="16">
        <f>L128/J128</f>
        <v/>
      </c>
      <c r="O128" s="18" t="n">
        <v>0</v>
      </c>
      <c r="P128" s="18" t="n">
        <v>0</v>
      </c>
      <c r="Q128" s="16">
        <f>P128/O128</f>
        <v/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</row>
    <row r="129">
      <c r="A129" s="1" t="inlineStr">
        <is>
          <t>epidermolysis bullosa simplex</t>
        </is>
      </c>
      <c r="B129" s="1" t="inlineStr">
        <is>
          <t>MONDO_0017610</t>
        </is>
      </c>
      <c r="C129" s="1" t="inlineStr">
        <is>
          <t>name</t>
        </is>
      </c>
      <c r="D129" s="1" t="n">
        <v>0.5</v>
      </c>
      <c r="E129" s="20" t="n">
        <v>0</v>
      </c>
      <c r="F129" s="20" t="n">
        <v>336</v>
      </c>
      <c r="G129" s="20" t="n">
        <v>0</v>
      </c>
      <c r="H129" s="16">
        <f>G129/F129</f>
        <v/>
      </c>
      <c r="I129" s="16">
        <f>G129/E129</f>
        <v/>
      </c>
      <c r="J129" s="17" t="n">
        <v>0</v>
      </c>
      <c r="K129" s="17" t="n">
        <v>95</v>
      </c>
      <c r="L129" s="17" t="n">
        <v>0</v>
      </c>
      <c r="M129" s="16">
        <f>L129/K129</f>
        <v/>
      </c>
      <c r="N129" s="16">
        <f>L129/J129</f>
        <v/>
      </c>
      <c r="O129" s="18" t="n">
        <v>3</v>
      </c>
      <c r="P129" s="18" t="n">
        <v>0</v>
      </c>
      <c r="Q129" s="16">
        <f>P129/O129</f>
        <v/>
      </c>
      <c r="R129" s="1" t="n">
        <v>11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</row>
    <row r="130">
      <c r="A130" s="1" t="inlineStr">
        <is>
          <t>epilepsy syndrome</t>
        </is>
      </c>
      <c r="B130" s="1" t="inlineStr">
        <is>
          <t>MONDO_0015650</t>
        </is>
      </c>
      <c r="C130" s="1" t="inlineStr">
        <is>
          <t>name</t>
        </is>
      </c>
      <c r="D130" s="1" t="n">
        <v>0.5</v>
      </c>
      <c r="E130" s="20" t="n">
        <v>0</v>
      </c>
      <c r="F130" s="20" t="n">
        <v>289</v>
      </c>
      <c r="G130" s="20" t="n">
        <v>0</v>
      </c>
      <c r="H130" s="16">
        <f>G130/F130</f>
        <v/>
      </c>
      <c r="I130" s="16">
        <f>G130/E130</f>
        <v/>
      </c>
      <c r="J130" s="17" t="n">
        <v>0</v>
      </c>
      <c r="K130" s="17" t="n">
        <v>116</v>
      </c>
      <c r="L130" s="17" t="n">
        <v>0</v>
      </c>
      <c r="M130" s="16">
        <f>L130/K130</f>
        <v/>
      </c>
      <c r="N130" s="16">
        <f>L130/J130</f>
        <v/>
      </c>
      <c r="O130" s="18" t="n">
        <v>3</v>
      </c>
      <c r="P130" s="18" t="n">
        <v>0</v>
      </c>
      <c r="Q130" s="16">
        <f>P130/O130</f>
        <v/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</row>
    <row r="131">
      <c r="A131" s="1" t="inlineStr">
        <is>
          <t>facioscapulohumeral muscular dystrophy</t>
        </is>
      </c>
      <c r="B131" s="1" t="inlineStr">
        <is>
          <t>MONDO_0001347</t>
        </is>
      </c>
      <c r="C131" s="1" t="inlineStr">
        <is>
          <t>name</t>
        </is>
      </c>
      <c r="D131" s="1" t="n">
        <v>0.5</v>
      </c>
      <c r="E131" s="20" t="n">
        <v>0</v>
      </c>
      <c r="F131" s="20" t="n">
        <v>334</v>
      </c>
      <c r="G131" s="20" t="n">
        <v>0</v>
      </c>
      <c r="H131" s="16">
        <f>G131/F131</f>
        <v/>
      </c>
      <c r="I131" s="16">
        <f>G131/E131</f>
        <v/>
      </c>
      <c r="J131" s="17" t="n">
        <v>0</v>
      </c>
      <c r="K131" s="17" t="n">
        <v>85</v>
      </c>
      <c r="L131" s="17" t="n">
        <v>0</v>
      </c>
      <c r="M131" s="16">
        <f>L131/K131</f>
        <v/>
      </c>
      <c r="N131" s="16">
        <f>L131/J131</f>
        <v/>
      </c>
      <c r="O131" s="18" t="n">
        <v>3</v>
      </c>
      <c r="P131" s="18" t="n">
        <v>0</v>
      </c>
      <c r="Q131" s="16">
        <f>P131/O131</f>
        <v/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</row>
    <row r="132">
      <c r="A132" s="1" t="inlineStr">
        <is>
          <t>fragile X syndrome</t>
        </is>
      </c>
      <c r="B132" s="1" t="inlineStr">
        <is>
          <t>MONDO_0010383</t>
        </is>
      </c>
      <c r="C132" s="1" t="inlineStr">
        <is>
          <t>name</t>
        </is>
      </c>
      <c r="D132" s="1" t="n">
        <v>0.5</v>
      </c>
      <c r="E132" s="20" t="n">
        <v>0</v>
      </c>
      <c r="F132" s="20" t="n">
        <v>379</v>
      </c>
      <c r="G132" s="20" t="n">
        <v>0</v>
      </c>
      <c r="H132" s="16">
        <f>G132/F132</f>
        <v/>
      </c>
      <c r="I132" s="16">
        <f>G132/E132</f>
        <v/>
      </c>
      <c r="J132" s="17" t="n">
        <v>6</v>
      </c>
      <c r="K132" s="17" t="n">
        <v>52</v>
      </c>
      <c r="L132" s="17" t="n">
        <v>0</v>
      </c>
      <c r="M132" s="16">
        <f>L132/K132</f>
        <v/>
      </c>
      <c r="N132" s="16">
        <f>L132/J132</f>
        <v/>
      </c>
      <c r="O132" s="18" t="n">
        <v>3</v>
      </c>
      <c r="P132" s="18" t="n">
        <v>0</v>
      </c>
      <c r="Q132" s="16">
        <f>P132/O132</f>
        <v/>
      </c>
      <c r="R132" s="1" t="n">
        <v>163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</row>
    <row r="133">
      <c r="A133" s="1" t="inlineStr">
        <is>
          <t>Hereditary gingival fibromatosis</t>
        </is>
      </c>
      <c r="B133" s="1" t="inlineStr">
        <is>
          <t>MONDO_0016070</t>
        </is>
      </c>
      <c r="C133" s="1" t="inlineStr">
        <is>
          <t>name</t>
        </is>
      </c>
      <c r="D133" s="1" t="n">
        <v>0.5</v>
      </c>
      <c r="E133" s="20" t="n">
        <v>0</v>
      </c>
      <c r="F133" s="20" t="n">
        <v>379</v>
      </c>
      <c r="G133" s="20" t="n">
        <v>0</v>
      </c>
      <c r="H133" s="16">
        <f>G133/F133</f>
        <v/>
      </c>
      <c r="I133" s="16">
        <f>G133/E133</f>
        <v/>
      </c>
      <c r="J133" s="17" t="n">
        <v>0</v>
      </c>
      <c r="K133" s="17" t="n">
        <v>0</v>
      </c>
      <c r="L133" s="17" t="n">
        <v>0</v>
      </c>
      <c r="M133" s="16">
        <f>L133/K133</f>
        <v/>
      </c>
      <c r="N133" s="16">
        <f>L133/J133</f>
        <v/>
      </c>
      <c r="O133" s="18" t="n">
        <v>0</v>
      </c>
      <c r="P133" s="18" t="n">
        <v>0</v>
      </c>
      <c r="Q133" s="16">
        <f>P133/O133</f>
        <v/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</row>
    <row r="134">
      <c r="A134" s="1" t="inlineStr">
        <is>
          <t>Hypoxia</t>
        </is>
      </c>
      <c r="B134" s="1" t="inlineStr">
        <is>
          <t>EFO_0009444</t>
        </is>
      </c>
      <c r="C134" s="1" t="inlineStr">
        <is>
          <t>name</t>
        </is>
      </c>
      <c r="D134" s="1" t="n">
        <v>0.5</v>
      </c>
      <c r="E134" s="20" t="n">
        <v>0</v>
      </c>
      <c r="F134" s="20" t="n">
        <v>282</v>
      </c>
      <c r="G134" s="20" t="n">
        <v>0</v>
      </c>
      <c r="H134" s="16">
        <f>G134/F134</f>
        <v/>
      </c>
      <c r="I134" s="16">
        <f>G134/E134</f>
        <v/>
      </c>
      <c r="J134" s="17" t="n">
        <v>3</v>
      </c>
      <c r="K134" s="17" t="n">
        <v>143</v>
      </c>
      <c r="L134" s="17" t="n">
        <v>1</v>
      </c>
      <c r="M134" s="16">
        <f>L134/K134</f>
        <v/>
      </c>
      <c r="N134" s="16">
        <f>L134/J134</f>
        <v/>
      </c>
      <c r="O134" s="18" t="n">
        <v>6</v>
      </c>
      <c r="P134" s="18" t="n">
        <v>0</v>
      </c>
      <c r="Q134" s="16">
        <f>P134/O134</f>
        <v/>
      </c>
      <c r="R134" s="1" t="n">
        <v>153</v>
      </c>
      <c r="S134" s="1" t="n">
        <v>1</v>
      </c>
      <c r="T134" s="1" t="n">
        <v>0</v>
      </c>
      <c r="U134" s="1" t="n">
        <v>1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1</v>
      </c>
    </row>
    <row r="135">
      <c r="A135" s="1" t="inlineStr">
        <is>
          <t>idiopathic interstitial pneumonia</t>
        </is>
      </c>
      <c r="B135" s="1" t="inlineStr">
        <is>
          <t>MONDO_0002429</t>
        </is>
      </c>
      <c r="C135" s="1" t="inlineStr">
        <is>
          <t>name</t>
        </is>
      </c>
      <c r="D135" s="1" t="n">
        <v>0.5</v>
      </c>
      <c r="E135" s="20" t="n">
        <v>0</v>
      </c>
      <c r="F135" s="20" t="n">
        <v>82</v>
      </c>
      <c r="G135" s="20" t="n">
        <v>0</v>
      </c>
      <c r="H135" s="16">
        <f>G135/F135</f>
        <v/>
      </c>
      <c r="I135" s="16">
        <f>G135/E135</f>
        <v/>
      </c>
      <c r="J135" s="17" t="n">
        <v>0</v>
      </c>
      <c r="K135" s="17" t="n">
        <v>112</v>
      </c>
      <c r="L135" s="17" t="n">
        <v>0</v>
      </c>
      <c r="M135" s="16">
        <f>L135/K135</f>
        <v/>
      </c>
      <c r="N135" s="16">
        <f>L135/J135</f>
        <v/>
      </c>
      <c r="O135" s="18" t="n">
        <v>2</v>
      </c>
      <c r="P135" s="18" t="n">
        <v>0</v>
      </c>
      <c r="Q135" s="16">
        <f>P135/O135</f>
        <v/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</row>
    <row r="136">
      <c r="A136" s="1" t="inlineStr">
        <is>
          <t>Lewy body dementia</t>
        </is>
      </c>
      <c r="B136" s="1" t="inlineStr">
        <is>
          <t>EFO_0006792</t>
        </is>
      </c>
      <c r="C136" s="1" t="inlineStr">
        <is>
          <t>name</t>
        </is>
      </c>
      <c r="D136" s="1" t="n">
        <v>0.5</v>
      </c>
      <c r="E136" s="20" t="n">
        <v>0</v>
      </c>
      <c r="F136" s="20" t="n">
        <v>232</v>
      </c>
      <c r="G136" s="20" t="n">
        <v>0</v>
      </c>
      <c r="H136" s="16">
        <f>G136/F136</f>
        <v/>
      </c>
      <c r="I136" s="16">
        <f>G136/E136</f>
        <v/>
      </c>
      <c r="J136" s="17" t="n">
        <v>2</v>
      </c>
      <c r="K136" s="17" t="n">
        <v>137</v>
      </c>
      <c r="L136" s="17" t="n">
        <v>0</v>
      </c>
      <c r="M136" s="16">
        <f>L136/K136</f>
        <v/>
      </c>
      <c r="N136" s="16">
        <f>L136/J136</f>
        <v/>
      </c>
      <c r="O136" s="18" t="n">
        <v>4</v>
      </c>
      <c r="P136" s="18" t="n">
        <v>0</v>
      </c>
      <c r="Q136" s="16">
        <f>P136/O136</f>
        <v/>
      </c>
      <c r="R136" s="1" t="n">
        <v>50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</row>
    <row r="137">
      <c r="A137" s="1" t="inlineStr">
        <is>
          <t>MELAS syndrome</t>
        </is>
      </c>
      <c r="B137" s="1" t="inlineStr">
        <is>
          <t>MONDO_0010789</t>
        </is>
      </c>
      <c r="C137" s="1" t="inlineStr">
        <is>
          <t>name</t>
        </is>
      </c>
      <c r="D137" s="1" t="n">
        <v>0.5</v>
      </c>
      <c r="E137" s="20" t="n">
        <v>0</v>
      </c>
      <c r="F137" s="20" t="n">
        <v>207</v>
      </c>
      <c r="G137" s="20" t="n">
        <v>0</v>
      </c>
      <c r="H137" s="16">
        <f>G137/F137</f>
        <v/>
      </c>
      <c r="I137" s="16">
        <f>G137/E137</f>
        <v/>
      </c>
      <c r="J137" s="17" t="n">
        <v>0</v>
      </c>
      <c r="K137" s="17" t="n">
        <v>425</v>
      </c>
      <c r="L137" s="17" t="n">
        <v>0</v>
      </c>
      <c r="M137" s="16">
        <f>L137/K137</f>
        <v/>
      </c>
      <c r="N137" s="16">
        <f>L137/J137</f>
        <v/>
      </c>
      <c r="O137" s="18" t="n">
        <v>11</v>
      </c>
      <c r="P137" s="18" t="n">
        <v>0</v>
      </c>
      <c r="Q137" s="16">
        <f>P137/O137</f>
        <v/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</row>
    <row r="138">
      <c r="A138" s="1" t="inlineStr">
        <is>
          <t>Meningococcal infection</t>
        </is>
      </c>
      <c r="B138" s="1" t="inlineStr">
        <is>
          <t>EFO_0004249</t>
        </is>
      </c>
      <c r="C138" s="1" t="inlineStr">
        <is>
          <t>name</t>
        </is>
      </c>
      <c r="D138" s="1" t="n">
        <v>0.5</v>
      </c>
      <c r="E138" s="20" t="n">
        <v>0</v>
      </c>
      <c r="F138" s="20" t="n">
        <v>76</v>
      </c>
      <c r="G138" s="20" t="n">
        <v>0</v>
      </c>
      <c r="H138" s="16">
        <f>G138/F138</f>
        <v/>
      </c>
      <c r="I138" s="16">
        <f>G138/E138</f>
        <v/>
      </c>
      <c r="J138" s="17" t="n">
        <v>0</v>
      </c>
      <c r="K138" s="17" t="n">
        <v>998</v>
      </c>
      <c r="L138" s="17" t="n">
        <v>0</v>
      </c>
      <c r="M138" s="16">
        <f>L138/K138</f>
        <v/>
      </c>
      <c r="N138" s="16">
        <f>L138/J138</f>
        <v/>
      </c>
      <c r="O138" s="18" t="n">
        <v>5</v>
      </c>
      <c r="P138" s="18" t="n">
        <v>0</v>
      </c>
      <c r="Q138" s="16">
        <f>P138/O138</f>
        <v/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</row>
    <row r="139">
      <c r="A139" s="1" t="inlineStr">
        <is>
          <t>myotonic dystrophy type 1</t>
        </is>
      </c>
      <c r="B139" s="1" t="inlineStr">
        <is>
          <t>MONDO_0008056</t>
        </is>
      </c>
      <c r="C139" s="1" t="inlineStr">
        <is>
          <t>name</t>
        </is>
      </c>
      <c r="D139" s="1" t="n">
        <v>0.5</v>
      </c>
      <c r="E139" s="20" t="n">
        <v>0</v>
      </c>
      <c r="F139" s="20" t="n">
        <v>182</v>
      </c>
      <c r="G139" s="20" t="n">
        <v>0</v>
      </c>
      <c r="H139" s="16">
        <f>G139/F139</f>
        <v/>
      </c>
      <c r="I139" s="16">
        <f>G139/E139</f>
        <v/>
      </c>
      <c r="J139" s="17" t="n">
        <v>1</v>
      </c>
      <c r="K139" s="17" t="n">
        <v>608</v>
      </c>
      <c r="L139" s="17" t="n">
        <v>0</v>
      </c>
      <c r="M139" s="16">
        <f>L139/K139</f>
        <v/>
      </c>
      <c r="N139" s="16">
        <f>L139/J139</f>
        <v/>
      </c>
      <c r="O139" s="18" t="n">
        <v>12</v>
      </c>
      <c r="P139" s="18" t="n">
        <v>0</v>
      </c>
      <c r="Q139" s="16">
        <f>P139/O139</f>
        <v/>
      </c>
      <c r="R139" s="1" t="n">
        <v>4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</row>
    <row r="140">
      <c r="A140" s="1" t="inlineStr">
        <is>
          <t>nephroblastoma</t>
        </is>
      </c>
      <c r="B140" s="1" t="inlineStr">
        <is>
          <t>Orphanet_654</t>
        </is>
      </c>
      <c r="C140" s="1" t="inlineStr">
        <is>
          <t>name</t>
        </is>
      </c>
      <c r="D140" s="1" t="n">
        <v>0.5</v>
      </c>
      <c r="E140" s="20" t="n">
        <v>0</v>
      </c>
      <c r="F140" s="20" t="n">
        <v>227</v>
      </c>
      <c r="G140" s="20" t="n">
        <v>0</v>
      </c>
      <c r="H140" s="16">
        <f>G140/F140</f>
        <v/>
      </c>
      <c r="I140" s="16">
        <f>G140/E140</f>
        <v/>
      </c>
      <c r="J140" s="17" t="n">
        <v>0</v>
      </c>
      <c r="K140" s="17" t="n">
        <v>666</v>
      </c>
      <c r="L140" s="17" t="n">
        <v>0</v>
      </c>
      <c r="M140" s="16">
        <f>L140/K140</f>
        <v/>
      </c>
      <c r="N140" s="16">
        <f>L140/J140</f>
        <v/>
      </c>
      <c r="O140" s="18" t="n">
        <v>14</v>
      </c>
      <c r="P140" s="18" t="n">
        <v>0</v>
      </c>
      <c r="Q140" s="16">
        <f>P140/O140</f>
        <v/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</row>
    <row r="141">
      <c r="A141" s="1" t="inlineStr">
        <is>
          <t>nephrosclerosis</t>
        </is>
      </c>
      <c r="B141" s="1" t="inlineStr">
        <is>
          <t>EFO_1000041</t>
        </is>
      </c>
      <c r="C141" s="1" t="inlineStr">
        <is>
          <t>name</t>
        </is>
      </c>
      <c r="D141" s="1" t="n">
        <v>0.5</v>
      </c>
      <c r="E141" s="20" t="n">
        <v>0</v>
      </c>
      <c r="F141" s="20" t="n">
        <v>245</v>
      </c>
      <c r="G141" s="20" t="n">
        <v>0</v>
      </c>
      <c r="H141" s="16">
        <f>G141/F141</f>
        <v/>
      </c>
      <c r="I141" s="16">
        <f>G141/E141</f>
        <v/>
      </c>
      <c r="J141" s="17" t="n">
        <v>0</v>
      </c>
      <c r="K141" s="17" t="n">
        <v>907</v>
      </c>
      <c r="L141" s="17" t="n">
        <v>0</v>
      </c>
      <c r="M141" s="16">
        <f>L141/K141</f>
        <v/>
      </c>
      <c r="N141" s="16">
        <f>L141/J141</f>
        <v/>
      </c>
      <c r="O141" s="18" t="n">
        <v>21</v>
      </c>
      <c r="P141" s="18" t="n">
        <v>0</v>
      </c>
      <c r="Q141" s="16">
        <f>P141/O141</f>
        <v/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</row>
    <row r="142">
      <c r="A142" s="1" t="inlineStr">
        <is>
          <t>Osteolysis</t>
        </is>
      </c>
      <c r="B142" s="1" t="inlineStr">
        <is>
          <t>HP_0002797</t>
        </is>
      </c>
      <c r="C142" s="1" t="inlineStr">
        <is>
          <t>name</t>
        </is>
      </c>
      <c r="D142" s="1" t="n">
        <v>0.5</v>
      </c>
      <c r="E142" s="20" t="n">
        <v>0</v>
      </c>
      <c r="F142" s="20" t="n">
        <v>279</v>
      </c>
      <c r="G142" s="20" t="n">
        <v>0</v>
      </c>
      <c r="H142" s="16">
        <f>G142/F142</f>
        <v/>
      </c>
      <c r="I142" s="16">
        <f>G142/E142</f>
        <v/>
      </c>
      <c r="J142" s="17" t="n">
        <v>0</v>
      </c>
      <c r="K142" s="17" t="n">
        <v>732</v>
      </c>
      <c r="L142" s="17" t="n">
        <v>0</v>
      </c>
      <c r="M142" s="16">
        <f>L142/K142</f>
        <v/>
      </c>
      <c r="N142" s="16">
        <f>L142/J142</f>
        <v/>
      </c>
      <c r="O142" s="18" t="n">
        <v>21</v>
      </c>
      <c r="P142" s="18" t="n">
        <v>0</v>
      </c>
      <c r="Q142" s="16">
        <f>P142/O142</f>
        <v/>
      </c>
      <c r="R142" s="1" t="n">
        <v>11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</row>
    <row r="143">
      <c r="A143" s="1" t="inlineStr">
        <is>
          <t>ovarian serous carcinoma</t>
        </is>
      </c>
      <c r="B143" s="1" t="inlineStr">
        <is>
          <t>EFO_1001516</t>
        </is>
      </c>
      <c r="C143" s="1" t="inlineStr">
        <is>
          <t>name</t>
        </is>
      </c>
      <c r="D143" s="1" t="n">
        <v>0.5</v>
      </c>
      <c r="E143" s="20" t="n">
        <v>0</v>
      </c>
      <c r="F143" s="20" t="n">
        <v>46</v>
      </c>
      <c r="G143" s="20" t="n">
        <v>0</v>
      </c>
      <c r="H143" s="16">
        <f>G143/F143</f>
        <v/>
      </c>
      <c r="I143" s="16">
        <f>G143/E143</f>
        <v/>
      </c>
      <c r="J143" s="17" t="n">
        <v>0</v>
      </c>
      <c r="K143" s="17" t="n">
        <v>667</v>
      </c>
      <c r="L143" s="17" t="n">
        <v>0</v>
      </c>
      <c r="M143" s="16">
        <f>L143/K143</f>
        <v/>
      </c>
      <c r="N143" s="16">
        <f>L143/J143</f>
        <v/>
      </c>
      <c r="O143" s="18" t="n">
        <v>0</v>
      </c>
      <c r="P143" s="18" t="n">
        <v>0</v>
      </c>
      <c r="Q143" s="16">
        <f>P143/O143</f>
        <v/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</row>
    <row r="144">
      <c r="A144" s="1" t="inlineStr">
        <is>
          <t>peripartum cardiomyopathy</t>
        </is>
      </c>
      <c r="B144" s="1" t="inlineStr">
        <is>
          <t>EFO_0002628</t>
        </is>
      </c>
      <c r="C144" s="1" t="inlineStr">
        <is>
          <t>name</t>
        </is>
      </c>
      <c r="D144" s="1" t="n">
        <v>0.5</v>
      </c>
      <c r="E144" s="20" t="n">
        <v>0</v>
      </c>
      <c r="F144" s="20" t="n">
        <v>254</v>
      </c>
      <c r="G144" s="20" t="n">
        <v>0</v>
      </c>
      <c r="H144" s="16">
        <f>G144/F144</f>
        <v/>
      </c>
      <c r="I144" s="16">
        <f>G144/E144</f>
        <v/>
      </c>
      <c r="J144" s="17" t="n">
        <v>1</v>
      </c>
      <c r="K144" s="17" t="n">
        <v>295</v>
      </c>
      <c r="L144" s="17" t="n">
        <v>1</v>
      </c>
      <c r="M144" s="16">
        <f>L144/K144</f>
        <v/>
      </c>
      <c r="N144" s="16">
        <f>L144/J144</f>
        <v/>
      </c>
      <c r="O144" s="18" t="n">
        <v>4</v>
      </c>
      <c r="P144" s="18" t="n">
        <v>0</v>
      </c>
      <c r="Q144" s="16">
        <f>P144/O144</f>
        <v/>
      </c>
      <c r="R144" s="1" t="n">
        <v>8</v>
      </c>
      <c r="S144" s="1" t="n">
        <v>1</v>
      </c>
      <c r="T144" s="1" t="n">
        <v>0</v>
      </c>
      <c r="U144" s="1" t="n">
        <v>0</v>
      </c>
      <c r="V144" s="1" t="n">
        <v>1</v>
      </c>
      <c r="W144" s="1" t="n">
        <v>1</v>
      </c>
      <c r="X144" s="1" t="n">
        <v>0</v>
      </c>
      <c r="Y144" s="1" t="n">
        <v>0</v>
      </c>
      <c r="Z144" s="1" t="n">
        <v>1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1</v>
      </c>
    </row>
    <row r="145">
      <c r="A145" s="1" t="inlineStr">
        <is>
          <t>Polymyositis</t>
        </is>
      </c>
      <c r="B145" s="1" t="inlineStr">
        <is>
          <t>EFO_0003063</t>
        </is>
      </c>
      <c r="C145" s="1" t="inlineStr">
        <is>
          <t>name</t>
        </is>
      </c>
      <c r="D145" s="1" t="n">
        <v>0.5</v>
      </c>
      <c r="E145" s="20" t="n">
        <v>0</v>
      </c>
      <c r="F145" s="20" t="n">
        <v>333</v>
      </c>
      <c r="G145" s="20" t="n">
        <v>0</v>
      </c>
      <c r="H145" s="16">
        <f>G145/F145</f>
        <v/>
      </c>
      <c r="I145" s="16">
        <f>G145/E145</f>
        <v/>
      </c>
      <c r="J145" s="17" t="n">
        <v>3</v>
      </c>
      <c r="K145" s="17" t="n">
        <v>502</v>
      </c>
      <c r="L145" s="17" t="n">
        <v>1</v>
      </c>
      <c r="M145" s="16">
        <f>L145/K145</f>
        <v/>
      </c>
      <c r="N145" s="16">
        <f>L145/J145</f>
        <v/>
      </c>
      <c r="O145" s="18" t="n">
        <v>12</v>
      </c>
      <c r="P145" s="18" t="n">
        <v>0</v>
      </c>
      <c r="Q145" s="16">
        <f>P145/O145</f>
        <v/>
      </c>
      <c r="R145" s="1" t="n">
        <v>116</v>
      </c>
      <c r="S145" s="1" t="n">
        <v>1</v>
      </c>
      <c r="T145" s="1" t="n">
        <v>0</v>
      </c>
      <c r="U145" s="1" t="n">
        <v>0</v>
      </c>
      <c r="V145" s="1" t="n">
        <v>1</v>
      </c>
      <c r="W145" s="1" t="n">
        <v>0</v>
      </c>
      <c r="X145" s="1" t="n">
        <v>0</v>
      </c>
      <c r="Y145" s="1" t="n">
        <v>0</v>
      </c>
      <c r="Z145" s="1" t="n">
        <v>1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</row>
    <row r="146">
      <c r="A146" s="1" t="inlineStr">
        <is>
          <t>Pseudomonas Infection</t>
        </is>
      </c>
      <c r="B146" s="1" t="inlineStr">
        <is>
          <t>EFO_0001076</t>
        </is>
      </c>
      <c r="C146" s="1" t="inlineStr">
        <is>
          <t>name</t>
        </is>
      </c>
      <c r="D146" s="1" t="n">
        <v>0.5</v>
      </c>
      <c r="E146" s="20" t="n">
        <v>0</v>
      </c>
      <c r="F146" s="20" t="n">
        <v>51</v>
      </c>
      <c r="G146" s="20" t="n">
        <v>0</v>
      </c>
      <c r="H146" s="16">
        <f>G146/F146</f>
        <v/>
      </c>
      <c r="I146" s="16">
        <f>G146/E146</f>
        <v/>
      </c>
      <c r="J146" s="17" t="n">
        <v>0</v>
      </c>
      <c r="K146" s="17" t="n">
        <v>779</v>
      </c>
      <c r="L146" s="17" t="n">
        <v>0</v>
      </c>
      <c r="M146" s="16">
        <f>L146/K146</f>
        <v/>
      </c>
      <c r="N146" s="16">
        <f>L146/J146</f>
        <v/>
      </c>
      <c r="O146" s="18" t="n">
        <v>3</v>
      </c>
      <c r="P146" s="18" t="n">
        <v>0</v>
      </c>
      <c r="Q146" s="16">
        <f>P146/O146</f>
        <v/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</row>
    <row r="147">
      <c r="A147" s="1" t="inlineStr">
        <is>
          <t>Rett syndrome</t>
        </is>
      </c>
      <c r="B147" s="1" t="inlineStr">
        <is>
          <t>MONDO_0010726</t>
        </is>
      </c>
      <c r="C147" s="1" t="inlineStr">
        <is>
          <t>name</t>
        </is>
      </c>
      <c r="D147" s="1" t="n">
        <v>0.5</v>
      </c>
      <c r="E147" s="20" t="n">
        <v>0</v>
      </c>
      <c r="F147" s="20" t="n">
        <v>227</v>
      </c>
      <c r="G147" s="20" t="n">
        <v>0</v>
      </c>
      <c r="H147" s="16">
        <f>G147/F147</f>
        <v/>
      </c>
      <c r="I147" s="16">
        <f>G147/E147</f>
        <v/>
      </c>
      <c r="J147" s="17" t="n">
        <v>4</v>
      </c>
      <c r="K147" s="17" t="n">
        <v>744</v>
      </c>
      <c r="L147" s="17" t="n">
        <v>1</v>
      </c>
      <c r="M147" s="16">
        <f>L147/K147</f>
        <v/>
      </c>
      <c r="N147" s="16">
        <f>L147/J147</f>
        <v/>
      </c>
      <c r="O147" s="18" t="n">
        <v>12</v>
      </c>
      <c r="P147" s="18" t="n">
        <v>0</v>
      </c>
      <c r="Q147" s="16">
        <f>P147/O147</f>
        <v/>
      </c>
      <c r="R147" s="1" t="n">
        <v>132</v>
      </c>
      <c r="S147" s="1" t="n">
        <v>1</v>
      </c>
      <c r="T147" s="1" t="n">
        <v>0</v>
      </c>
      <c r="U147" s="1" t="n">
        <v>0</v>
      </c>
      <c r="V147" s="1" t="n">
        <v>1</v>
      </c>
      <c r="W147" s="1" t="n">
        <v>0</v>
      </c>
      <c r="X147" s="1" t="n">
        <v>0</v>
      </c>
      <c r="Y147" s="1" t="n">
        <v>0</v>
      </c>
      <c r="Z147" s="1" t="n">
        <v>1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</row>
    <row r="148">
      <c r="A148" s="1" t="inlineStr">
        <is>
          <t>serous cystadenocarcinoma</t>
        </is>
      </c>
      <c r="B148" s="1" t="inlineStr">
        <is>
          <t>MONDO_0024621</t>
        </is>
      </c>
      <c r="C148" s="1" t="inlineStr">
        <is>
          <t>name</t>
        </is>
      </c>
      <c r="D148" s="1" t="n">
        <v>0.5</v>
      </c>
      <c r="E148" s="20" t="n">
        <v>0</v>
      </c>
      <c r="F148" s="20" t="n">
        <v>59</v>
      </c>
      <c r="G148" s="20" t="n">
        <v>0</v>
      </c>
      <c r="H148" s="16">
        <f>G148/F148</f>
        <v/>
      </c>
      <c r="I148" s="16">
        <f>G148/E148</f>
        <v/>
      </c>
      <c r="J148" s="17" t="n">
        <v>0</v>
      </c>
      <c r="K148" s="17" t="n">
        <v>959</v>
      </c>
      <c r="L148" s="17" t="n">
        <v>0</v>
      </c>
      <c r="M148" s="16">
        <f>L148/K148</f>
        <v/>
      </c>
      <c r="N148" s="16">
        <f>L148/J148</f>
        <v/>
      </c>
      <c r="O148" s="18" t="n">
        <v>3</v>
      </c>
      <c r="P148" s="18" t="n">
        <v>0</v>
      </c>
      <c r="Q148" s="16">
        <f>P148/O148</f>
        <v/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</row>
    <row r="149">
      <c r="A149" s="1" t="inlineStr">
        <is>
          <t>swine influenza</t>
        </is>
      </c>
      <c r="B149" s="1" t="inlineStr">
        <is>
          <t>EFO_0005226</t>
        </is>
      </c>
      <c r="C149" s="1" t="inlineStr">
        <is>
          <t>name</t>
        </is>
      </c>
      <c r="D149" s="1" t="n">
        <v>0.5</v>
      </c>
      <c r="E149" s="20" t="n">
        <v>0</v>
      </c>
      <c r="F149" s="20" t="n">
        <v>319</v>
      </c>
      <c r="G149" s="20" t="n">
        <v>0</v>
      </c>
      <c r="H149" s="16">
        <f>G149/F149</f>
        <v/>
      </c>
      <c r="I149" s="16">
        <f>G149/E149</f>
        <v/>
      </c>
      <c r="J149" s="17" t="n">
        <v>0</v>
      </c>
      <c r="K149" s="17" t="n">
        <v>296</v>
      </c>
      <c r="L149" s="17" t="n">
        <v>0</v>
      </c>
      <c r="M149" s="16">
        <f>L149/K149</f>
        <v/>
      </c>
      <c r="N149" s="16">
        <f>L149/J149</f>
        <v/>
      </c>
      <c r="O149" s="18" t="n">
        <v>9</v>
      </c>
      <c r="P149" s="18" t="n">
        <v>0</v>
      </c>
      <c r="Q149" s="16">
        <f>P149/O149</f>
        <v/>
      </c>
      <c r="R149" s="1" t="n">
        <v>6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</row>
    <row r="150">
      <c r="A150" s="1" t="inlineStr">
        <is>
          <t>Venezuelan equine encephalitis</t>
        </is>
      </c>
      <c r="B150" s="1" t="inlineStr">
        <is>
          <t>EFO_0007534</t>
        </is>
      </c>
      <c r="C150" s="1" t="inlineStr">
        <is>
          <t>name</t>
        </is>
      </c>
      <c r="D150" s="1" t="n">
        <v>0.5</v>
      </c>
      <c r="E150" s="20" t="n">
        <v>0</v>
      </c>
      <c r="F150" s="20" t="n">
        <v>135</v>
      </c>
      <c r="G150" s="20" t="n">
        <v>0</v>
      </c>
      <c r="H150" s="16">
        <f>G150/F150</f>
        <v/>
      </c>
      <c r="I150" s="16">
        <f>G150/E150</f>
        <v/>
      </c>
      <c r="J150" s="17" t="n">
        <v>0</v>
      </c>
      <c r="K150" s="17" t="n">
        <v>259</v>
      </c>
      <c r="L150" s="17" t="n">
        <v>0</v>
      </c>
      <c r="M150" s="16">
        <f>L150/K150</f>
        <v/>
      </c>
      <c r="N150" s="16">
        <f>L150/J150</f>
        <v/>
      </c>
      <c r="O150" s="18" t="n">
        <v>4</v>
      </c>
      <c r="P150" s="18" t="n">
        <v>0</v>
      </c>
      <c r="Q150" s="16">
        <f>P150/O150</f>
        <v/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</row>
    <row r="151">
      <c r="A151" s="1" t="inlineStr">
        <is>
          <t>Viral cardiomyopathy</t>
        </is>
      </c>
      <c r="B151" s="1" t="inlineStr">
        <is>
          <t>EFO_0002629</t>
        </is>
      </c>
      <c r="C151" s="1" t="inlineStr">
        <is>
          <t>name</t>
        </is>
      </c>
      <c r="D151" s="1" t="n">
        <v>0.5</v>
      </c>
      <c r="E151" s="20" t="n">
        <v>0</v>
      </c>
      <c r="F151" s="20" t="n">
        <v>34</v>
      </c>
      <c r="G151" s="20" t="n">
        <v>0</v>
      </c>
      <c r="H151" s="16">
        <f>G151/F151</f>
        <v/>
      </c>
      <c r="I151" s="16">
        <f>G151/E151</f>
        <v/>
      </c>
      <c r="J151" s="17" t="n">
        <v>0</v>
      </c>
      <c r="K151" s="17" t="n">
        <v>966</v>
      </c>
      <c r="L151" s="17" t="n">
        <v>0</v>
      </c>
      <c r="M151" s="16">
        <f>L151/K151</f>
        <v/>
      </c>
      <c r="N151" s="16">
        <f>L151/J151</f>
        <v/>
      </c>
      <c r="O151" s="18" t="n">
        <v>7</v>
      </c>
      <c r="P151" s="18" t="n">
        <v>0</v>
      </c>
      <c r="Q151" s="16">
        <f>P151/O151</f>
        <v/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</row>
    <row r="152">
      <c r="A152" s="1" t="inlineStr">
        <is>
          <t>West Nile fever</t>
        </is>
      </c>
      <c r="B152" s="1" t="inlineStr">
        <is>
          <t>MONDO_0002282</t>
        </is>
      </c>
      <c r="C152" s="1" t="inlineStr">
        <is>
          <t>name</t>
        </is>
      </c>
      <c r="D152" s="1" t="n">
        <v>0.5</v>
      </c>
      <c r="E152" s="20" t="n">
        <v>0</v>
      </c>
      <c r="F152" s="20" t="n">
        <v>197</v>
      </c>
      <c r="G152" s="20" t="n">
        <v>0</v>
      </c>
      <c r="H152" s="16">
        <f>G152/F152</f>
        <v/>
      </c>
      <c r="I152" s="16">
        <f>G152/E152</f>
        <v/>
      </c>
      <c r="J152" s="17" t="n">
        <v>0</v>
      </c>
      <c r="K152" s="17" t="n">
        <v>282</v>
      </c>
      <c r="L152" s="17" t="n">
        <v>0</v>
      </c>
      <c r="M152" s="16">
        <f>L152/K152</f>
        <v/>
      </c>
      <c r="N152" s="16">
        <f>L152/J152</f>
        <v/>
      </c>
      <c r="O152" s="18" t="n">
        <v>7</v>
      </c>
      <c r="P152" s="18" t="n">
        <v>0</v>
      </c>
      <c r="Q152" s="16">
        <f>P152/O152</f>
        <v/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</row>
    <row r="153">
      <c r="A153" s="11" t="inlineStr">
        <is>
          <t>amyotrophic lateral sclerosis type 10</t>
        </is>
      </c>
      <c r="B153" s="11" t="n">
        <v>0</v>
      </c>
      <c r="C153" s="11" t="inlineStr">
        <is>
          <t>no_match</t>
        </is>
      </c>
      <c r="D153" s="11" t="n">
        <v>0.5</v>
      </c>
      <c r="E153" s="11" t="n">
        <v>0</v>
      </c>
      <c r="F153" s="11" t="n">
        <v>199</v>
      </c>
      <c r="G153" s="11" t="n">
        <v>0</v>
      </c>
      <c r="H153" s="12">
        <f>G153/F153</f>
        <v/>
      </c>
      <c r="I153" s="12">
        <f>G153/E153</f>
        <v/>
      </c>
      <c r="J153" s="11" t="n">
        <v>0</v>
      </c>
      <c r="K153" s="11" t="n">
        <v>88</v>
      </c>
      <c r="L153" s="11" t="n">
        <v>0</v>
      </c>
      <c r="M153" s="12">
        <f>L153/K153</f>
        <v/>
      </c>
      <c r="N153" s="12">
        <f>L153/J153</f>
        <v/>
      </c>
      <c r="O153" s="11" t="n">
        <v>1</v>
      </c>
      <c r="P153" s="11" t="n">
        <v>0</v>
      </c>
      <c r="Q153" s="12">
        <f>P153/O153</f>
        <v/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</row>
    <row r="154">
      <c r="A154" s="11" t="inlineStr">
        <is>
          <t>Carcinoma in situ of large intestine</t>
        </is>
      </c>
      <c r="B154" s="11" t="n">
        <v>0</v>
      </c>
      <c r="C154" s="11" t="inlineStr">
        <is>
          <t>no_match</t>
        </is>
      </c>
      <c r="D154" s="11" t="n">
        <v>0.5</v>
      </c>
      <c r="E154" s="11" t="n">
        <v>0</v>
      </c>
      <c r="F154" s="11" t="n">
        <v>311</v>
      </c>
      <c r="G154" s="11" t="n">
        <v>0</v>
      </c>
      <c r="H154" s="12">
        <f>G154/F154</f>
        <v/>
      </c>
      <c r="I154" s="12">
        <f>G154/E154</f>
        <v/>
      </c>
      <c r="J154" s="11" t="n">
        <v>0</v>
      </c>
      <c r="K154" s="11" t="n">
        <v>60</v>
      </c>
      <c r="L154" s="11" t="n">
        <v>0</v>
      </c>
      <c r="M154" s="12">
        <f>L154/K154</f>
        <v/>
      </c>
      <c r="N154" s="12">
        <f>L154/J154</f>
        <v/>
      </c>
      <c r="O154" s="11" t="n">
        <v>3</v>
      </c>
      <c r="P154" s="11" t="n">
        <v>0</v>
      </c>
      <c r="Q154" s="12">
        <f>P154/O154</f>
        <v/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1" t="n">
        <v>0</v>
      </c>
      <c r="AC154" s="11" t="n">
        <v>0</v>
      </c>
      <c r="AD154" s="11" t="n">
        <v>0</v>
      </c>
      <c r="AE154" s="11" t="n">
        <v>0</v>
      </c>
      <c r="AF154" s="11" t="n">
        <v>0</v>
      </c>
      <c r="AG154" s="11" t="n">
        <v>0</v>
      </c>
      <c r="AH154" s="11" t="n">
        <v>0</v>
      </c>
    </row>
    <row r="155">
      <c r="A155" s="11" t="inlineStr">
        <is>
          <t>cellular phase chronic idiopathic myelofibrosis</t>
        </is>
      </c>
      <c r="B155" s="11" t="n">
        <v>0</v>
      </c>
      <c r="C155" s="11" t="inlineStr">
        <is>
          <t>no_match</t>
        </is>
      </c>
      <c r="D155" s="11" t="n">
        <v>0.5</v>
      </c>
      <c r="E155" s="11" t="n">
        <v>0</v>
      </c>
      <c r="F155" s="11" t="n">
        <v>262</v>
      </c>
      <c r="G155" s="11" t="n">
        <v>0</v>
      </c>
      <c r="H155" s="12">
        <f>G155/F155</f>
        <v/>
      </c>
      <c r="I155" s="12">
        <f>G155/E155</f>
        <v/>
      </c>
      <c r="J155" s="11" t="n">
        <v>0</v>
      </c>
      <c r="K155" s="11" t="n">
        <v>154</v>
      </c>
      <c r="L155" s="11" t="n">
        <v>0</v>
      </c>
      <c r="M155" s="12">
        <f>L155/K155</f>
        <v/>
      </c>
      <c r="N155" s="12">
        <f>L155/J155</f>
        <v/>
      </c>
      <c r="O155" s="11" t="n">
        <v>5</v>
      </c>
      <c r="P155" s="11" t="n">
        <v>0</v>
      </c>
      <c r="Q155" s="12">
        <f>P155/O155</f>
        <v/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</row>
    <row r="156">
      <c r="A156" s="11" t="inlineStr">
        <is>
          <t>Chronic Lymphocytic Leukemia (Chronic B-lymphocytic leukemia)</t>
        </is>
      </c>
      <c r="B156" s="11" t="n">
        <v>0</v>
      </c>
      <c r="C156" s="11" t="inlineStr">
        <is>
          <t>no_match</t>
        </is>
      </c>
      <c r="D156" s="11" t="n">
        <v>0.5</v>
      </c>
      <c r="E156" s="11" t="n">
        <v>0</v>
      </c>
      <c r="F156" s="11" t="n">
        <v>311</v>
      </c>
      <c r="G156" s="11" t="n">
        <v>0</v>
      </c>
      <c r="H156" s="12">
        <f>G156/F156</f>
        <v/>
      </c>
      <c r="I156" s="12">
        <f>G156/E156</f>
        <v/>
      </c>
      <c r="J156" s="11" t="n">
        <v>0</v>
      </c>
      <c r="K156" s="11" t="n">
        <v>0</v>
      </c>
      <c r="L156" s="11" t="n">
        <v>0</v>
      </c>
      <c r="M156" s="12">
        <f>L156/K156</f>
        <v/>
      </c>
      <c r="N156" s="12">
        <f>L156/J156</f>
        <v/>
      </c>
      <c r="O156" s="11" t="n">
        <v>0</v>
      </c>
      <c r="P156" s="11" t="n">
        <v>0</v>
      </c>
      <c r="Q156" s="12">
        <f>P156/O156</f>
        <v/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0</v>
      </c>
      <c r="AG156" s="11" t="n">
        <v>0</v>
      </c>
      <c r="AH156" s="11" t="n">
        <v>0</v>
      </c>
    </row>
    <row r="157">
      <c r="A157" s="11" t="inlineStr">
        <is>
          <t>Dental cavity, complex</t>
        </is>
      </c>
      <c r="B157" s="11" t="n">
        <v>0</v>
      </c>
      <c r="C157" s="11" t="inlineStr">
        <is>
          <t>no_match</t>
        </is>
      </c>
      <c r="D157" s="11" t="n">
        <v>0.5</v>
      </c>
      <c r="E157" s="11" t="n">
        <v>0</v>
      </c>
      <c r="F157" s="11" t="n">
        <v>352</v>
      </c>
      <c r="G157" s="11" t="n">
        <v>0</v>
      </c>
      <c r="H157" s="12">
        <f>G157/F157</f>
        <v/>
      </c>
      <c r="I157" s="12">
        <f>G157/E157</f>
        <v/>
      </c>
      <c r="J157" s="11" t="n">
        <v>0</v>
      </c>
      <c r="K157" s="11" t="n">
        <v>13</v>
      </c>
      <c r="L157" s="11" t="n">
        <v>0</v>
      </c>
      <c r="M157" s="12">
        <f>L157/K157</f>
        <v/>
      </c>
      <c r="N157" s="12">
        <f>L157/J157</f>
        <v/>
      </c>
      <c r="O157" s="11" t="n">
        <v>0</v>
      </c>
      <c r="P157" s="11" t="n">
        <v>0</v>
      </c>
      <c r="Q157" s="12">
        <f>P157/O157</f>
        <v/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</row>
    <row r="158">
      <c r="A158" s="11" t="inlineStr">
        <is>
          <t>Epithelial proliferation</t>
        </is>
      </c>
      <c r="B158" s="11" t="n">
        <v>0</v>
      </c>
      <c r="C158" s="11" t="inlineStr">
        <is>
          <t>no_match</t>
        </is>
      </c>
      <c r="D158" s="11" t="n">
        <v>0.5</v>
      </c>
      <c r="E158" s="11" t="n">
        <v>0</v>
      </c>
      <c r="F158" s="11" t="n">
        <v>55</v>
      </c>
      <c r="G158" s="11" t="n">
        <v>0</v>
      </c>
      <c r="H158" s="12">
        <f>G158/F158</f>
        <v/>
      </c>
      <c r="I158" s="12">
        <f>G158/E158</f>
        <v/>
      </c>
      <c r="J158" s="11" t="n">
        <v>0</v>
      </c>
      <c r="K158" s="11" t="n">
        <v>90</v>
      </c>
      <c r="L158" s="11" t="n">
        <v>0</v>
      </c>
      <c r="M158" s="12">
        <f>L158/K158</f>
        <v/>
      </c>
      <c r="N158" s="12">
        <f>L158/J158</f>
        <v/>
      </c>
      <c r="O158" s="11" t="n">
        <v>3</v>
      </c>
      <c r="P158" s="11" t="n">
        <v>0</v>
      </c>
      <c r="Q158" s="12">
        <f>P158/O158</f>
        <v/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0</v>
      </c>
      <c r="AH158" s="11" t="n">
        <v>0</v>
      </c>
    </row>
    <row r="159">
      <c r="A159" s="11" t="inlineStr">
        <is>
          <t>familial combined hyperlipidemia</t>
        </is>
      </c>
      <c r="B159" s="11" t="n">
        <v>0</v>
      </c>
      <c r="C159" s="11" t="inlineStr">
        <is>
          <t>no_match</t>
        </is>
      </c>
      <c r="D159" s="11" t="n">
        <v>0.5</v>
      </c>
      <c r="E159" s="11" t="n">
        <v>0</v>
      </c>
      <c r="F159" s="11" t="n">
        <v>340</v>
      </c>
      <c r="G159" s="11" t="n">
        <v>0</v>
      </c>
      <c r="H159" s="12">
        <f>G159/F159</f>
        <v/>
      </c>
      <c r="I159" s="12">
        <f>G159/E159</f>
        <v/>
      </c>
      <c r="J159" s="11" t="n">
        <v>0</v>
      </c>
      <c r="K159" s="11" t="n">
        <v>124</v>
      </c>
      <c r="L159" s="11" t="n">
        <v>0</v>
      </c>
      <c r="M159" s="12">
        <f>L159/K159</f>
        <v/>
      </c>
      <c r="N159" s="12">
        <f>L159/J159</f>
        <v/>
      </c>
      <c r="O159" s="11" t="n">
        <v>11</v>
      </c>
      <c r="P159" s="11" t="n">
        <v>0</v>
      </c>
      <c r="Q159" s="12">
        <f>P159/O159</f>
        <v/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</row>
    <row r="160">
      <c r="A160" s="11" t="inlineStr">
        <is>
          <t>Helicobacter pylori gastrointestinal tract infection</t>
        </is>
      </c>
      <c r="B160" s="11" t="n">
        <v>0</v>
      </c>
      <c r="C160" s="11" t="inlineStr">
        <is>
          <t>no_match</t>
        </is>
      </c>
      <c r="D160" s="11" t="n">
        <v>0.5</v>
      </c>
      <c r="E160" s="11" t="n">
        <v>0</v>
      </c>
      <c r="F160" s="11" t="n">
        <v>289</v>
      </c>
      <c r="G160" s="11" t="n">
        <v>0</v>
      </c>
      <c r="H160" s="12">
        <f>G160/F160</f>
        <v/>
      </c>
      <c r="I160" s="12">
        <f>G160/E160</f>
        <v/>
      </c>
      <c r="J160" s="11" t="n">
        <v>0</v>
      </c>
      <c r="K160" s="11" t="n">
        <v>0</v>
      </c>
      <c r="L160" s="11" t="n">
        <v>0</v>
      </c>
      <c r="M160" s="12">
        <f>L160/K160</f>
        <v/>
      </c>
      <c r="N160" s="12">
        <f>L160/J160</f>
        <v/>
      </c>
      <c r="O160" s="11" t="n">
        <v>0</v>
      </c>
      <c r="P160" s="11" t="n">
        <v>0</v>
      </c>
      <c r="Q160" s="12">
        <f>P160/O160</f>
        <v/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0</v>
      </c>
      <c r="AH160" s="11" t="n">
        <v>0</v>
      </c>
    </row>
    <row r="161">
      <c r="A161" s="11" t="inlineStr">
        <is>
          <t>Infection by Aspergillus fumigatus</t>
        </is>
      </c>
      <c r="B161" s="11" t="n">
        <v>0</v>
      </c>
      <c r="C161" s="11" t="inlineStr">
        <is>
          <t>no_match</t>
        </is>
      </c>
      <c r="D161" s="11" t="n">
        <v>0.5</v>
      </c>
      <c r="E161" s="11" t="n">
        <v>0</v>
      </c>
      <c r="F161" s="11" t="n">
        <v>268</v>
      </c>
      <c r="G161" s="11" t="n">
        <v>0</v>
      </c>
      <c r="H161" s="12">
        <f>G161/F161</f>
        <v/>
      </c>
      <c r="I161" s="12">
        <f>G161/E161</f>
        <v/>
      </c>
      <c r="J161" s="11" t="n">
        <v>0</v>
      </c>
      <c r="K161" s="11" t="n">
        <v>147</v>
      </c>
      <c r="L161" s="11" t="n">
        <v>0</v>
      </c>
      <c r="M161" s="12">
        <f>L161/K161</f>
        <v/>
      </c>
      <c r="N161" s="12">
        <f>L161/J161</f>
        <v/>
      </c>
      <c r="O161" s="11" t="n">
        <v>3</v>
      </c>
      <c r="P161" s="11" t="n">
        <v>0</v>
      </c>
      <c r="Q161" s="12">
        <f>P161/O161</f>
        <v/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</row>
    <row r="162">
      <c r="A162" s="11" t="inlineStr">
        <is>
          <t>Intestinal metaplasia of gastric mucosa</t>
        </is>
      </c>
      <c r="B162" s="11" t="n">
        <v>0</v>
      </c>
      <c r="C162" s="11" t="inlineStr">
        <is>
          <t>no_match</t>
        </is>
      </c>
      <c r="D162" s="11" t="n">
        <v>0.5</v>
      </c>
      <c r="E162" s="11" t="n">
        <v>0</v>
      </c>
      <c r="F162" s="11" t="n">
        <v>145</v>
      </c>
      <c r="G162" s="11" t="n">
        <v>0</v>
      </c>
      <c r="H162" s="12">
        <f>G162/F162</f>
        <v/>
      </c>
      <c r="I162" s="12">
        <f>G162/E162</f>
        <v/>
      </c>
      <c r="J162" s="11" t="n">
        <v>0</v>
      </c>
      <c r="K162" s="11" t="n">
        <v>114</v>
      </c>
      <c r="L162" s="11" t="n">
        <v>0</v>
      </c>
      <c r="M162" s="12">
        <f>L162/K162</f>
        <v/>
      </c>
      <c r="N162" s="12">
        <f>L162/J162</f>
        <v/>
      </c>
      <c r="O162" s="11" t="n">
        <v>5</v>
      </c>
      <c r="P162" s="11" t="n">
        <v>0</v>
      </c>
      <c r="Q162" s="12">
        <f>P162/O162</f>
        <v/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0</v>
      </c>
      <c r="AG162" s="11" t="n">
        <v>0</v>
      </c>
      <c r="AH162" s="11" t="n">
        <v>0</v>
      </c>
    </row>
    <row r="163">
      <c r="A163" s="11" t="inlineStr">
        <is>
          <t>JRA - Juvenile rheumatoid arthritis</t>
        </is>
      </c>
      <c r="B163" s="11" t="n">
        <v>0</v>
      </c>
      <c r="C163" s="11" t="inlineStr">
        <is>
          <t>no_match</t>
        </is>
      </c>
      <c r="D163" s="11" t="n">
        <v>0.5</v>
      </c>
      <c r="E163" s="11" t="n">
        <v>0</v>
      </c>
      <c r="F163" s="11" t="n">
        <v>314</v>
      </c>
      <c r="G163" s="11" t="n">
        <v>0</v>
      </c>
      <c r="H163" s="12">
        <f>G163/F163</f>
        <v/>
      </c>
      <c r="I163" s="12">
        <f>G163/E163</f>
        <v/>
      </c>
      <c r="J163" s="11" t="n">
        <v>0</v>
      </c>
      <c r="K163" s="11" t="n">
        <v>88</v>
      </c>
      <c r="L163" s="11" t="n">
        <v>0</v>
      </c>
      <c r="M163" s="12">
        <f>L163/K163</f>
        <v/>
      </c>
      <c r="N163" s="12">
        <f>L163/J163</f>
        <v/>
      </c>
      <c r="O163" s="11" t="n">
        <v>4</v>
      </c>
      <c r="P163" s="11" t="n">
        <v>0</v>
      </c>
      <c r="Q163" s="12">
        <f>P163/O163</f>
        <v/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</row>
    <row r="164">
      <c r="A164" s="11" t="inlineStr">
        <is>
          <t>Leukemia, Chronic T-Cell</t>
        </is>
      </c>
      <c r="B164" s="11" t="n">
        <v>0</v>
      </c>
      <c r="C164" s="11" t="inlineStr">
        <is>
          <t>no_match</t>
        </is>
      </c>
      <c r="D164" s="11" t="n">
        <v>0.5</v>
      </c>
      <c r="E164" s="11" t="n">
        <v>0</v>
      </c>
      <c r="F164" s="11" t="n">
        <v>182</v>
      </c>
      <c r="G164" s="11" t="n">
        <v>0</v>
      </c>
      <c r="H164" s="12">
        <f>G164/F164</f>
        <v/>
      </c>
      <c r="I164" s="12">
        <f>G164/E164</f>
        <v/>
      </c>
      <c r="J164" s="11" t="n">
        <v>0</v>
      </c>
      <c r="K164" s="11" t="n">
        <v>103</v>
      </c>
      <c r="L164" s="11" t="n">
        <v>0</v>
      </c>
      <c r="M164" s="12">
        <f>L164/K164</f>
        <v/>
      </c>
      <c r="N164" s="12">
        <f>L164/J164</f>
        <v/>
      </c>
      <c r="O164" s="11" t="n">
        <v>2</v>
      </c>
      <c r="P164" s="11" t="n">
        <v>0</v>
      </c>
      <c r="Q164" s="12">
        <f>P164/O164</f>
        <v/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v>0</v>
      </c>
    </row>
    <row r="165">
      <c r="A165" s="11" t="inlineStr">
        <is>
          <t>LGLL - Large granular lymphocytic leukemia</t>
        </is>
      </c>
      <c r="B165" s="11" t="n">
        <v>0</v>
      </c>
      <c r="C165" s="11" t="inlineStr">
        <is>
          <t>no_match</t>
        </is>
      </c>
      <c r="D165" s="11" t="n">
        <v>0.5</v>
      </c>
      <c r="E165" s="11" t="n">
        <v>0</v>
      </c>
      <c r="F165" s="11" t="n">
        <v>348</v>
      </c>
      <c r="G165" s="11" t="n">
        <v>0</v>
      </c>
      <c r="H165" s="12">
        <f>G165/F165</f>
        <v/>
      </c>
      <c r="I165" s="12">
        <f>G165/E165</f>
        <v/>
      </c>
      <c r="J165" s="11" t="n">
        <v>0</v>
      </c>
      <c r="K165" s="11" t="n">
        <v>119</v>
      </c>
      <c r="L165" s="11" t="n">
        <v>0</v>
      </c>
      <c r="M165" s="12">
        <f>L165/K165</f>
        <v/>
      </c>
      <c r="N165" s="12">
        <f>L165/J165</f>
        <v/>
      </c>
      <c r="O165" s="11" t="n">
        <v>6</v>
      </c>
      <c r="P165" s="11" t="n">
        <v>0</v>
      </c>
      <c r="Q165" s="12">
        <f>P165/O165</f>
        <v/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1" t="n">
        <v>0</v>
      </c>
      <c r="AE165" s="11" t="n">
        <v>0</v>
      </c>
      <c r="AF165" s="11" t="n">
        <v>0</v>
      </c>
      <c r="AG165" s="11" t="n">
        <v>0</v>
      </c>
      <c r="AH165" s="11" t="n">
        <v>0</v>
      </c>
    </row>
    <row r="166">
      <c r="A166" s="11" t="inlineStr">
        <is>
          <t>Lung Injury</t>
        </is>
      </c>
      <c r="B166" s="11" t="n">
        <v>0</v>
      </c>
      <c r="C166" s="11" t="inlineStr">
        <is>
          <t>no_match</t>
        </is>
      </c>
      <c r="D166" s="11" t="n">
        <v>0.5</v>
      </c>
      <c r="E166" s="11" t="n">
        <v>0</v>
      </c>
      <c r="F166" s="11" t="n">
        <v>161</v>
      </c>
      <c r="G166" s="11" t="n">
        <v>0</v>
      </c>
      <c r="H166" s="12">
        <f>G166/F166</f>
        <v/>
      </c>
      <c r="I166" s="12">
        <f>G166/E166</f>
        <v/>
      </c>
      <c r="J166" s="11" t="n">
        <v>0</v>
      </c>
      <c r="K166" s="11" t="n">
        <v>123</v>
      </c>
      <c r="L166" s="11" t="n">
        <v>0</v>
      </c>
      <c r="M166" s="12">
        <f>L166/K166</f>
        <v/>
      </c>
      <c r="N166" s="12">
        <f>L166/J166</f>
        <v/>
      </c>
      <c r="O166" s="11" t="n">
        <v>2</v>
      </c>
      <c r="P166" s="11" t="n">
        <v>0</v>
      </c>
      <c r="Q166" s="12">
        <f>P166/O166</f>
        <v/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0</v>
      </c>
      <c r="AG166" s="11" t="n">
        <v>0</v>
      </c>
      <c r="AH166" s="11" t="n">
        <v>0</v>
      </c>
    </row>
    <row r="167">
      <c r="A167" s="11" t="inlineStr">
        <is>
          <t>Lung transplant rejection</t>
        </is>
      </c>
      <c r="B167" s="11" t="n">
        <v>0</v>
      </c>
      <c r="C167" s="11" t="inlineStr">
        <is>
          <t>no_match</t>
        </is>
      </c>
      <c r="D167" s="11" t="n">
        <v>0.5</v>
      </c>
      <c r="E167" s="11" t="n">
        <v>0</v>
      </c>
      <c r="F167" s="11" t="n">
        <v>333</v>
      </c>
      <c r="G167" s="11" t="n">
        <v>0</v>
      </c>
      <c r="H167" s="12">
        <f>G167/F167</f>
        <v/>
      </c>
      <c r="I167" s="12">
        <f>G167/E167</f>
        <v/>
      </c>
      <c r="J167" s="11" t="n">
        <v>0</v>
      </c>
      <c r="K167" s="11" t="n">
        <v>135</v>
      </c>
      <c r="L167" s="11" t="n">
        <v>0</v>
      </c>
      <c r="M167" s="12">
        <f>L167/K167</f>
        <v/>
      </c>
      <c r="N167" s="12">
        <f>L167/J167</f>
        <v/>
      </c>
      <c r="O167" s="11" t="n">
        <v>9</v>
      </c>
      <c r="P167" s="11" t="n">
        <v>0</v>
      </c>
      <c r="Q167" s="12">
        <f>P167/O167</f>
        <v/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1" t="n">
        <v>0</v>
      </c>
      <c r="AE167" s="11" t="n">
        <v>0</v>
      </c>
      <c r="AF167" s="11" t="n">
        <v>0</v>
      </c>
      <c r="AG167" s="11" t="n">
        <v>0</v>
      </c>
      <c r="AH167" s="11" t="n">
        <v>0</v>
      </c>
    </row>
    <row r="168">
      <c r="A168" s="11" t="inlineStr">
        <is>
          <t>MDS - Myelodysplastic syndrome</t>
        </is>
      </c>
      <c r="B168" s="11" t="n">
        <v>0</v>
      </c>
      <c r="C168" s="11" t="inlineStr">
        <is>
          <t>no_match</t>
        </is>
      </c>
      <c r="D168" s="11" t="n">
        <v>0.5</v>
      </c>
      <c r="E168" s="11" t="n">
        <v>0</v>
      </c>
      <c r="F168" s="11" t="n">
        <v>243</v>
      </c>
      <c r="G168" s="11" t="n">
        <v>0</v>
      </c>
      <c r="H168" s="12">
        <f>G168/F168</f>
        <v/>
      </c>
      <c r="I168" s="12">
        <f>G168/E168</f>
        <v/>
      </c>
      <c r="J168" s="11" t="n">
        <v>0</v>
      </c>
      <c r="K168" s="11" t="n">
        <v>832</v>
      </c>
      <c r="L168" s="11" t="n">
        <v>0</v>
      </c>
      <c r="M168" s="12">
        <f>L168/K168</f>
        <v/>
      </c>
      <c r="N168" s="12">
        <f>L168/J168</f>
        <v/>
      </c>
      <c r="O168" s="11" t="n">
        <v>22</v>
      </c>
      <c r="P168" s="11" t="n">
        <v>0</v>
      </c>
      <c r="Q168" s="12">
        <f>P168/O168</f>
        <v/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v>0</v>
      </c>
    </row>
    <row r="169">
      <c r="A169" s="11" t="inlineStr">
        <is>
          <t>melanoma in situ</t>
        </is>
      </c>
      <c r="B169" s="11" t="n">
        <v>0</v>
      </c>
      <c r="C169" s="11" t="inlineStr">
        <is>
          <t>no_match</t>
        </is>
      </c>
      <c r="D169" s="11" t="n">
        <v>0.5</v>
      </c>
      <c r="E169" s="11" t="n">
        <v>0</v>
      </c>
      <c r="F169" s="11" t="n">
        <v>356</v>
      </c>
      <c r="G169" s="11" t="n">
        <v>0</v>
      </c>
      <c r="H169" s="12">
        <f>G169/F169</f>
        <v/>
      </c>
      <c r="I169" s="12">
        <f>G169/E169</f>
        <v/>
      </c>
      <c r="J169" s="11" t="n">
        <v>0</v>
      </c>
      <c r="K169" s="11" t="n">
        <v>306</v>
      </c>
      <c r="L169" s="11" t="n">
        <v>0</v>
      </c>
      <c r="M169" s="12">
        <f>L169/K169</f>
        <v/>
      </c>
      <c r="N169" s="12">
        <f>L169/J169</f>
        <v/>
      </c>
      <c r="O169" s="11" t="n">
        <v>18</v>
      </c>
      <c r="P169" s="11" t="n">
        <v>0</v>
      </c>
      <c r="Q169" s="12">
        <f>P169/O169</f>
        <v/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0</v>
      </c>
      <c r="AE169" s="11" t="n">
        <v>0</v>
      </c>
      <c r="AF169" s="11" t="n">
        <v>0</v>
      </c>
      <c r="AG169" s="11" t="n">
        <v>0</v>
      </c>
      <c r="AH169" s="11" t="n">
        <v>0</v>
      </c>
    </row>
    <row r="170">
      <c r="A170" s="11" t="inlineStr">
        <is>
          <t>nonspecific interstitial pneumonia</t>
        </is>
      </c>
      <c r="B170" s="11" t="n">
        <v>0</v>
      </c>
      <c r="C170" s="11" t="inlineStr">
        <is>
          <t>no_match</t>
        </is>
      </c>
      <c r="D170" s="11" t="n">
        <v>0.5</v>
      </c>
      <c r="E170" s="11" t="n">
        <v>0</v>
      </c>
      <c r="F170" s="11" t="n">
        <v>230</v>
      </c>
      <c r="G170" s="11" t="n">
        <v>0</v>
      </c>
      <c r="H170" s="12">
        <f>G170/F170</f>
        <v/>
      </c>
      <c r="I170" s="12">
        <f>G170/E170</f>
        <v/>
      </c>
      <c r="J170" s="11" t="n">
        <v>0</v>
      </c>
      <c r="K170" s="11" t="n">
        <v>285</v>
      </c>
      <c r="L170" s="11" t="n">
        <v>0</v>
      </c>
      <c r="M170" s="12">
        <f>L170/K170</f>
        <v/>
      </c>
      <c r="N170" s="12">
        <f>L170/J170</f>
        <v/>
      </c>
      <c r="O170" s="11" t="n">
        <v>6</v>
      </c>
      <c r="P170" s="11" t="n">
        <v>0</v>
      </c>
      <c r="Q170" s="12">
        <f>P170/O170</f>
        <v/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0</v>
      </c>
    </row>
    <row r="171">
      <c r="A171" s="11" t="inlineStr">
        <is>
          <t>Overexertion</t>
        </is>
      </c>
      <c r="B171" s="11" t="n">
        <v>0</v>
      </c>
      <c r="C171" s="11" t="inlineStr">
        <is>
          <t>no_match</t>
        </is>
      </c>
      <c r="D171" s="11" t="n">
        <v>0.5</v>
      </c>
      <c r="E171" s="11" t="n">
        <v>0</v>
      </c>
      <c r="F171" s="11" t="n">
        <v>97</v>
      </c>
      <c r="G171" s="11" t="n">
        <v>0</v>
      </c>
      <c r="H171" s="12">
        <f>G171/F171</f>
        <v/>
      </c>
      <c r="I171" s="12">
        <f>G171/E171</f>
        <v/>
      </c>
      <c r="J171" s="11" t="n">
        <v>0</v>
      </c>
      <c r="K171" s="11" t="n">
        <v>969</v>
      </c>
      <c r="L171" s="11" t="n">
        <v>0</v>
      </c>
      <c r="M171" s="12">
        <f>L171/K171</f>
        <v/>
      </c>
      <c r="N171" s="12">
        <f>L171/J171</f>
        <v/>
      </c>
      <c r="O171" s="11" t="n">
        <v>9</v>
      </c>
      <c r="P171" s="11" t="n">
        <v>0</v>
      </c>
      <c r="Q171" s="12">
        <f>P171/O171</f>
        <v/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v>0</v>
      </c>
    </row>
    <row r="172">
      <c r="A172" s="11" t="inlineStr">
        <is>
          <t>pancreatic intraductal papillary-mucinous adenoma</t>
        </is>
      </c>
      <c r="B172" s="11" t="n">
        <v>0</v>
      </c>
      <c r="C172" s="11" t="inlineStr">
        <is>
          <t>no_match</t>
        </is>
      </c>
      <c r="D172" s="11" t="n">
        <v>0.5</v>
      </c>
      <c r="E172" s="11" t="n">
        <v>0</v>
      </c>
      <c r="F172" s="11" t="n">
        <v>311</v>
      </c>
      <c r="G172" s="11" t="n">
        <v>0</v>
      </c>
      <c r="H172" s="12">
        <f>G172/F172</f>
        <v/>
      </c>
      <c r="I172" s="12">
        <f>G172/E172</f>
        <v/>
      </c>
      <c r="J172" s="11" t="n">
        <v>0</v>
      </c>
      <c r="K172" s="11" t="n">
        <v>675</v>
      </c>
      <c r="L172" s="11" t="n">
        <v>0</v>
      </c>
      <c r="M172" s="12">
        <f>L172/K172</f>
        <v/>
      </c>
      <c r="N172" s="12">
        <f>L172/J172</f>
        <v/>
      </c>
      <c r="O172" s="11" t="n">
        <v>28</v>
      </c>
      <c r="P172" s="11" t="n">
        <v>0</v>
      </c>
      <c r="Q172" s="12">
        <f>P172/O172</f>
        <v/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0</v>
      </c>
    </row>
    <row r="173">
      <c r="A173" s="11" t="inlineStr">
        <is>
          <t>pancreatic invasive intraductal papillary-mucinous carcinoma</t>
        </is>
      </c>
      <c r="B173" s="11" t="n">
        <v>0</v>
      </c>
      <c r="C173" s="11" t="inlineStr">
        <is>
          <t>no_match</t>
        </is>
      </c>
      <c r="D173" s="11" t="n">
        <v>0.5</v>
      </c>
      <c r="E173" s="11" t="n">
        <v>0</v>
      </c>
      <c r="F173" s="11" t="n">
        <v>134</v>
      </c>
      <c r="G173" s="11" t="n">
        <v>0</v>
      </c>
      <c r="H173" s="12">
        <f>G173/F173</f>
        <v/>
      </c>
      <c r="I173" s="12">
        <f>G173/E173</f>
        <v/>
      </c>
      <c r="J173" s="11" t="n">
        <v>0</v>
      </c>
      <c r="K173" s="11" t="n">
        <v>827</v>
      </c>
      <c r="L173" s="11" t="n">
        <v>0</v>
      </c>
      <c r="M173" s="12">
        <f>L173/K173</f>
        <v/>
      </c>
      <c r="N173" s="12">
        <f>L173/J173</f>
        <v/>
      </c>
      <c r="O173" s="11" t="n">
        <v>11</v>
      </c>
      <c r="P173" s="11" t="n">
        <v>0</v>
      </c>
      <c r="Q173" s="12">
        <f>P173/O173</f>
        <v/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</row>
    <row r="174">
      <c r="A174" s="11" t="inlineStr">
        <is>
          <t>pancreatic non-invasive intraductal papillary-mucinous carcinoma</t>
        </is>
      </c>
      <c r="B174" s="11" t="n">
        <v>0</v>
      </c>
      <c r="C174" s="11" t="inlineStr">
        <is>
          <t>no_match</t>
        </is>
      </c>
      <c r="D174" s="11" t="n">
        <v>0.5</v>
      </c>
      <c r="E174" s="11" t="n">
        <v>0</v>
      </c>
      <c r="F174" s="11" t="n">
        <v>306</v>
      </c>
      <c r="G174" s="11" t="n">
        <v>0</v>
      </c>
      <c r="H174" s="12">
        <f>G174/F174</f>
        <v/>
      </c>
      <c r="I174" s="12">
        <f>G174/E174</f>
        <v/>
      </c>
      <c r="J174" s="11" t="n">
        <v>0</v>
      </c>
      <c r="K174" s="11" t="n">
        <v>422</v>
      </c>
      <c r="L174" s="11" t="n">
        <v>0</v>
      </c>
      <c r="M174" s="12">
        <f>L174/K174</f>
        <v/>
      </c>
      <c r="N174" s="12">
        <f>L174/J174</f>
        <v/>
      </c>
      <c r="O174" s="11" t="n">
        <v>14</v>
      </c>
      <c r="P174" s="11" t="n">
        <v>0</v>
      </c>
      <c r="Q174" s="12">
        <f>P174/O174</f>
        <v/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v>0</v>
      </c>
    </row>
    <row r="175">
      <c r="A175" s="11" t="inlineStr">
        <is>
          <t>Pompe disease, infantile-onset form</t>
        </is>
      </c>
      <c r="B175" s="11" t="n">
        <v>0</v>
      </c>
      <c r="C175" s="11" t="inlineStr">
        <is>
          <t>no_match</t>
        </is>
      </c>
      <c r="D175" s="11" t="n">
        <v>0.5</v>
      </c>
      <c r="E175" s="11" t="n">
        <v>0</v>
      </c>
      <c r="F175" s="11" t="n">
        <v>280</v>
      </c>
      <c r="G175" s="11" t="n">
        <v>0</v>
      </c>
      <c r="H175" s="12">
        <f>G175/F175</f>
        <v/>
      </c>
      <c r="I175" s="12">
        <f>G175/E175</f>
        <v/>
      </c>
      <c r="J175" s="11" t="n">
        <v>0</v>
      </c>
      <c r="K175" s="11" t="n">
        <v>552</v>
      </c>
      <c r="L175" s="11" t="n">
        <v>0</v>
      </c>
      <c r="M175" s="12">
        <f>L175/K175</f>
        <v/>
      </c>
      <c r="N175" s="12">
        <f>L175/J175</f>
        <v/>
      </c>
      <c r="O175" s="11" t="n">
        <v>20</v>
      </c>
      <c r="P175" s="11" t="n">
        <v>0</v>
      </c>
      <c r="Q175" s="12">
        <f>P175/O175</f>
        <v/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v>0</v>
      </c>
    </row>
    <row r="176">
      <c r="A176" s="11" t="inlineStr">
        <is>
          <t>precursor B lymphoblastic lymphoma leukemia</t>
        </is>
      </c>
      <c r="B176" s="11" t="n">
        <v>0</v>
      </c>
      <c r="C176" s="11" t="inlineStr">
        <is>
          <t>no_match</t>
        </is>
      </c>
      <c r="D176" s="11" t="n">
        <v>0.5</v>
      </c>
      <c r="E176" s="11" t="n">
        <v>0</v>
      </c>
      <c r="F176" s="11" t="n">
        <v>227</v>
      </c>
      <c r="G176" s="11" t="n">
        <v>0</v>
      </c>
      <c r="H176" s="12">
        <f>G176/F176</f>
        <v/>
      </c>
      <c r="I176" s="12">
        <f>G176/E176</f>
        <v/>
      </c>
      <c r="J176" s="11" t="n">
        <v>0</v>
      </c>
      <c r="K176" s="11" t="n">
        <v>480</v>
      </c>
      <c r="L176" s="11" t="n">
        <v>0</v>
      </c>
      <c r="M176" s="12">
        <f>L176/K176</f>
        <v/>
      </c>
      <c r="N176" s="12">
        <f>L176/J176</f>
        <v/>
      </c>
      <c r="O176" s="11" t="n">
        <v>12</v>
      </c>
      <c r="P176" s="11" t="n">
        <v>0</v>
      </c>
      <c r="Q176" s="12">
        <f>P176/O176</f>
        <v/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</row>
    <row r="177">
      <c r="A177" s="11" t="inlineStr">
        <is>
          <t>Rhinovirus infection</t>
        </is>
      </c>
      <c r="B177" s="11" t="n">
        <v>0</v>
      </c>
      <c r="C177" s="11" t="inlineStr">
        <is>
          <t>no_match</t>
        </is>
      </c>
      <c r="D177" s="11" t="n">
        <v>0.5</v>
      </c>
      <c r="E177" s="11" t="n">
        <v>0</v>
      </c>
      <c r="F177" s="11" t="n">
        <v>230</v>
      </c>
      <c r="G177" s="11" t="n">
        <v>0</v>
      </c>
      <c r="H177" s="12">
        <f>G177/F177</f>
        <v/>
      </c>
      <c r="I177" s="12">
        <f>G177/E177</f>
        <v/>
      </c>
      <c r="J177" s="11" t="n">
        <v>0</v>
      </c>
      <c r="K177" s="11" t="n">
        <v>735</v>
      </c>
      <c r="L177" s="11" t="n">
        <v>0</v>
      </c>
      <c r="M177" s="12">
        <f>L177/K177</f>
        <v/>
      </c>
      <c r="N177" s="12">
        <f>L177/J177</f>
        <v/>
      </c>
      <c r="O177" s="11" t="n">
        <v>18</v>
      </c>
      <c r="P177" s="11" t="n">
        <v>0</v>
      </c>
      <c r="Q177" s="12">
        <f>P177/O177</f>
        <v/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0</v>
      </c>
      <c r="AH177" s="11" t="n">
        <v>0</v>
      </c>
    </row>
    <row r="178">
      <c r="A178" s="11" t="inlineStr">
        <is>
          <t>Rotavirus infection of children</t>
        </is>
      </c>
      <c r="B178" s="11" t="n">
        <v>0</v>
      </c>
      <c r="C178" s="11" t="inlineStr">
        <is>
          <t>no_match</t>
        </is>
      </c>
      <c r="D178" s="11" t="n">
        <v>0.5</v>
      </c>
      <c r="E178" s="11" t="n">
        <v>0</v>
      </c>
      <c r="F178" s="11" t="n">
        <v>298</v>
      </c>
      <c r="G178" s="11" t="n">
        <v>0</v>
      </c>
      <c r="H178" s="12">
        <f>G178/F178</f>
        <v/>
      </c>
      <c r="I178" s="12">
        <f>G178/E178</f>
        <v/>
      </c>
      <c r="J178" s="11" t="n">
        <v>0</v>
      </c>
      <c r="K178" s="11" t="n">
        <v>685</v>
      </c>
      <c r="L178" s="11" t="n">
        <v>0</v>
      </c>
      <c r="M178" s="12">
        <f>L178/K178</f>
        <v/>
      </c>
      <c r="N178" s="12">
        <f>L178/J178</f>
        <v/>
      </c>
      <c r="O178" s="11" t="n">
        <v>23</v>
      </c>
      <c r="P178" s="11" t="n">
        <v>0</v>
      </c>
      <c r="Q178" s="12">
        <f>P178/O178</f>
        <v/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0</v>
      </c>
      <c r="AG178" s="11" t="n">
        <v>0</v>
      </c>
      <c r="AH178" s="11" t="n">
        <v>0</v>
      </c>
    </row>
    <row r="179">
      <c r="A179" s="11" t="inlineStr">
        <is>
          <t>Senescence</t>
        </is>
      </c>
      <c r="B179" s="11" t="n">
        <v>0</v>
      </c>
      <c r="C179" s="11" t="inlineStr">
        <is>
          <t>no_match</t>
        </is>
      </c>
      <c r="D179" s="11" t="n">
        <v>0.5</v>
      </c>
      <c r="E179" s="11" t="n">
        <v>0</v>
      </c>
      <c r="F179" s="11" t="n">
        <v>156</v>
      </c>
      <c r="G179" s="11" t="n">
        <v>0</v>
      </c>
      <c r="H179" s="12">
        <f>G179/F179</f>
        <v/>
      </c>
      <c r="I179" s="12">
        <f>G179/E179</f>
        <v/>
      </c>
      <c r="J179" s="11" t="n">
        <v>0</v>
      </c>
      <c r="K179" s="11" t="n">
        <v>443</v>
      </c>
      <c r="L179" s="11" t="n">
        <v>0</v>
      </c>
      <c r="M179" s="12">
        <f>L179/K179</f>
        <v/>
      </c>
      <c r="N179" s="12">
        <f>L179/J179</f>
        <v/>
      </c>
      <c r="O179" s="11" t="n">
        <v>4</v>
      </c>
      <c r="P179" s="11" t="n">
        <v>0</v>
      </c>
      <c r="Q179" s="12">
        <f>P179/O179</f>
        <v/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</row>
    <row r="180">
      <c r="A180" s="11" t="inlineStr">
        <is>
          <t>Simian Acquired Immune Deficiency Syndrome</t>
        </is>
      </c>
      <c r="B180" s="11" t="n">
        <v>0</v>
      </c>
      <c r="C180" s="11" t="inlineStr">
        <is>
          <t>no_match</t>
        </is>
      </c>
      <c r="D180" s="11" t="n">
        <v>0.5</v>
      </c>
      <c r="E180" s="11" t="n">
        <v>0</v>
      </c>
      <c r="F180" s="11" t="n">
        <v>86</v>
      </c>
      <c r="G180" s="11" t="n">
        <v>0</v>
      </c>
      <c r="H180" s="12">
        <f>G180/F180</f>
        <v/>
      </c>
      <c r="I180" s="12">
        <f>G180/E180</f>
        <v/>
      </c>
      <c r="J180" s="11" t="n">
        <v>0</v>
      </c>
      <c r="K180" s="11" t="n">
        <v>930</v>
      </c>
      <c r="L180" s="11" t="n">
        <v>0</v>
      </c>
      <c r="M180" s="12">
        <f>L180/K180</f>
        <v/>
      </c>
      <c r="N180" s="12">
        <f>L180/J180</f>
        <v/>
      </c>
      <c r="O180" s="11" t="n">
        <v>5</v>
      </c>
      <c r="P180" s="11" t="n">
        <v>0</v>
      </c>
      <c r="Q180" s="12">
        <f>P180/O180</f>
        <v/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0</v>
      </c>
      <c r="AG180" s="11" t="n">
        <v>0</v>
      </c>
      <c r="AH180" s="11" t="n">
        <v>0</v>
      </c>
    </row>
    <row r="181">
      <c r="A181" s="11" t="inlineStr">
        <is>
          <t>sporadic breast cancer</t>
        </is>
      </c>
      <c r="B181" s="11" t="n">
        <v>0</v>
      </c>
      <c r="C181" s="11" t="inlineStr">
        <is>
          <t>no_match</t>
        </is>
      </c>
      <c r="D181" s="11" t="n">
        <v>0.5</v>
      </c>
      <c r="E181" s="11" t="n">
        <v>0</v>
      </c>
      <c r="F181" s="11" t="n">
        <v>255</v>
      </c>
      <c r="G181" s="11" t="n">
        <v>0</v>
      </c>
      <c r="H181" s="12">
        <f>G181/F181</f>
        <v/>
      </c>
      <c r="I181" s="12">
        <f>G181/E181</f>
        <v/>
      </c>
      <c r="J181" s="11" t="n">
        <v>0</v>
      </c>
      <c r="K181" s="11" t="n">
        <v>815</v>
      </c>
      <c r="L181" s="11" t="n">
        <v>0</v>
      </c>
      <c r="M181" s="12">
        <f>L181/K181</f>
        <v/>
      </c>
      <c r="N181" s="12">
        <f>L181/J181</f>
        <v/>
      </c>
      <c r="O181" s="11" t="n">
        <v>24</v>
      </c>
      <c r="P181" s="11" t="n">
        <v>0</v>
      </c>
      <c r="Q181" s="12">
        <f>P181/O181</f>
        <v/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0</v>
      </c>
      <c r="AE181" s="11" t="n">
        <v>0</v>
      </c>
      <c r="AF181" s="11" t="n">
        <v>0</v>
      </c>
      <c r="AG181" s="11" t="n">
        <v>0</v>
      </c>
      <c r="AH181" s="11" t="n">
        <v>0</v>
      </c>
    </row>
    <row r="182">
      <c r="A182" s="11" t="inlineStr">
        <is>
          <t>Urothelial carcinoma in situ</t>
        </is>
      </c>
      <c r="B182" s="11" t="n">
        <v>0</v>
      </c>
      <c r="C182" s="11" t="inlineStr">
        <is>
          <t>no_match</t>
        </is>
      </c>
      <c r="D182" s="11" t="n">
        <v>0.5</v>
      </c>
      <c r="E182" s="11" t="n">
        <v>0</v>
      </c>
      <c r="F182" s="11" t="n">
        <v>100</v>
      </c>
      <c r="G182" s="11" t="n">
        <v>0</v>
      </c>
      <c r="H182" s="12">
        <f>G182/F182</f>
        <v/>
      </c>
      <c r="I182" s="12">
        <f>G182/E182</f>
        <v/>
      </c>
      <c r="J182" s="11" t="n">
        <v>0</v>
      </c>
      <c r="K182" s="11" t="n">
        <v>720</v>
      </c>
      <c r="L182" s="11" t="n">
        <v>0</v>
      </c>
      <c r="M182" s="12">
        <f>L182/K182</f>
        <v/>
      </c>
      <c r="N182" s="12">
        <f>L182/J182</f>
        <v/>
      </c>
      <c r="O182" s="11" t="n">
        <v>9</v>
      </c>
      <c r="P182" s="11" t="n">
        <v>0</v>
      </c>
      <c r="Q182" s="12">
        <f>P182/O182</f>
        <v/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0</v>
      </c>
      <c r="AE182" s="11" t="n">
        <v>0</v>
      </c>
      <c r="AF182" s="11" t="n">
        <v>0</v>
      </c>
      <c r="AG182" s="11" t="n">
        <v>0</v>
      </c>
      <c r="AH182" s="11" t="n">
        <v>0</v>
      </c>
    </row>
    <row r="183">
      <c r="A183" s="1" t="inlineStr">
        <is>
          <t>bacterial infectious disease</t>
        </is>
      </c>
      <c r="B183" s="1" t="inlineStr">
        <is>
          <t>EFO_0000771</t>
        </is>
      </c>
      <c r="C183" s="1" t="inlineStr">
        <is>
          <t>synonym</t>
        </is>
      </c>
      <c r="D183" s="1" t="n">
        <v>0.5</v>
      </c>
      <c r="E183" s="20" t="n">
        <v>1</v>
      </c>
      <c r="F183" s="20" t="n">
        <v>142</v>
      </c>
      <c r="G183" s="20" t="n">
        <v>0</v>
      </c>
      <c r="H183" s="16">
        <f>G183/F183</f>
        <v/>
      </c>
      <c r="I183" s="16">
        <f>G183/E183</f>
        <v/>
      </c>
      <c r="J183" s="17" t="n">
        <v>1</v>
      </c>
      <c r="K183" s="17" t="n">
        <v>80</v>
      </c>
      <c r="L183" s="17" t="n">
        <v>0</v>
      </c>
      <c r="M183" s="16">
        <f>L183/K183</f>
        <v/>
      </c>
      <c r="N183" s="16">
        <f>L183/J183</f>
        <v/>
      </c>
      <c r="O183" s="18" t="n">
        <v>3</v>
      </c>
      <c r="P183" s="18" t="n">
        <v>0</v>
      </c>
      <c r="Q183" s="16">
        <f>P183/O183</f>
        <v/>
      </c>
      <c r="R183" s="1" t="n">
        <v>41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</row>
    <row r="184">
      <c r="A184" s="1" t="inlineStr">
        <is>
          <t>hepatitis C</t>
        </is>
      </c>
      <c r="B184" s="1" t="inlineStr">
        <is>
          <t>EFO_0003047</t>
        </is>
      </c>
      <c r="C184" s="1" t="inlineStr">
        <is>
          <t>synonym</t>
        </is>
      </c>
      <c r="D184" s="1" t="n">
        <v>0.5</v>
      </c>
      <c r="E184" s="20" t="n">
        <v>7</v>
      </c>
      <c r="F184" s="20" t="n">
        <v>37</v>
      </c>
      <c r="G184" s="20" t="n">
        <v>0</v>
      </c>
      <c r="H184" s="16">
        <f>G184/F184</f>
        <v/>
      </c>
      <c r="I184" s="16">
        <f>G184/E184</f>
        <v/>
      </c>
      <c r="J184" s="17" t="n">
        <v>15</v>
      </c>
      <c r="K184" s="17" t="n">
        <v>78</v>
      </c>
      <c r="L184" s="17" t="n">
        <v>2</v>
      </c>
      <c r="M184" s="16">
        <f>L184/K184</f>
        <v/>
      </c>
      <c r="N184" s="16">
        <f>L184/J184</f>
        <v/>
      </c>
      <c r="O184" s="18" t="n">
        <v>0</v>
      </c>
      <c r="P184" s="18" t="n">
        <v>0</v>
      </c>
      <c r="Q184" s="16">
        <f>P184/O184</f>
        <v/>
      </c>
      <c r="R184" s="1" t="n">
        <v>648</v>
      </c>
      <c r="S184" s="1" t="n">
        <v>2</v>
      </c>
      <c r="T184" s="1" t="n">
        <v>0</v>
      </c>
      <c r="U184" s="1" t="n">
        <v>1</v>
      </c>
      <c r="V184" s="1" t="n">
        <v>1</v>
      </c>
      <c r="W184" s="1" t="n">
        <v>0</v>
      </c>
      <c r="X184" s="1" t="n">
        <v>0</v>
      </c>
      <c r="Y184" s="1" t="n">
        <v>0</v>
      </c>
      <c r="Z184" s="1" t="n">
        <v>1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1</v>
      </c>
    </row>
    <row r="185">
      <c r="A185" s="1" t="inlineStr">
        <is>
          <t>primary open angle glaucoma</t>
        </is>
      </c>
      <c r="B185" s="1" t="inlineStr">
        <is>
          <t>EFO_0004190</t>
        </is>
      </c>
      <c r="C185" s="1" t="inlineStr">
        <is>
          <t>synonym</t>
        </is>
      </c>
      <c r="D185" s="1" t="n">
        <v>0.5</v>
      </c>
      <c r="E185" s="20" t="n">
        <v>3</v>
      </c>
      <c r="F185" s="20" t="n">
        <v>98</v>
      </c>
      <c r="G185" s="20" t="n">
        <v>0</v>
      </c>
      <c r="H185" s="16">
        <f>G185/F185</f>
        <v/>
      </c>
      <c r="I185" s="16">
        <f>G185/E185</f>
        <v/>
      </c>
      <c r="J185" s="17" t="n">
        <v>8</v>
      </c>
      <c r="K185" s="17" t="n">
        <v>608</v>
      </c>
      <c r="L185" s="17" t="n">
        <v>5</v>
      </c>
      <c r="M185" s="16">
        <f>L185/K185</f>
        <v/>
      </c>
      <c r="N185" s="16">
        <f>L185/J185</f>
        <v/>
      </c>
      <c r="O185" s="18" t="n">
        <v>5</v>
      </c>
      <c r="P185" s="18" t="n">
        <v>0</v>
      </c>
      <c r="Q185" s="16">
        <f>P185/O185</f>
        <v/>
      </c>
      <c r="R185" s="1" t="n">
        <v>215</v>
      </c>
      <c r="S185" s="1" t="n">
        <v>5</v>
      </c>
      <c r="T185" s="1" t="n">
        <v>0</v>
      </c>
      <c r="U185" s="1" t="n">
        <v>0</v>
      </c>
      <c r="V185" s="1" t="n">
        <v>1</v>
      </c>
      <c r="W185" s="1" t="n">
        <v>4</v>
      </c>
      <c r="X185" s="1" t="n">
        <v>6</v>
      </c>
      <c r="Y185" s="1" t="n">
        <v>1</v>
      </c>
      <c r="Z185" s="1" t="n">
        <v>6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3</v>
      </c>
      <c r="AG185" s="1" t="n">
        <v>0</v>
      </c>
      <c r="AH185" s="1" t="n">
        <v>1</v>
      </c>
    </row>
    <row r="186">
      <c r="A186" s="1" t="inlineStr">
        <is>
          <t>Huntington's disease</t>
        </is>
      </c>
      <c r="B186" s="1" t="inlineStr">
        <is>
          <t>MONDO_0007739</t>
        </is>
      </c>
      <c r="C186" s="1" t="inlineStr">
        <is>
          <t>synonym</t>
        </is>
      </c>
      <c r="D186" s="1" t="n">
        <v>0.5</v>
      </c>
      <c r="E186" s="20" t="n">
        <v>2</v>
      </c>
      <c r="F186" s="20" t="n">
        <v>0</v>
      </c>
      <c r="G186" s="20" t="n">
        <v>0</v>
      </c>
      <c r="H186" s="16">
        <f>G186/F186</f>
        <v/>
      </c>
      <c r="I186" s="16">
        <f>G186/E186</f>
        <v/>
      </c>
      <c r="J186" s="17" t="n">
        <v>11</v>
      </c>
      <c r="K186" s="17" t="n">
        <v>0</v>
      </c>
      <c r="L186" s="17" t="n">
        <v>0</v>
      </c>
      <c r="M186" s="16">
        <f>L186/K186</f>
        <v/>
      </c>
      <c r="N186" s="16">
        <f>L186/J186</f>
        <v/>
      </c>
      <c r="O186" s="18" t="n">
        <v>0</v>
      </c>
      <c r="P186" s="18" t="n">
        <v>0</v>
      </c>
      <c r="Q186" s="16">
        <f>P186/O186</f>
        <v/>
      </c>
      <c r="R186" s="1" t="n">
        <v>240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</row>
    <row r="187">
      <c r="A187" s="1" t="inlineStr">
        <is>
          <t>juvenile rheumatoid arthritis</t>
        </is>
      </c>
      <c r="B187" s="1" t="inlineStr">
        <is>
          <t>EFO_0002609</t>
        </is>
      </c>
      <c r="C187" s="1" t="inlineStr">
        <is>
          <t>synonym</t>
        </is>
      </c>
      <c r="D187" s="1" t="n">
        <v>0.5</v>
      </c>
      <c r="E187" s="20" t="n">
        <v>8</v>
      </c>
      <c r="F187" s="20" t="n">
        <v>0</v>
      </c>
      <c r="G187" s="20" t="n">
        <v>0</v>
      </c>
      <c r="H187" s="16">
        <f>G187/F187</f>
        <v/>
      </c>
      <c r="I187" s="16">
        <f>G187/E187</f>
        <v/>
      </c>
      <c r="J187" s="17" t="n">
        <v>13</v>
      </c>
      <c r="K187" s="17" t="n">
        <v>0</v>
      </c>
      <c r="L187" s="17" t="n">
        <v>0</v>
      </c>
      <c r="M187" s="16">
        <f>L187/K187</f>
        <v/>
      </c>
      <c r="N187" s="16">
        <f>L187/J187</f>
        <v/>
      </c>
      <c r="O187" s="18" t="n">
        <v>0</v>
      </c>
      <c r="P187" s="18" t="n">
        <v>0</v>
      </c>
      <c r="Q187" s="16">
        <f>P187/O187</f>
        <v/>
      </c>
      <c r="R187" s="1" t="n">
        <v>893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</row>
    <row r="188">
      <c r="A188" s="1" t="inlineStr">
        <is>
          <t>mental depression</t>
        </is>
      </c>
      <c r="B188" s="1" t="inlineStr">
        <is>
          <t>MONDO_0002050</t>
        </is>
      </c>
      <c r="C188" s="1" t="inlineStr">
        <is>
          <t>synonym</t>
        </is>
      </c>
      <c r="D188" s="1" t="n">
        <v>0.5</v>
      </c>
      <c r="E188" s="20" t="n">
        <v>13</v>
      </c>
      <c r="F188" s="20" t="n">
        <v>185</v>
      </c>
      <c r="G188" s="20" t="n">
        <v>1</v>
      </c>
      <c r="H188" s="16">
        <f>G188/F188</f>
        <v/>
      </c>
      <c r="I188" s="16">
        <f>G188/E188</f>
        <v/>
      </c>
      <c r="J188" s="17" t="n">
        <v>69</v>
      </c>
      <c r="K188" s="17" t="n">
        <v>520</v>
      </c>
      <c r="L188" s="17" t="n">
        <v>29</v>
      </c>
      <c r="M188" s="16">
        <f>L188/K188</f>
        <v/>
      </c>
      <c r="N188" s="16">
        <f>L188/J188</f>
        <v/>
      </c>
      <c r="O188" s="18" t="n">
        <v>8</v>
      </c>
      <c r="P188" s="18" t="n">
        <v>0</v>
      </c>
      <c r="Q188" s="16">
        <f>P188/O188</f>
        <v/>
      </c>
      <c r="R188" s="1" t="n">
        <v>2252</v>
      </c>
      <c r="S188" s="1" t="n">
        <v>30</v>
      </c>
      <c r="T188" s="1" t="n">
        <v>5</v>
      </c>
      <c r="U188" s="1" t="n">
        <v>11</v>
      </c>
      <c r="V188" s="1" t="n">
        <v>18</v>
      </c>
      <c r="W188" s="1" t="n">
        <v>26</v>
      </c>
      <c r="X188" s="1" t="n">
        <v>13</v>
      </c>
      <c r="Y188" s="1" t="n">
        <v>0</v>
      </c>
      <c r="Z188" s="1" t="n">
        <v>31</v>
      </c>
      <c r="AA188" s="1" t="n">
        <v>0</v>
      </c>
      <c r="AB188" s="1" t="n">
        <v>1</v>
      </c>
      <c r="AC188" s="1" t="n">
        <v>6</v>
      </c>
      <c r="AD188" s="1" t="n">
        <v>0</v>
      </c>
      <c r="AE188" s="1" t="n">
        <v>25</v>
      </c>
      <c r="AF188" s="1" t="n">
        <v>0</v>
      </c>
      <c r="AG188" s="1" t="n">
        <v>6</v>
      </c>
      <c r="AH188" s="1" t="n">
        <v>4</v>
      </c>
    </row>
    <row r="189">
      <c r="A189" s="1" t="inlineStr">
        <is>
          <t>liver cirrhosis</t>
        </is>
      </c>
      <c r="B189" s="1" t="inlineStr">
        <is>
          <t>EFO_0001422</t>
        </is>
      </c>
      <c r="C189" s="1" t="inlineStr">
        <is>
          <t>synonym</t>
        </is>
      </c>
      <c r="D189" s="1" t="n">
        <v>0.5</v>
      </c>
      <c r="E189" s="20" t="n">
        <v>10</v>
      </c>
      <c r="F189" s="20" t="n">
        <v>27</v>
      </c>
      <c r="G189" s="20" t="n">
        <v>1</v>
      </c>
      <c r="H189" s="16">
        <f>G189/F189</f>
        <v/>
      </c>
      <c r="I189" s="16">
        <f>G189/E189</f>
        <v/>
      </c>
      <c r="J189" s="17" t="n">
        <v>20</v>
      </c>
      <c r="K189" s="17" t="n">
        <v>109</v>
      </c>
      <c r="L189" s="17" t="n">
        <v>4</v>
      </c>
      <c r="M189" s="16">
        <f>L189/K189</f>
        <v/>
      </c>
      <c r="N189" s="16">
        <f>L189/J189</f>
        <v/>
      </c>
      <c r="O189" s="18" t="n">
        <v>1</v>
      </c>
      <c r="P189" s="18" t="n">
        <v>0</v>
      </c>
      <c r="Q189" s="16">
        <f>P189/O189</f>
        <v/>
      </c>
      <c r="R189" s="1" t="n">
        <v>727</v>
      </c>
      <c r="S189" s="1" t="n">
        <v>5</v>
      </c>
      <c r="T189" s="1" t="n">
        <v>1</v>
      </c>
      <c r="U189" s="1" t="n">
        <v>0</v>
      </c>
      <c r="V189" s="1" t="n">
        <v>1</v>
      </c>
      <c r="W189" s="1" t="n">
        <v>1</v>
      </c>
      <c r="X189" s="1" t="n">
        <v>2</v>
      </c>
      <c r="Y189" s="1" t="n">
        <v>0</v>
      </c>
      <c r="Z189" s="1" t="n">
        <v>1</v>
      </c>
      <c r="AA189" s="1" t="n">
        <v>0</v>
      </c>
      <c r="AB189" s="1" t="n">
        <v>0</v>
      </c>
      <c r="AC189" s="1" t="n">
        <v>1</v>
      </c>
      <c r="AD189" s="1" t="n">
        <v>0</v>
      </c>
      <c r="AE189" s="1" t="n">
        <v>0</v>
      </c>
      <c r="AF189" s="1" t="n">
        <v>2</v>
      </c>
      <c r="AG189" s="1" t="n">
        <v>1</v>
      </c>
      <c r="AH189" s="1" t="n">
        <v>0</v>
      </c>
    </row>
    <row r="190">
      <c r="A190" s="1" t="inlineStr">
        <is>
          <t>Human immunodeficiency virus infectious disease</t>
        </is>
      </c>
      <c r="B190" s="1" t="inlineStr">
        <is>
          <t>EFO_0000764</t>
        </is>
      </c>
      <c r="C190" s="1" t="inlineStr">
        <is>
          <t>synonym</t>
        </is>
      </c>
      <c r="D190" s="1" t="n">
        <v>0.5</v>
      </c>
      <c r="E190" s="20" t="n">
        <v>19</v>
      </c>
      <c r="F190" s="20" t="n">
        <v>104</v>
      </c>
      <c r="G190" s="20" t="n">
        <v>3</v>
      </c>
      <c r="H190" s="16">
        <f>G190/F190</f>
        <v/>
      </c>
      <c r="I190" s="16">
        <f>G190/E190</f>
        <v/>
      </c>
      <c r="J190" s="17" t="n">
        <v>46</v>
      </c>
      <c r="K190" s="17" t="n">
        <v>128</v>
      </c>
      <c r="L190" s="17" t="n">
        <v>8</v>
      </c>
      <c r="M190" s="16">
        <f>L190/K190</f>
        <v/>
      </c>
      <c r="N190" s="16">
        <f>L190/J190</f>
        <v/>
      </c>
      <c r="O190" s="18" t="n">
        <v>2</v>
      </c>
      <c r="P190" s="18" t="n">
        <v>0</v>
      </c>
      <c r="Q190" s="16">
        <f>P190/O190</f>
        <v/>
      </c>
      <c r="R190" s="1" t="n">
        <v>2224</v>
      </c>
      <c r="S190" s="1" t="n">
        <v>11</v>
      </c>
      <c r="T190" s="1" t="n">
        <v>0</v>
      </c>
      <c r="U190" s="1" t="n">
        <v>12</v>
      </c>
      <c r="V190" s="1" t="n">
        <v>10</v>
      </c>
      <c r="W190" s="1" t="n">
        <v>2</v>
      </c>
      <c r="X190" s="1" t="n">
        <v>0</v>
      </c>
      <c r="Y190" s="1" t="n">
        <v>0</v>
      </c>
      <c r="Z190" s="1" t="n">
        <v>15</v>
      </c>
      <c r="AA190" s="1" t="n">
        <v>0</v>
      </c>
      <c r="AB190" s="1" t="n">
        <v>0</v>
      </c>
      <c r="AC190" s="1" t="n">
        <v>1</v>
      </c>
      <c r="AD190" s="1" t="n">
        <v>0</v>
      </c>
      <c r="AE190" s="1" t="n">
        <v>6</v>
      </c>
      <c r="AF190" s="1" t="n">
        <v>0</v>
      </c>
      <c r="AG190" s="1" t="n">
        <v>1</v>
      </c>
      <c r="AH190" s="1" t="n">
        <v>1</v>
      </c>
    </row>
    <row r="191">
      <c r="A191" s="1" t="inlineStr">
        <is>
          <t>esophagus squamous cell carcinoma</t>
        </is>
      </c>
      <c r="B191" s="1" t="inlineStr">
        <is>
          <t>EFO_0005922</t>
        </is>
      </c>
      <c r="C191" s="1" t="inlineStr">
        <is>
          <t>synonym</t>
        </is>
      </c>
      <c r="D191" s="1" t="n">
        <v>0.5</v>
      </c>
      <c r="E191" s="20" t="n">
        <v>12</v>
      </c>
      <c r="F191" s="20" t="n">
        <v>201</v>
      </c>
      <c r="G191" s="20" t="n">
        <v>3</v>
      </c>
      <c r="H191" s="16">
        <f>G191/F191</f>
        <v/>
      </c>
      <c r="I191" s="16">
        <f>G191/E191</f>
        <v/>
      </c>
      <c r="J191" s="17" t="n">
        <v>7</v>
      </c>
      <c r="K191" s="17" t="n">
        <v>151</v>
      </c>
      <c r="L191" s="17" t="n">
        <v>0</v>
      </c>
      <c r="M191" s="16">
        <f>L191/K191</f>
        <v/>
      </c>
      <c r="N191" s="16">
        <f>L191/J191</f>
        <v/>
      </c>
      <c r="O191" s="18" t="n">
        <v>3</v>
      </c>
      <c r="P191" s="18" t="n">
        <v>0</v>
      </c>
      <c r="Q191" s="16">
        <f>P191/O191</f>
        <v/>
      </c>
      <c r="R191" s="1" t="n">
        <v>512</v>
      </c>
      <c r="S191" s="1" t="n">
        <v>3</v>
      </c>
      <c r="T191" s="1" t="n">
        <v>1</v>
      </c>
      <c r="U191" s="1" t="n">
        <v>8</v>
      </c>
      <c r="V191" s="1" t="n">
        <v>12</v>
      </c>
      <c r="W191" s="1" t="n">
        <v>7</v>
      </c>
      <c r="X191" s="1" t="n">
        <v>0</v>
      </c>
      <c r="Y191" s="1" t="n">
        <v>4</v>
      </c>
      <c r="Z191" s="1" t="n">
        <v>6</v>
      </c>
      <c r="AA191" s="1" t="n">
        <v>1</v>
      </c>
      <c r="AB191" s="1" t="n">
        <v>3</v>
      </c>
      <c r="AC191" s="1" t="n">
        <v>7</v>
      </c>
      <c r="AD191" s="1" t="n">
        <v>1</v>
      </c>
      <c r="AE191" s="1" t="n">
        <v>2</v>
      </c>
      <c r="AF191" s="1" t="n">
        <v>0</v>
      </c>
      <c r="AG191" s="1" t="n">
        <v>2</v>
      </c>
      <c r="AH191" s="1" t="n">
        <v>2</v>
      </c>
    </row>
    <row r="192">
      <c r="A192" s="1" t="inlineStr">
        <is>
          <t>stomach cancer</t>
        </is>
      </c>
      <c r="B192" s="1" t="inlineStr">
        <is>
          <t>EFO_0003897</t>
        </is>
      </c>
      <c r="C192" s="1" t="inlineStr">
        <is>
          <t>synonym</t>
        </is>
      </c>
      <c r="D192" s="1" t="n">
        <v>0.5</v>
      </c>
      <c r="E192" s="20" t="n">
        <v>12</v>
      </c>
      <c r="F192" s="20" t="n">
        <v>118</v>
      </c>
      <c r="G192" s="20" t="n">
        <v>3</v>
      </c>
      <c r="H192" s="16">
        <f>G192/F192</f>
        <v/>
      </c>
      <c r="I192" s="16">
        <f>G192/E192</f>
        <v/>
      </c>
      <c r="J192" s="17" t="n">
        <v>6</v>
      </c>
      <c r="K192" s="17" t="n">
        <v>687</v>
      </c>
      <c r="L192" s="17" t="n">
        <v>3</v>
      </c>
      <c r="M192" s="16">
        <f>L192/K192</f>
        <v/>
      </c>
      <c r="N192" s="16">
        <f>L192/J192</f>
        <v/>
      </c>
      <c r="O192" s="18" t="n">
        <v>7</v>
      </c>
      <c r="P192" s="18" t="n">
        <v>1</v>
      </c>
      <c r="Q192" s="16">
        <f>P192/O192</f>
        <v/>
      </c>
      <c r="R192" s="1" t="n">
        <v>486</v>
      </c>
      <c r="S192" s="1" t="n">
        <v>5</v>
      </c>
      <c r="T192" s="1" t="n">
        <v>0</v>
      </c>
      <c r="U192" s="1" t="n">
        <v>4</v>
      </c>
      <c r="V192" s="1" t="n">
        <v>13</v>
      </c>
      <c r="W192" s="1" t="n">
        <v>6</v>
      </c>
      <c r="X192" s="1" t="n">
        <v>1</v>
      </c>
      <c r="Y192" s="1" t="n">
        <v>2</v>
      </c>
      <c r="Z192" s="1" t="n">
        <v>8</v>
      </c>
      <c r="AA192" s="1" t="n">
        <v>0</v>
      </c>
      <c r="AB192" s="1" t="n">
        <v>2</v>
      </c>
      <c r="AC192" s="1" t="n">
        <v>3</v>
      </c>
      <c r="AD192" s="1" t="n">
        <v>0</v>
      </c>
      <c r="AE192" s="1" t="n">
        <v>1</v>
      </c>
      <c r="AF192" s="1" t="n">
        <v>1</v>
      </c>
      <c r="AG192" s="1" t="n">
        <v>7</v>
      </c>
      <c r="AH192" s="1" t="n">
        <v>0</v>
      </c>
    </row>
    <row r="193">
      <c r="A193" s="1" t="inlineStr">
        <is>
          <t>pancreatic cancer</t>
        </is>
      </c>
      <c r="B193" s="1" t="inlineStr">
        <is>
          <t>EFO_1000359</t>
        </is>
      </c>
      <c r="C193" s="1" t="inlineStr">
        <is>
          <t>synonym</t>
        </is>
      </c>
      <c r="D193" s="1" t="n">
        <v>0.5</v>
      </c>
      <c r="E193" s="20" t="n">
        <v>11</v>
      </c>
      <c r="F193" s="20" t="n">
        <v>69</v>
      </c>
      <c r="G193" s="20" t="n">
        <v>4</v>
      </c>
      <c r="H193" s="16">
        <f>G193/F193</f>
        <v/>
      </c>
      <c r="I193" s="16">
        <f>G193/E193</f>
        <v/>
      </c>
      <c r="J193" s="17" t="n">
        <v>7</v>
      </c>
      <c r="K193" s="17" t="n">
        <v>854</v>
      </c>
      <c r="L193" s="17" t="n">
        <v>2</v>
      </c>
      <c r="M193" s="16">
        <f>L193/K193</f>
        <v/>
      </c>
      <c r="N193" s="16">
        <f>L193/J193</f>
        <v/>
      </c>
      <c r="O193" s="18" t="n">
        <v>2</v>
      </c>
      <c r="P193" s="18" t="n">
        <v>1</v>
      </c>
      <c r="Q193" s="16">
        <f>P193/O193</f>
        <v/>
      </c>
      <c r="R193" s="1" t="n">
        <v>357</v>
      </c>
      <c r="S193" s="1" t="n">
        <v>5</v>
      </c>
      <c r="T193" s="1" t="n">
        <v>0</v>
      </c>
      <c r="U193" s="1" t="n">
        <v>7</v>
      </c>
      <c r="V193" s="1" t="n">
        <v>10</v>
      </c>
      <c r="W193" s="1" t="n">
        <v>2</v>
      </c>
      <c r="X193" s="1" t="n">
        <v>0</v>
      </c>
      <c r="Y193" s="1" t="n">
        <v>4</v>
      </c>
      <c r="Z193" s="1" t="n">
        <v>4</v>
      </c>
      <c r="AA193" s="1" t="n">
        <v>0</v>
      </c>
      <c r="AB193" s="1" t="n">
        <v>4</v>
      </c>
      <c r="AC193" s="1" t="n">
        <v>6</v>
      </c>
      <c r="AD193" s="1" t="n">
        <v>0</v>
      </c>
      <c r="AE193" s="1" t="n">
        <v>0</v>
      </c>
      <c r="AF193" s="1" t="n">
        <v>0</v>
      </c>
      <c r="AG193" s="1" t="n">
        <v>1</v>
      </c>
      <c r="AH193" s="1" t="n">
        <v>0</v>
      </c>
    </row>
    <row r="194">
      <c r="A194" s="1" t="inlineStr">
        <is>
          <t>nasopharynx carcinoma</t>
        </is>
      </c>
      <c r="B194" s="1" t="inlineStr">
        <is>
          <t>MONDO_0015459</t>
        </is>
      </c>
      <c r="C194" s="1" t="inlineStr">
        <is>
          <t>synonym</t>
        </is>
      </c>
      <c r="D194" s="1" t="n">
        <v>0.5</v>
      </c>
      <c r="E194" s="20" t="n">
        <v>16</v>
      </c>
      <c r="F194" s="20" t="n">
        <v>155</v>
      </c>
      <c r="G194" s="20" t="n">
        <v>7</v>
      </c>
      <c r="H194" s="16">
        <f>G194/F194</f>
        <v/>
      </c>
      <c r="I194" s="16">
        <f>G194/E194</f>
        <v/>
      </c>
      <c r="J194" s="17" t="n">
        <v>7</v>
      </c>
      <c r="K194" s="17" t="n">
        <v>815</v>
      </c>
      <c r="L194" s="17" t="n">
        <v>6</v>
      </c>
      <c r="M194" s="16">
        <f>L194/K194</f>
        <v/>
      </c>
      <c r="N194" s="16">
        <f>L194/J194</f>
        <v/>
      </c>
      <c r="O194" s="18" t="n">
        <v>8</v>
      </c>
      <c r="P194" s="18" t="n">
        <v>1</v>
      </c>
      <c r="Q194" s="16">
        <f>P194/O194</f>
        <v/>
      </c>
      <c r="R194" s="1" t="n">
        <v>540</v>
      </c>
      <c r="S194" s="1" t="n">
        <v>12</v>
      </c>
      <c r="T194" s="1" t="n">
        <v>0</v>
      </c>
      <c r="U194" s="1" t="n">
        <v>5</v>
      </c>
      <c r="V194" s="1" t="n">
        <v>17</v>
      </c>
      <c r="W194" s="1" t="n">
        <v>8</v>
      </c>
      <c r="X194" s="1" t="n">
        <v>0</v>
      </c>
      <c r="Y194" s="1" t="n">
        <v>4</v>
      </c>
      <c r="Z194" s="1" t="n">
        <v>7</v>
      </c>
      <c r="AA194" s="1" t="n">
        <v>0</v>
      </c>
      <c r="AB194" s="1" t="n">
        <v>8</v>
      </c>
      <c r="AC194" s="1" t="n">
        <v>4</v>
      </c>
      <c r="AD194" s="1" t="n">
        <v>0</v>
      </c>
      <c r="AE194" s="1" t="n">
        <v>1</v>
      </c>
      <c r="AF194" s="1" t="n">
        <v>0</v>
      </c>
      <c r="AG194" s="1" t="n">
        <v>5</v>
      </c>
      <c r="AH194" s="1" t="n">
        <v>1</v>
      </c>
    </row>
    <row r="195">
      <c r="A195" s="1" t="inlineStr">
        <is>
          <t>Nicotine addiction</t>
        </is>
      </c>
      <c r="B195" s="1" t="inlineStr">
        <is>
          <t>EFO_0003768</t>
        </is>
      </c>
      <c r="C195" s="1" t="inlineStr">
        <is>
          <t>synonym</t>
        </is>
      </c>
      <c r="D195" s="1" t="n">
        <v>0.5</v>
      </c>
      <c r="E195" s="20" t="n">
        <v>9</v>
      </c>
      <c r="F195" s="20" t="n">
        <v>243</v>
      </c>
      <c r="G195" s="20" t="n">
        <v>5</v>
      </c>
      <c r="H195" s="16">
        <f>G195/F195</f>
        <v/>
      </c>
      <c r="I195" s="16">
        <f>G195/E195</f>
        <v/>
      </c>
      <c r="J195" s="17" t="n">
        <v>27</v>
      </c>
      <c r="K195" s="17" t="n">
        <v>748</v>
      </c>
      <c r="L195" s="17" t="n">
        <v>15</v>
      </c>
      <c r="M195" s="16">
        <f>L195/K195</f>
        <v/>
      </c>
      <c r="N195" s="16">
        <f>L195/J195</f>
        <v/>
      </c>
      <c r="O195" s="18" t="n">
        <v>19</v>
      </c>
      <c r="P195" s="18" t="n">
        <v>1</v>
      </c>
      <c r="Q195" s="16">
        <f>P195/O195</f>
        <v/>
      </c>
      <c r="R195" s="1" t="n">
        <v>785</v>
      </c>
      <c r="S195" s="1" t="n">
        <v>19</v>
      </c>
      <c r="T195" s="1" t="n">
        <v>5</v>
      </c>
      <c r="U195" s="1" t="n">
        <v>8</v>
      </c>
      <c r="V195" s="1" t="n">
        <v>13</v>
      </c>
      <c r="W195" s="1" t="n">
        <v>5</v>
      </c>
      <c r="X195" s="1" t="n">
        <v>0</v>
      </c>
      <c r="Y195" s="1" t="n">
        <v>0</v>
      </c>
      <c r="Z195" s="1" t="n">
        <v>22</v>
      </c>
      <c r="AA195" s="1" t="n">
        <v>0</v>
      </c>
      <c r="AB195" s="1" t="n">
        <v>0</v>
      </c>
      <c r="AC195" s="1" t="n">
        <v>2</v>
      </c>
      <c r="AD195" s="1" t="n">
        <v>0</v>
      </c>
      <c r="AE195" s="1" t="n">
        <v>4</v>
      </c>
      <c r="AF195" s="1" t="n">
        <v>1</v>
      </c>
      <c r="AG195" s="1" t="n">
        <v>2</v>
      </c>
      <c r="AH195" s="1" t="n">
        <v>0</v>
      </c>
    </row>
    <row r="196">
      <c r="A196" s="1" t="inlineStr">
        <is>
          <t>Alzheimer's disease</t>
        </is>
      </c>
      <c r="B196" s="1" t="inlineStr">
        <is>
          <t>MONDO_0004975</t>
        </is>
      </c>
      <c r="C196" s="1" t="inlineStr">
        <is>
          <t>synonym</t>
        </is>
      </c>
      <c r="D196" s="1" t="n">
        <v>0.5</v>
      </c>
      <c r="E196" s="20" t="n">
        <v>13</v>
      </c>
      <c r="F196" s="20" t="n">
        <v>285</v>
      </c>
      <c r="G196" s="20" t="n">
        <v>9</v>
      </c>
      <c r="H196" s="16">
        <f>G196/F196</f>
        <v/>
      </c>
      <c r="I196" s="16">
        <f>G196/E196</f>
        <v/>
      </c>
      <c r="J196" s="17" t="n">
        <v>37</v>
      </c>
      <c r="K196" s="17" t="n">
        <v>160</v>
      </c>
      <c r="L196" s="17" t="n">
        <v>13</v>
      </c>
      <c r="M196" s="16">
        <f>L196/K196</f>
        <v/>
      </c>
      <c r="N196" s="16">
        <f>L196/J196</f>
        <v/>
      </c>
      <c r="O196" s="18" t="n">
        <v>5</v>
      </c>
      <c r="P196" s="18" t="n">
        <v>1</v>
      </c>
      <c r="Q196" s="16">
        <f>P196/O196</f>
        <v/>
      </c>
      <c r="R196" s="1" t="n">
        <v>1595</v>
      </c>
      <c r="S196" s="1" t="n">
        <v>21</v>
      </c>
      <c r="T196" s="1" t="n">
        <v>3</v>
      </c>
      <c r="U196" s="1" t="n">
        <v>6</v>
      </c>
      <c r="V196" s="1" t="n">
        <v>11</v>
      </c>
      <c r="W196" s="1" t="n">
        <v>11</v>
      </c>
      <c r="X196" s="1" t="n">
        <v>0</v>
      </c>
      <c r="Y196" s="1" t="n">
        <v>0</v>
      </c>
      <c r="Z196" s="1" t="n">
        <v>24</v>
      </c>
      <c r="AA196" s="1" t="n">
        <v>1</v>
      </c>
      <c r="AB196" s="1" t="n">
        <v>0</v>
      </c>
      <c r="AC196" s="1" t="n">
        <v>0</v>
      </c>
      <c r="AD196" s="1" t="n">
        <v>0</v>
      </c>
      <c r="AE196" s="1" t="n">
        <v>3</v>
      </c>
      <c r="AF196" s="1" t="n">
        <v>0</v>
      </c>
      <c r="AG196" s="1" t="n">
        <v>2</v>
      </c>
      <c r="AH196" s="1" t="n">
        <v>1</v>
      </c>
    </row>
    <row r="197">
      <c r="A197" s="1" t="inlineStr">
        <is>
          <t>Parkinson's disease</t>
        </is>
      </c>
      <c r="B197" s="1" t="inlineStr">
        <is>
          <t>MONDO_0005180</t>
        </is>
      </c>
      <c r="C197" s="1" t="inlineStr">
        <is>
          <t>synonym</t>
        </is>
      </c>
      <c r="D197" s="1" t="n">
        <v>0.5</v>
      </c>
      <c r="E197" s="20" t="n">
        <v>11</v>
      </c>
      <c r="F197" s="20" t="n">
        <v>284</v>
      </c>
      <c r="G197" s="20" t="n">
        <v>8</v>
      </c>
      <c r="H197" s="16">
        <f>G197/F197</f>
        <v/>
      </c>
      <c r="I197" s="16">
        <f>G197/E197</f>
        <v/>
      </c>
      <c r="J197" s="17" t="n">
        <v>42</v>
      </c>
      <c r="K197" s="17" t="n">
        <v>712</v>
      </c>
      <c r="L197" s="17" t="n">
        <v>26</v>
      </c>
      <c r="M197" s="16">
        <f>L197/K197</f>
        <v/>
      </c>
      <c r="N197" s="16">
        <f>L197/J197</f>
        <v/>
      </c>
      <c r="O197" s="18" t="n">
        <v>27</v>
      </c>
      <c r="P197" s="18" t="n">
        <v>1</v>
      </c>
      <c r="Q197" s="16">
        <f>P197/O197</f>
        <v/>
      </c>
      <c r="R197" s="1" t="n">
        <v>1445</v>
      </c>
      <c r="S197" s="1" t="n">
        <v>33</v>
      </c>
      <c r="T197" s="1" t="n">
        <v>1</v>
      </c>
      <c r="U197" s="1" t="n">
        <v>9</v>
      </c>
      <c r="V197" s="1" t="n">
        <v>25</v>
      </c>
      <c r="W197" s="1" t="n">
        <v>9</v>
      </c>
      <c r="X197" s="1" t="n">
        <v>19</v>
      </c>
      <c r="Y197" s="1" t="n">
        <v>1</v>
      </c>
      <c r="Z197" s="1" t="n">
        <v>28</v>
      </c>
      <c r="AA197" s="1" t="n">
        <v>0</v>
      </c>
      <c r="AB197" s="1" t="n">
        <v>1</v>
      </c>
      <c r="AC197" s="1" t="n">
        <v>12</v>
      </c>
      <c r="AD197" s="1" t="n">
        <v>1</v>
      </c>
      <c r="AE197" s="1" t="n">
        <v>6</v>
      </c>
      <c r="AF197" s="1" t="n">
        <v>8</v>
      </c>
      <c r="AG197" s="1" t="n">
        <v>4</v>
      </c>
      <c r="AH197" s="1" t="n">
        <v>2</v>
      </c>
    </row>
    <row r="198">
      <c r="A198" s="1" t="inlineStr">
        <is>
          <t>invasive ductal carcinoma</t>
        </is>
      </c>
      <c r="B198" s="1" t="inlineStr">
        <is>
          <t>EFO_0000186</t>
        </is>
      </c>
      <c r="C198" s="1" t="inlineStr">
        <is>
          <t>synonym</t>
        </is>
      </c>
      <c r="D198" s="1" t="n">
        <v>0.5</v>
      </c>
      <c r="E198" s="20" t="n">
        <v>4</v>
      </c>
      <c r="F198" s="20" t="n">
        <v>268</v>
      </c>
      <c r="G198" s="20" t="n">
        <v>3</v>
      </c>
      <c r="H198" s="16">
        <f>G198/F198</f>
        <v/>
      </c>
      <c r="I198" s="16">
        <f>G198/E198</f>
        <v/>
      </c>
      <c r="J198" s="17" t="n">
        <v>4</v>
      </c>
      <c r="K198" s="17" t="n">
        <v>202</v>
      </c>
      <c r="L198" s="17" t="n">
        <v>2</v>
      </c>
      <c r="M198" s="16">
        <f>L198/K198</f>
        <v/>
      </c>
      <c r="N198" s="16">
        <f>L198/J198</f>
        <v/>
      </c>
      <c r="O198" s="18" t="n">
        <v>8</v>
      </c>
      <c r="P198" s="18" t="n">
        <v>0</v>
      </c>
      <c r="Q198" s="16">
        <f>P198/O198</f>
        <v/>
      </c>
      <c r="R198" s="1" t="n">
        <v>106</v>
      </c>
      <c r="S198" s="1" t="n">
        <v>5</v>
      </c>
      <c r="T198" s="1" t="n">
        <v>0</v>
      </c>
      <c r="U198" s="1" t="n">
        <v>3</v>
      </c>
      <c r="V198" s="1" t="n">
        <v>0</v>
      </c>
      <c r="W198" s="1" t="n">
        <v>3</v>
      </c>
      <c r="X198" s="1" t="n">
        <v>0</v>
      </c>
      <c r="Y198" s="1" t="n">
        <v>5</v>
      </c>
      <c r="Z198" s="1" t="n">
        <v>1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</row>
    <row r="199">
      <c r="A199" s="1" t="inlineStr">
        <is>
          <t>ductal carcinoma in situ</t>
        </is>
      </c>
      <c r="B199" s="1" t="inlineStr">
        <is>
          <t>EFO_0000432</t>
        </is>
      </c>
      <c r="C199" s="1" t="inlineStr">
        <is>
          <t>synonym</t>
        </is>
      </c>
      <c r="D199" s="1" t="n">
        <v>0.5</v>
      </c>
      <c r="E199" s="20" t="n">
        <v>8</v>
      </c>
      <c r="F199" s="20" t="n">
        <v>239</v>
      </c>
      <c r="G199" s="20" t="n">
        <v>6</v>
      </c>
      <c r="H199" s="16">
        <f>G199/F199</f>
        <v/>
      </c>
      <c r="I199" s="16">
        <f>G199/E199</f>
        <v/>
      </c>
      <c r="J199" s="17" t="n">
        <v>10</v>
      </c>
      <c r="K199" s="17" t="n">
        <v>157</v>
      </c>
      <c r="L199" s="17" t="n">
        <v>4</v>
      </c>
      <c r="M199" s="16">
        <f>L199/K199</f>
        <v/>
      </c>
      <c r="N199" s="16">
        <f>L199/J199</f>
        <v/>
      </c>
      <c r="O199" s="18" t="n">
        <v>4</v>
      </c>
      <c r="P199" s="18" t="n">
        <v>0</v>
      </c>
      <c r="Q199" s="16">
        <f>P199/O199</f>
        <v/>
      </c>
      <c r="R199" s="1" t="n">
        <v>425</v>
      </c>
      <c r="S199" s="1" t="n">
        <v>10</v>
      </c>
      <c r="T199" s="1" t="n">
        <v>1</v>
      </c>
      <c r="U199" s="1" t="n">
        <v>2</v>
      </c>
      <c r="V199" s="1" t="n">
        <v>6</v>
      </c>
      <c r="W199" s="1" t="n">
        <v>1</v>
      </c>
      <c r="X199" s="1" t="n">
        <v>0</v>
      </c>
      <c r="Y199" s="1" t="n">
        <v>2</v>
      </c>
      <c r="Z199" s="1" t="n">
        <v>0</v>
      </c>
      <c r="AA199" s="1" t="n">
        <v>0</v>
      </c>
      <c r="AB199" s="1" t="n">
        <v>0</v>
      </c>
      <c r="AC199" s="1" t="n">
        <v>3</v>
      </c>
      <c r="AD199" s="1" t="n">
        <v>0</v>
      </c>
      <c r="AE199" s="1" t="n">
        <v>4</v>
      </c>
      <c r="AF199" s="1" t="n">
        <v>0</v>
      </c>
      <c r="AG199" s="1" t="n">
        <v>0</v>
      </c>
      <c r="AH199" s="1" t="n">
        <v>1</v>
      </c>
    </row>
    <row r="200">
      <c r="A200" s="1" t="inlineStr">
        <is>
          <t>lung small cell carcinoma</t>
        </is>
      </c>
      <c r="B200" s="1" t="inlineStr">
        <is>
          <t>EFO_0000702</t>
        </is>
      </c>
      <c r="C200" s="1" t="inlineStr">
        <is>
          <t>synonym</t>
        </is>
      </c>
      <c r="D200" s="1" t="n">
        <v>0.5</v>
      </c>
      <c r="E200" s="20" t="n">
        <v>31</v>
      </c>
      <c r="F200" s="20" t="n">
        <v>297</v>
      </c>
      <c r="G200" s="20" t="n">
        <v>24</v>
      </c>
      <c r="H200" s="16">
        <f>G200/F200</f>
        <v/>
      </c>
      <c r="I200" s="16">
        <f>G200/E200</f>
        <v/>
      </c>
      <c r="J200" s="17" t="n">
        <v>18</v>
      </c>
      <c r="K200" s="17" t="n">
        <v>65</v>
      </c>
      <c r="L200" s="17" t="n">
        <v>3</v>
      </c>
      <c r="M200" s="16">
        <f>L200/K200</f>
        <v/>
      </c>
      <c r="N200" s="16">
        <f>L200/J200</f>
        <v/>
      </c>
      <c r="O200" s="18" t="n">
        <v>0</v>
      </c>
      <c r="P200" s="18" t="n">
        <v>0</v>
      </c>
      <c r="Q200" s="16">
        <f>P200/O200</f>
        <v/>
      </c>
      <c r="R200" s="1" t="n">
        <v>1215</v>
      </c>
      <c r="S200" s="1" t="n">
        <v>27</v>
      </c>
      <c r="T200" s="1" t="n">
        <v>0</v>
      </c>
      <c r="U200" s="1" t="n">
        <v>34</v>
      </c>
      <c r="V200" s="1" t="n">
        <v>46</v>
      </c>
      <c r="W200" s="1" t="n">
        <v>18</v>
      </c>
      <c r="X200" s="1" t="n">
        <v>3</v>
      </c>
      <c r="Y200" s="1" t="n">
        <v>8</v>
      </c>
      <c r="Z200" s="1" t="n">
        <v>30</v>
      </c>
      <c r="AA200" s="1" t="n">
        <v>1</v>
      </c>
      <c r="AB200" s="1" t="n">
        <v>9</v>
      </c>
      <c r="AC200" s="1" t="n">
        <v>20</v>
      </c>
      <c r="AD200" s="1" t="n">
        <v>0</v>
      </c>
      <c r="AE200" s="1" t="n">
        <v>15</v>
      </c>
      <c r="AF200" s="1" t="n">
        <v>2</v>
      </c>
      <c r="AG200" s="1" t="n">
        <v>10</v>
      </c>
      <c r="AH200" s="1" t="n">
        <v>6</v>
      </c>
    </row>
    <row r="201">
      <c r="A201" s="1" t="inlineStr">
        <is>
          <t>colon cancer</t>
        </is>
      </c>
      <c r="B201" s="1" t="inlineStr">
        <is>
          <t>EFO_1001950</t>
        </is>
      </c>
      <c r="C201" s="1" t="inlineStr">
        <is>
          <t>synonym</t>
        </is>
      </c>
      <c r="D201" s="1" t="n">
        <v>0.5</v>
      </c>
      <c r="E201" s="20" t="n">
        <v>5</v>
      </c>
      <c r="F201" s="20" t="n">
        <v>224</v>
      </c>
      <c r="G201" s="20" t="n">
        <v>4</v>
      </c>
      <c r="H201" s="16">
        <f>G201/F201</f>
        <v/>
      </c>
      <c r="I201" s="16">
        <f>G201/E201</f>
        <v/>
      </c>
      <c r="J201" s="17" t="n">
        <v>2</v>
      </c>
      <c r="K201" s="17" t="n">
        <v>96</v>
      </c>
      <c r="L201" s="17" t="n">
        <v>0</v>
      </c>
      <c r="M201" s="16">
        <f>L201/K201</f>
        <v/>
      </c>
      <c r="N201" s="16">
        <f>L201/J201</f>
        <v/>
      </c>
      <c r="O201" s="18" t="n">
        <v>4</v>
      </c>
      <c r="P201" s="18" t="n">
        <v>0</v>
      </c>
      <c r="Q201" s="16">
        <f>P201/O201</f>
        <v/>
      </c>
      <c r="R201" s="1" t="n">
        <v>159</v>
      </c>
      <c r="S201" s="1" t="n">
        <v>4</v>
      </c>
      <c r="T201" s="1" t="n">
        <v>0</v>
      </c>
      <c r="U201" s="1" t="n">
        <v>0</v>
      </c>
      <c r="V201" s="1" t="n">
        <v>4</v>
      </c>
      <c r="W201" s="1" t="n">
        <v>0</v>
      </c>
      <c r="X201" s="1" t="n">
        <v>0</v>
      </c>
      <c r="Y201" s="1" t="n">
        <v>1</v>
      </c>
      <c r="Z201" s="1" t="n">
        <v>0</v>
      </c>
      <c r="AA201" s="1" t="n">
        <v>0</v>
      </c>
      <c r="AB201" s="1" t="n">
        <v>0</v>
      </c>
      <c r="AC201" s="1" t="n">
        <v>3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</row>
    <row r="202">
      <c r="A202" s="1" t="inlineStr">
        <is>
          <t>lung large cell carcinoma</t>
        </is>
      </c>
      <c r="B202" s="1" t="inlineStr">
        <is>
          <t>EFO_0003050</t>
        </is>
      </c>
      <c r="C202" s="1" t="inlineStr">
        <is>
          <t>synonym</t>
        </is>
      </c>
      <c r="D202" s="1" t="n">
        <v>0.5</v>
      </c>
      <c r="E202" s="20" t="n">
        <v>6</v>
      </c>
      <c r="F202" s="20" t="n">
        <v>353</v>
      </c>
      <c r="G202" s="20" t="n">
        <v>5</v>
      </c>
      <c r="H202" s="16">
        <f>G202/F202</f>
        <v/>
      </c>
      <c r="I202" s="16">
        <f>G202/E202</f>
        <v/>
      </c>
      <c r="J202" s="17" t="n">
        <v>3</v>
      </c>
      <c r="K202" s="17" t="n">
        <v>47</v>
      </c>
      <c r="L202" s="17" t="n">
        <v>1</v>
      </c>
      <c r="M202" s="16">
        <f>L202/K202</f>
        <v/>
      </c>
      <c r="N202" s="16">
        <f>L202/J202</f>
        <v/>
      </c>
      <c r="O202" s="18" t="n">
        <v>2</v>
      </c>
      <c r="P202" s="18" t="n">
        <v>0</v>
      </c>
      <c r="Q202" s="16">
        <f>P202/O202</f>
        <v/>
      </c>
      <c r="R202" s="1" t="n">
        <v>250</v>
      </c>
      <c r="S202" s="1" t="n">
        <v>6</v>
      </c>
      <c r="T202" s="1" t="n">
        <v>0</v>
      </c>
      <c r="U202" s="1" t="n">
        <v>1</v>
      </c>
      <c r="V202" s="1" t="n">
        <v>7</v>
      </c>
      <c r="W202" s="1" t="n">
        <v>2</v>
      </c>
      <c r="X202" s="1" t="n">
        <v>0</v>
      </c>
      <c r="Y202" s="1" t="n">
        <v>4</v>
      </c>
      <c r="Z202" s="1" t="n">
        <v>3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3</v>
      </c>
      <c r="AF202" s="1" t="n">
        <v>0</v>
      </c>
      <c r="AG202" s="1" t="n">
        <v>0</v>
      </c>
      <c r="AH202" s="1" t="n">
        <v>0</v>
      </c>
    </row>
    <row r="203">
      <c r="A203" s="1" t="inlineStr">
        <is>
          <t>esophagus adenocarcinoma</t>
        </is>
      </c>
      <c r="B203" s="1" t="inlineStr">
        <is>
          <t>EFO_0000478</t>
        </is>
      </c>
      <c r="C203" s="1" t="inlineStr">
        <is>
          <t>synonym</t>
        </is>
      </c>
      <c r="D203" s="1" t="n">
        <v>0.5</v>
      </c>
      <c r="E203" s="20" t="n">
        <v>6</v>
      </c>
      <c r="F203" s="20" t="n">
        <v>283</v>
      </c>
      <c r="G203" s="20" t="n">
        <v>5</v>
      </c>
      <c r="H203" s="16">
        <f>G203/F203</f>
        <v/>
      </c>
      <c r="I203" s="16">
        <f>G203/E203</f>
        <v/>
      </c>
      <c r="J203" s="17" t="n">
        <v>3</v>
      </c>
      <c r="K203" s="17" t="n">
        <v>156</v>
      </c>
      <c r="L203" s="17" t="n">
        <v>0</v>
      </c>
      <c r="M203" s="16">
        <f>L203/K203</f>
        <v/>
      </c>
      <c r="N203" s="16">
        <f>L203/J203</f>
        <v/>
      </c>
      <c r="O203" s="18" t="n">
        <v>4</v>
      </c>
      <c r="P203" s="18" t="n">
        <v>0</v>
      </c>
      <c r="Q203" s="16">
        <f>P203/O203</f>
        <v/>
      </c>
      <c r="R203" s="1" t="n">
        <v>382</v>
      </c>
      <c r="S203" s="1" t="n">
        <v>5</v>
      </c>
      <c r="T203" s="1" t="n">
        <v>0</v>
      </c>
      <c r="U203" s="1" t="n">
        <v>6</v>
      </c>
      <c r="V203" s="1" t="n">
        <v>5</v>
      </c>
      <c r="W203" s="1" t="n">
        <v>1</v>
      </c>
      <c r="X203" s="1" t="n">
        <v>0</v>
      </c>
      <c r="Y203" s="1" t="n">
        <v>1</v>
      </c>
      <c r="Z203" s="1" t="n">
        <v>1</v>
      </c>
      <c r="AA203" s="1" t="n">
        <v>0</v>
      </c>
      <c r="AB203" s="1" t="n">
        <v>3</v>
      </c>
      <c r="AC203" s="1" t="n">
        <v>2</v>
      </c>
      <c r="AD203" s="1" t="n">
        <v>0</v>
      </c>
      <c r="AE203" s="1" t="n">
        <v>4</v>
      </c>
      <c r="AF203" s="1" t="n">
        <v>0</v>
      </c>
      <c r="AG203" s="1" t="n">
        <v>0</v>
      </c>
      <c r="AH203" s="1" t="n">
        <v>1</v>
      </c>
    </row>
    <row r="204">
      <c r="A204" s="1" t="inlineStr">
        <is>
          <t>atopic dermatitis</t>
        </is>
      </c>
      <c r="B204" s="1" t="inlineStr">
        <is>
          <t>EFO_0000274</t>
        </is>
      </c>
      <c r="C204" s="1" t="inlineStr">
        <is>
          <t>synonym</t>
        </is>
      </c>
      <c r="D204" s="1" t="n">
        <v>0.5</v>
      </c>
      <c r="E204" s="20" t="n">
        <v>10</v>
      </c>
      <c r="F204" s="20" t="n">
        <v>356</v>
      </c>
      <c r="G204" s="20" t="n">
        <v>9</v>
      </c>
      <c r="H204" s="16">
        <f>G204/F204</f>
        <v/>
      </c>
      <c r="I204" s="16">
        <f>G204/E204</f>
        <v/>
      </c>
      <c r="J204" s="17" t="n">
        <v>24</v>
      </c>
      <c r="K204" s="17" t="n">
        <v>31</v>
      </c>
      <c r="L204" s="17" t="n">
        <v>0</v>
      </c>
      <c r="M204" s="16">
        <f>L204/K204</f>
        <v/>
      </c>
      <c r="N204" s="16">
        <f>L204/J204</f>
        <v/>
      </c>
      <c r="O204" s="18" t="n">
        <v>2</v>
      </c>
      <c r="P204" s="18" t="n">
        <v>0</v>
      </c>
      <c r="Q204" s="16">
        <f>P204/O204</f>
        <v/>
      </c>
      <c r="R204" s="1" t="n">
        <v>1175</v>
      </c>
      <c r="S204" s="1" t="n">
        <v>9</v>
      </c>
      <c r="T204" s="1" t="n">
        <v>1</v>
      </c>
      <c r="U204" s="1" t="n">
        <v>5</v>
      </c>
      <c r="V204" s="1" t="n">
        <v>2</v>
      </c>
      <c r="W204" s="1" t="n">
        <v>3</v>
      </c>
      <c r="X204" s="1" t="n">
        <v>2</v>
      </c>
      <c r="Y204" s="1" t="n">
        <v>0</v>
      </c>
      <c r="Z204" s="1" t="n">
        <v>6</v>
      </c>
      <c r="AA204" s="1" t="n">
        <v>0</v>
      </c>
      <c r="AB204" s="1" t="n">
        <v>2</v>
      </c>
      <c r="AC204" s="1" t="n">
        <v>1</v>
      </c>
      <c r="AD204" s="1" t="n">
        <v>0</v>
      </c>
      <c r="AE204" s="1" t="n">
        <v>1</v>
      </c>
      <c r="AF204" s="1" t="n">
        <v>2</v>
      </c>
      <c r="AG204" s="1" t="n">
        <v>0</v>
      </c>
      <c r="AH204" s="1" t="n">
        <v>1</v>
      </c>
    </row>
    <row r="205">
      <c r="A205" s="1" t="inlineStr">
        <is>
          <t>lung squamous cell carcinoma</t>
        </is>
      </c>
      <c r="B205" s="1" t="inlineStr">
        <is>
          <t>EFO_0000708</t>
        </is>
      </c>
      <c r="C205" s="1" t="inlineStr">
        <is>
          <t>synonym</t>
        </is>
      </c>
      <c r="D205" s="1" t="n">
        <v>0.5</v>
      </c>
      <c r="E205" s="20" t="n">
        <v>14</v>
      </c>
      <c r="F205" s="20" t="n">
        <v>361</v>
      </c>
      <c r="G205" s="20" t="n">
        <v>13</v>
      </c>
      <c r="H205" s="16">
        <f>G205/F205</f>
        <v/>
      </c>
      <c r="I205" s="16">
        <f>G205/E205</f>
        <v/>
      </c>
      <c r="J205" s="17" t="n">
        <v>6</v>
      </c>
      <c r="K205" s="17" t="n">
        <v>30</v>
      </c>
      <c r="L205" s="17" t="n">
        <v>0</v>
      </c>
      <c r="M205" s="16">
        <f>L205/K205</f>
        <v/>
      </c>
      <c r="N205" s="16">
        <f>L205/J205</f>
        <v/>
      </c>
      <c r="O205" s="18" t="n">
        <v>1</v>
      </c>
      <c r="P205" s="18" t="n">
        <v>0</v>
      </c>
      <c r="Q205" s="16">
        <f>P205/O205</f>
        <v/>
      </c>
      <c r="R205" s="1" t="n">
        <v>391</v>
      </c>
      <c r="S205" s="1" t="n">
        <v>13</v>
      </c>
      <c r="T205" s="1" t="n">
        <v>0</v>
      </c>
      <c r="U205" s="1" t="n">
        <v>9</v>
      </c>
      <c r="V205" s="1" t="n">
        <v>17</v>
      </c>
      <c r="W205" s="1" t="n">
        <v>4</v>
      </c>
      <c r="X205" s="1" t="n">
        <v>0</v>
      </c>
      <c r="Y205" s="1" t="n">
        <v>3</v>
      </c>
      <c r="Z205" s="1" t="n">
        <v>10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6</v>
      </c>
      <c r="AF205" s="1" t="n">
        <v>0</v>
      </c>
      <c r="AG205" s="1" t="n">
        <v>5</v>
      </c>
      <c r="AH205" s="1" t="n">
        <v>6</v>
      </c>
    </row>
    <row r="206">
      <c r="A206" s="1" t="inlineStr">
        <is>
          <t>chronic myeloid leukemia</t>
        </is>
      </c>
      <c r="B206" s="1" t="inlineStr">
        <is>
          <t>EFO_0000339</t>
        </is>
      </c>
      <c r="C206" s="1" t="inlineStr">
        <is>
          <t>synonym</t>
        </is>
      </c>
      <c r="D206" s="1" t="n">
        <v>0.5</v>
      </c>
      <c r="E206" s="20" t="n">
        <v>23</v>
      </c>
      <c r="F206" s="20" t="n">
        <v>357</v>
      </c>
      <c r="G206" s="20" t="n">
        <v>22</v>
      </c>
      <c r="H206" s="16">
        <f>G206/F206</f>
        <v/>
      </c>
      <c r="I206" s="16">
        <f>G206/E206</f>
        <v/>
      </c>
      <c r="J206" s="17" t="n">
        <v>16</v>
      </c>
      <c r="K206" s="17" t="n">
        <v>89</v>
      </c>
      <c r="L206" s="17" t="n">
        <v>3</v>
      </c>
      <c r="M206" s="16">
        <f>L206/K206</f>
        <v/>
      </c>
      <c r="N206" s="16">
        <f>L206/J206</f>
        <v/>
      </c>
      <c r="O206" s="18" t="n">
        <v>4</v>
      </c>
      <c r="P206" s="18" t="n">
        <v>0</v>
      </c>
      <c r="Q206" s="16">
        <f>P206/O206</f>
        <v/>
      </c>
      <c r="R206" s="1" t="n">
        <v>794</v>
      </c>
      <c r="S206" s="1" t="n">
        <v>25</v>
      </c>
      <c r="T206" s="1" t="n">
        <v>0</v>
      </c>
      <c r="U206" s="1" t="n">
        <v>20</v>
      </c>
      <c r="V206" s="1" t="n">
        <v>28</v>
      </c>
      <c r="W206" s="1" t="n">
        <v>9</v>
      </c>
      <c r="X206" s="1" t="n">
        <v>1</v>
      </c>
      <c r="Y206" s="1" t="n">
        <v>8</v>
      </c>
      <c r="Z206" s="1" t="n">
        <v>20</v>
      </c>
      <c r="AA206" s="1" t="n">
        <v>0</v>
      </c>
      <c r="AB206" s="1" t="n">
        <v>3</v>
      </c>
      <c r="AC206" s="1" t="n">
        <v>7</v>
      </c>
      <c r="AD206" s="1" t="n">
        <v>0</v>
      </c>
      <c r="AE206" s="1" t="n">
        <v>12</v>
      </c>
      <c r="AF206" s="1" t="n">
        <v>1</v>
      </c>
      <c r="AG206" s="1" t="n">
        <v>5</v>
      </c>
      <c r="AH206" s="1" t="n">
        <v>2</v>
      </c>
    </row>
    <row r="207">
      <c r="A207" s="1" t="inlineStr">
        <is>
          <t>monoclonal gammopathy of uncertain significance</t>
        </is>
      </c>
      <c r="B207" s="1" t="inlineStr">
        <is>
          <t>EFO_0000203</t>
        </is>
      </c>
      <c r="C207" s="1" t="inlineStr">
        <is>
          <t>synonym</t>
        </is>
      </c>
      <c r="D207" s="1" t="n">
        <v>0.5</v>
      </c>
      <c r="E207" s="20" t="n">
        <v>1</v>
      </c>
      <c r="F207" s="20" t="n">
        <v>296</v>
      </c>
      <c r="G207" s="20" t="n">
        <v>1</v>
      </c>
      <c r="H207" s="16">
        <f>G207/F207</f>
        <v/>
      </c>
      <c r="I207" s="16">
        <f>G207/E207</f>
        <v/>
      </c>
      <c r="J207" s="17" t="n">
        <v>1</v>
      </c>
      <c r="K207" s="17" t="n">
        <v>640</v>
      </c>
      <c r="L207" s="17" t="n">
        <v>1</v>
      </c>
      <c r="M207" s="16">
        <f>L207/K207</f>
        <v/>
      </c>
      <c r="N207" s="16">
        <f>L207/J207</f>
        <v/>
      </c>
      <c r="O207" s="18" t="n">
        <v>18</v>
      </c>
      <c r="P207" s="18" t="n">
        <v>1</v>
      </c>
      <c r="Q207" s="16">
        <f>P207/O207</f>
        <v/>
      </c>
      <c r="R207" s="1" t="n">
        <v>33</v>
      </c>
      <c r="S207" s="1" t="n">
        <v>1</v>
      </c>
      <c r="T207" s="1" t="n">
        <v>0</v>
      </c>
      <c r="U207" s="1" t="n">
        <v>0</v>
      </c>
      <c r="V207" s="1" t="n">
        <v>1</v>
      </c>
      <c r="W207" s="1" t="n">
        <v>0</v>
      </c>
      <c r="X207" s="1" t="n">
        <v>0</v>
      </c>
      <c r="Y207" s="1" t="n">
        <v>0</v>
      </c>
      <c r="Z207" s="1" t="n">
        <v>1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</row>
    <row r="208">
      <c r="A208" s="1" t="inlineStr">
        <is>
          <t>alcoholic hepatitis</t>
        </is>
      </c>
      <c r="B208" s="1" t="inlineStr">
        <is>
          <t>EFO_1001345</t>
        </is>
      </c>
      <c r="C208" s="1" t="inlineStr">
        <is>
          <t>synonym</t>
        </is>
      </c>
      <c r="D208" s="1" t="n">
        <v>0.5</v>
      </c>
      <c r="E208" s="20" t="n">
        <v>1</v>
      </c>
      <c r="F208" s="20" t="n">
        <v>274</v>
      </c>
      <c r="G208" s="20" t="n">
        <v>1</v>
      </c>
      <c r="H208" s="16">
        <f>G208/F208</f>
        <v/>
      </c>
      <c r="I208" s="16">
        <f>G208/E208</f>
        <v/>
      </c>
      <c r="J208" s="17" t="n">
        <v>4</v>
      </c>
      <c r="K208" s="17" t="n">
        <v>86</v>
      </c>
      <c r="L208" s="17" t="n">
        <v>1</v>
      </c>
      <c r="M208" s="16">
        <f>L208/K208</f>
        <v/>
      </c>
      <c r="N208" s="16">
        <f>L208/J208</f>
        <v/>
      </c>
      <c r="O208" s="18" t="n">
        <v>2</v>
      </c>
      <c r="P208" s="18" t="n">
        <v>0</v>
      </c>
      <c r="Q208" s="16">
        <f>P208/O208</f>
        <v/>
      </c>
      <c r="R208" s="1" t="n">
        <v>142</v>
      </c>
      <c r="S208" s="1" t="n">
        <v>2</v>
      </c>
      <c r="T208" s="1" t="n">
        <v>0</v>
      </c>
      <c r="U208" s="1" t="n">
        <v>1</v>
      </c>
      <c r="V208" s="1" t="n">
        <v>2</v>
      </c>
      <c r="W208" s="1" t="n">
        <v>2</v>
      </c>
      <c r="X208" s="1" t="n">
        <v>0</v>
      </c>
      <c r="Y208" s="1" t="n">
        <v>0</v>
      </c>
      <c r="Z208" s="1" t="n">
        <v>3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1</v>
      </c>
      <c r="AF208" s="1" t="n">
        <v>0</v>
      </c>
      <c r="AG208" s="1" t="n">
        <v>1</v>
      </c>
      <c r="AH208" s="1" t="n">
        <v>0</v>
      </c>
    </row>
    <row r="209">
      <c r="A209" s="1" t="inlineStr">
        <is>
          <t>childhood type dermatomyositis</t>
        </is>
      </c>
      <c r="B209" s="1" t="inlineStr">
        <is>
          <t>EFO_0000557</t>
        </is>
      </c>
      <c r="C209" s="1" t="inlineStr">
        <is>
          <t>synonym</t>
        </is>
      </c>
      <c r="D209" s="1" t="n">
        <v>0.5</v>
      </c>
      <c r="E209" s="20" t="n">
        <v>2</v>
      </c>
      <c r="F209" s="20" t="n">
        <v>373</v>
      </c>
      <c r="G209" s="20" t="n">
        <v>2</v>
      </c>
      <c r="H209" s="16">
        <f>G209/F209</f>
        <v/>
      </c>
      <c r="I209" s="16">
        <f>G209/E209</f>
        <v/>
      </c>
      <c r="J209" s="17" t="n">
        <v>4</v>
      </c>
      <c r="K209" s="17" t="n">
        <v>108</v>
      </c>
      <c r="L209" s="17" t="n">
        <v>0</v>
      </c>
      <c r="M209" s="16">
        <f>L209/K209</f>
        <v/>
      </c>
      <c r="N209" s="16">
        <f>L209/J209</f>
        <v/>
      </c>
      <c r="O209" s="18" t="n">
        <v>6</v>
      </c>
      <c r="P209" s="18" t="n">
        <v>0</v>
      </c>
      <c r="Q209" s="16">
        <f>P209/O209</f>
        <v/>
      </c>
      <c r="R209" s="1" t="n">
        <v>160</v>
      </c>
      <c r="S209" s="1" t="n">
        <v>2</v>
      </c>
      <c r="T209" s="1" t="n">
        <v>0</v>
      </c>
      <c r="U209" s="1" t="n">
        <v>0</v>
      </c>
      <c r="V209" s="1" t="n">
        <v>0</v>
      </c>
      <c r="W209" s="1" t="n">
        <v>2</v>
      </c>
      <c r="X209" s="1" t="n">
        <v>0</v>
      </c>
      <c r="Y209" s="1" t="n">
        <v>0</v>
      </c>
      <c r="Z209" s="1" t="n">
        <v>2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</row>
    <row r="210">
      <c r="A210" s="1" t="inlineStr">
        <is>
          <t>smoldering myeloma</t>
        </is>
      </c>
      <c r="B210" s="1" t="inlineStr">
        <is>
          <t>EFO_0003073</t>
        </is>
      </c>
      <c r="C210" s="1" t="inlineStr">
        <is>
          <t>synonym</t>
        </is>
      </c>
      <c r="D210" s="1" t="n">
        <v>0.5</v>
      </c>
      <c r="E210" s="20" t="n">
        <v>2</v>
      </c>
      <c r="F210" s="20" t="n">
        <v>271</v>
      </c>
      <c r="G210" s="20" t="n">
        <v>2</v>
      </c>
      <c r="H210" s="16">
        <f>G210/F210</f>
        <v/>
      </c>
      <c r="I210" s="16">
        <f>G210/E210</f>
        <v/>
      </c>
      <c r="J210" s="17" t="n">
        <v>2</v>
      </c>
      <c r="K210" s="17" t="n">
        <v>649</v>
      </c>
      <c r="L210" s="17" t="n">
        <v>1</v>
      </c>
      <c r="M210" s="16">
        <f>L210/K210</f>
        <v/>
      </c>
      <c r="N210" s="16">
        <f>L210/J210</f>
        <v/>
      </c>
      <c r="O210" s="18" t="n">
        <v>17</v>
      </c>
      <c r="P210" s="18" t="n">
        <v>0</v>
      </c>
      <c r="Q210" s="16">
        <f>P210/O210</f>
        <v/>
      </c>
      <c r="R210" s="1" t="n">
        <v>125</v>
      </c>
      <c r="S210" s="1" t="n">
        <v>3</v>
      </c>
      <c r="T210" s="1" t="n">
        <v>1</v>
      </c>
      <c r="U210" s="1" t="n">
        <v>3</v>
      </c>
      <c r="V210" s="1" t="n">
        <v>5</v>
      </c>
      <c r="W210" s="1" t="n">
        <v>1</v>
      </c>
      <c r="X210" s="1" t="n">
        <v>0</v>
      </c>
      <c r="Y210" s="1" t="n">
        <v>2</v>
      </c>
      <c r="Z210" s="1" t="n">
        <v>2</v>
      </c>
      <c r="AA210" s="1" t="n">
        <v>0</v>
      </c>
      <c r="AB210" s="1" t="n">
        <v>0</v>
      </c>
      <c r="AC210" s="1" t="n">
        <v>3</v>
      </c>
      <c r="AD210" s="1" t="n">
        <v>0</v>
      </c>
      <c r="AE210" s="1" t="n">
        <v>2</v>
      </c>
      <c r="AF210" s="1" t="n">
        <v>0</v>
      </c>
      <c r="AG210" s="1" t="n">
        <v>0</v>
      </c>
      <c r="AH210" s="1" t="n">
        <v>1</v>
      </c>
    </row>
    <row r="211">
      <c r="A211" s="1" t="inlineStr">
        <is>
          <t>intracranial aneurysm</t>
        </is>
      </c>
      <c r="B211" s="1" t="inlineStr">
        <is>
          <t>EFO_0003870</t>
        </is>
      </c>
      <c r="C211" s="1" t="inlineStr">
        <is>
          <t>synonym</t>
        </is>
      </c>
      <c r="D211" s="1" t="n">
        <v>0.5</v>
      </c>
      <c r="E211" s="20" t="n">
        <v>3</v>
      </c>
      <c r="F211" s="20" t="n">
        <v>355</v>
      </c>
      <c r="G211" s="20" t="n">
        <v>3</v>
      </c>
      <c r="H211" s="16">
        <f>G211/F211</f>
        <v/>
      </c>
      <c r="I211" s="16">
        <f>G211/E211</f>
        <v/>
      </c>
      <c r="J211" s="17" t="n">
        <v>4</v>
      </c>
      <c r="K211" s="17" t="n">
        <v>60</v>
      </c>
      <c r="L211" s="17" t="n">
        <v>2</v>
      </c>
      <c r="M211" s="16">
        <f>L211/K211</f>
        <v/>
      </c>
      <c r="N211" s="16">
        <f>L211/J211</f>
        <v/>
      </c>
      <c r="O211" s="18" t="n">
        <v>3</v>
      </c>
      <c r="P211" s="18" t="n">
        <v>0</v>
      </c>
      <c r="Q211" s="16">
        <f>P211/O211</f>
        <v/>
      </c>
      <c r="R211" s="1" t="n">
        <v>122</v>
      </c>
      <c r="S211" s="1" t="n">
        <v>5</v>
      </c>
      <c r="T211" s="1" t="n">
        <v>0</v>
      </c>
      <c r="U211" s="1" t="n">
        <v>0</v>
      </c>
      <c r="V211" s="1" t="n">
        <v>1</v>
      </c>
      <c r="W211" s="1" t="n">
        <v>4</v>
      </c>
      <c r="X211" s="1" t="n">
        <v>0</v>
      </c>
      <c r="Y211" s="1" t="n">
        <v>0</v>
      </c>
      <c r="Z211" s="1" t="n">
        <v>2</v>
      </c>
      <c r="AA211" s="1" t="n">
        <v>0</v>
      </c>
      <c r="AB211" s="1" t="n">
        <v>1</v>
      </c>
      <c r="AC211" s="1" t="n">
        <v>1</v>
      </c>
      <c r="AD211" s="1" t="n">
        <v>0</v>
      </c>
      <c r="AE211" s="1" t="n">
        <v>0</v>
      </c>
      <c r="AF211" s="1" t="n">
        <v>0</v>
      </c>
      <c r="AG211" s="1" t="n">
        <v>1</v>
      </c>
      <c r="AH211" s="1" t="n">
        <v>0</v>
      </c>
    </row>
    <row r="212">
      <c r="A212" s="1" t="inlineStr">
        <is>
          <t>hemorrhagic thrombocythemia</t>
        </is>
      </c>
      <c r="B212" s="1" t="inlineStr">
        <is>
          <t>EFO_0000479</t>
        </is>
      </c>
      <c r="C212" s="1" t="inlineStr">
        <is>
          <t>synonym</t>
        </is>
      </c>
      <c r="D212" s="1" t="n">
        <v>0.5</v>
      </c>
      <c r="E212" s="20" t="n">
        <v>3</v>
      </c>
      <c r="F212" s="20" t="n">
        <v>284</v>
      </c>
      <c r="G212" s="20" t="n">
        <v>3</v>
      </c>
      <c r="H212" s="16">
        <f>G212/F212</f>
        <v/>
      </c>
      <c r="I212" s="16">
        <f>G212/E212</f>
        <v/>
      </c>
      <c r="J212" s="17" t="n">
        <v>4</v>
      </c>
      <c r="K212" s="17" t="n">
        <v>186</v>
      </c>
      <c r="L212" s="17" t="n">
        <v>2</v>
      </c>
      <c r="M212" s="16">
        <f>L212/K212</f>
        <v/>
      </c>
      <c r="N212" s="16">
        <f>L212/J212</f>
        <v/>
      </c>
      <c r="O212" s="18" t="n">
        <v>10</v>
      </c>
      <c r="P212" s="18" t="n">
        <v>0</v>
      </c>
      <c r="Q212" s="16">
        <f>P212/O212</f>
        <v/>
      </c>
      <c r="R212" s="1" t="n">
        <v>207</v>
      </c>
      <c r="S212" s="1" t="n">
        <v>5</v>
      </c>
      <c r="T212" s="1" t="n">
        <v>0</v>
      </c>
      <c r="U212" s="1" t="n">
        <v>1</v>
      </c>
      <c r="V212" s="1" t="n">
        <v>2</v>
      </c>
      <c r="W212" s="1" t="n">
        <v>5</v>
      </c>
      <c r="X212" s="1" t="n">
        <v>0</v>
      </c>
      <c r="Y212" s="1" t="n">
        <v>0</v>
      </c>
      <c r="Z212" s="1" t="n">
        <v>3</v>
      </c>
      <c r="AA212" s="1" t="n">
        <v>0</v>
      </c>
      <c r="AB212" s="1" t="n">
        <v>1</v>
      </c>
      <c r="AC212" s="1" t="n">
        <v>1</v>
      </c>
      <c r="AD212" s="1" t="n">
        <v>0</v>
      </c>
      <c r="AE212" s="1" t="n">
        <v>0</v>
      </c>
      <c r="AF212" s="1" t="n">
        <v>0</v>
      </c>
      <c r="AG212" s="1" t="n">
        <v>3</v>
      </c>
      <c r="AH212" s="1" t="n">
        <v>0</v>
      </c>
    </row>
    <row r="213">
      <c r="A213" s="1" t="inlineStr">
        <is>
          <t>Sjogren's syndrome</t>
        </is>
      </c>
      <c r="B213" s="1" t="inlineStr">
        <is>
          <t>EFO_0000699</t>
        </is>
      </c>
      <c r="C213" s="1" t="inlineStr">
        <is>
          <t>synonym</t>
        </is>
      </c>
      <c r="D213" s="1" t="n">
        <v>0.5</v>
      </c>
      <c r="E213" s="20" t="n">
        <v>4</v>
      </c>
      <c r="F213" s="20" t="n">
        <v>317</v>
      </c>
      <c r="G213" s="20" t="n">
        <v>4</v>
      </c>
      <c r="H213" s="16">
        <f>G213/F213</f>
        <v/>
      </c>
      <c r="I213" s="16">
        <f>G213/E213</f>
        <v/>
      </c>
      <c r="J213" s="17" t="n">
        <v>6</v>
      </c>
      <c r="K213" s="17" t="n">
        <v>769</v>
      </c>
      <c r="L213" s="17" t="n">
        <v>4</v>
      </c>
      <c r="M213" s="16">
        <f>L213/K213</f>
        <v/>
      </c>
      <c r="N213" s="16">
        <f>L213/J213</f>
        <v/>
      </c>
      <c r="O213" s="18" t="n">
        <v>30</v>
      </c>
      <c r="P213" s="18" t="n">
        <v>0</v>
      </c>
      <c r="Q213" s="16">
        <f>P213/O213</f>
        <v/>
      </c>
      <c r="R213" s="1" t="n">
        <v>304</v>
      </c>
      <c r="S213" s="1" t="n">
        <v>8</v>
      </c>
      <c r="T213" s="1" t="n">
        <v>0</v>
      </c>
      <c r="U213" s="1" t="n">
        <v>2</v>
      </c>
      <c r="V213" s="1" t="n">
        <v>5</v>
      </c>
      <c r="W213" s="1" t="n">
        <v>0</v>
      </c>
      <c r="X213" s="1" t="n">
        <v>1</v>
      </c>
      <c r="Y213" s="1" t="n">
        <v>0</v>
      </c>
      <c r="Z213" s="1" t="n">
        <v>2</v>
      </c>
      <c r="AA213" s="1" t="n">
        <v>0</v>
      </c>
      <c r="AB213" s="1" t="n">
        <v>1</v>
      </c>
      <c r="AC213" s="1" t="n">
        <v>4</v>
      </c>
      <c r="AD213" s="1" t="n">
        <v>0</v>
      </c>
      <c r="AE213" s="1" t="n">
        <v>0</v>
      </c>
      <c r="AF213" s="1" t="n">
        <v>1</v>
      </c>
      <c r="AG213" s="1" t="n">
        <v>0</v>
      </c>
      <c r="AH213" s="1" t="n">
        <v>0</v>
      </c>
    </row>
    <row r="214">
      <c r="A214" s="1" t="inlineStr">
        <is>
          <t>autistic disorder</t>
        </is>
      </c>
      <c r="B214" s="1" t="inlineStr">
        <is>
          <t>EFO_0003758</t>
        </is>
      </c>
      <c r="C214" s="1" t="inlineStr">
        <is>
          <t>synonym</t>
        </is>
      </c>
      <c r="D214" s="1" t="n">
        <v>0.5</v>
      </c>
      <c r="E214" s="20" t="n">
        <v>5</v>
      </c>
      <c r="F214" s="20" t="n">
        <v>379</v>
      </c>
      <c r="G214" s="20" t="n">
        <v>5</v>
      </c>
      <c r="H214" s="16">
        <f>G214/F214</f>
        <v/>
      </c>
      <c r="I214" s="16">
        <f>G214/E214</f>
        <v/>
      </c>
      <c r="J214" s="17" t="n">
        <v>17</v>
      </c>
      <c r="K214" s="17" t="n">
        <v>16</v>
      </c>
      <c r="L214" s="17" t="n">
        <v>0</v>
      </c>
      <c r="M214" s="16">
        <f>L214/K214</f>
        <v/>
      </c>
      <c r="N214" s="16">
        <f>L214/J214</f>
        <v/>
      </c>
      <c r="O214" s="18" t="n">
        <v>0</v>
      </c>
      <c r="P214" s="18" t="n">
        <v>0</v>
      </c>
      <c r="Q214" s="16">
        <f>P214/O214</f>
        <v/>
      </c>
      <c r="R214" s="1" t="n">
        <v>475</v>
      </c>
      <c r="S214" s="1" t="n">
        <v>5</v>
      </c>
      <c r="T214" s="1" t="n">
        <v>1</v>
      </c>
      <c r="U214" s="1" t="n">
        <v>0</v>
      </c>
      <c r="V214" s="1" t="n">
        <v>3</v>
      </c>
      <c r="W214" s="1" t="n">
        <v>1</v>
      </c>
      <c r="X214" s="1" t="n">
        <v>0</v>
      </c>
      <c r="Y214" s="1" t="n">
        <v>0</v>
      </c>
      <c r="Z214" s="1" t="n">
        <v>3</v>
      </c>
      <c r="AA214" s="1" t="n">
        <v>0</v>
      </c>
      <c r="AB214" s="1" t="n">
        <v>0</v>
      </c>
      <c r="AC214" s="1" t="n">
        <v>2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</row>
    <row r="215">
      <c r="A215" s="1" t="inlineStr">
        <is>
          <t>testicular cancer</t>
        </is>
      </c>
      <c r="B215" s="1" t="inlineStr">
        <is>
          <t>EFO_0005088</t>
        </is>
      </c>
      <c r="C215" s="1" t="inlineStr">
        <is>
          <t>synonym</t>
        </is>
      </c>
      <c r="D215" s="1" t="n">
        <v>0.5</v>
      </c>
      <c r="E215" s="20" t="n">
        <v>5</v>
      </c>
      <c r="F215" s="20" t="n">
        <v>379</v>
      </c>
      <c r="G215" s="20" t="n">
        <v>5</v>
      </c>
      <c r="H215" s="16">
        <f>G215/F215</f>
        <v/>
      </c>
      <c r="I215" s="16">
        <f>G215/E215</f>
        <v/>
      </c>
      <c r="J215" s="17" t="n">
        <v>3</v>
      </c>
      <c r="K215" s="17" t="n">
        <v>370</v>
      </c>
      <c r="L215" s="17" t="n">
        <v>0</v>
      </c>
      <c r="M215" s="16">
        <f>L215/K215</f>
        <v/>
      </c>
      <c r="N215" s="16">
        <f>L215/J215</f>
        <v/>
      </c>
      <c r="O215" s="18" t="n">
        <v>17</v>
      </c>
      <c r="P215" s="18" t="n">
        <v>0</v>
      </c>
      <c r="Q215" s="16">
        <f>P215/O215</f>
        <v/>
      </c>
      <c r="R215" s="1" t="n">
        <v>145</v>
      </c>
      <c r="S215" s="1" t="n">
        <v>5</v>
      </c>
      <c r="T215" s="1" t="n">
        <v>0</v>
      </c>
      <c r="U215" s="1" t="n">
        <v>0</v>
      </c>
      <c r="V215" s="1" t="n">
        <v>4</v>
      </c>
      <c r="W215" s="1" t="n">
        <v>1</v>
      </c>
      <c r="X215" s="1" t="n">
        <v>0</v>
      </c>
      <c r="Y215" s="1" t="n">
        <v>0</v>
      </c>
      <c r="Z215" s="1" t="n">
        <v>2</v>
      </c>
      <c r="AA215" s="1" t="n">
        <v>0</v>
      </c>
      <c r="AB215" s="1" t="n">
        <v>0</v>
      </c>
      <c r="AC215" s="1" t="n">
        <v>1</v>
      </c>
      <c r="AD215" s="1" t="n">
        <v>0</v>
      </c>
      <c r="AE215" s="1" t="n">
        <v>2</v>
      </c>
      <c r="AF215" s="1" t="n">
        <v>0</v>
      </c>
      <c r="AG215" s="1" t="n">
        <v>0</v>
      </c>
      <c r="AH215" s="1" t="n">
        <v>0</v>
      </c>
    </row>
    <row r="216">
      <c r="A216" s="1" t="inlineStr">
        <is>
          <t>cervix carcinoma</t>
        </is>
      </c>
      <c r="B216" s="1" t="inlineStr">
        <is>
          <t>EFO_0001061</t>
        </is>
      </c>
      <c r="C216" s="1" t="inlineStr">
        <is>
          <t>synonym</t>
        </is>
      </c>
      <c r="D216" s="1" t="n">
        <v>0.5</v>
      </c>
      <c r="E216" s="20" t="n">
        <v>5</v>
      </c>
      <c r="F216" s="20" t="n">
        <v>372</v>
      </c>
      <c r="G216" s="20" t="n">
        <v>5</v>
      </c>
      <c r="H216" s="16">
        <f>G216/F216</f>
        <v/>
      </c>
      <c r="I216" s="16">
        <f>G216/E216</f>
        <v/>
      </c>
      <c r="J216" s="17" t="n">
        <v>3</v>
      </c>
      <c r="K216" s="17" t="n">
        <v>240</v>
      </c>
      <c r="L216" s="17" t="n">
        <v>0</v>
      </c>
      <c r="M216" s="16">
        <f>L216/K216</f>
        <v/>
      </c>
      <c r="N216" s="16">
        <f>L216/J216</f>
        <v/>
      </c>
      <c r="O216" s="18" t="n">
        <v>18</v>
      </c>
      <c r="P216" s="18" t="n">
        <v>0</v>
      </c>
      <c r="Q216" s="16">
        <f>P216/O216</f>
        <v/>
      </c>
      <c r="R216" s="1" t="n">
        <v>293</v>
      </c>
      <c r="S216" s="1" t="n">
        <v>5</v>
      </c>
      <c r="T216" s="1" t="n">
        <v>0</v>
      </c>
      <c r="U216" s="1" t="n">
        <v>6</v>
      </c>
      <c r="V216" s="1" t="n">
        <v>7</v>
      </c>
      <c r="W216" s="1" t="n">
        <v>3</v>
      </c>
      <c r="X216" s="1" t="n">
        <v>0</v>
      </c>
      <c r="Y216" s="1" t="n">
        <v>2</v>
      </c>
      <c r="Z216" s="1" t="n">
        <v>5</v>
      </c>
      <c r="AA216" s="1" t="n">
        <v>0</v>
      </c>
      <c r="AB216" s="1" t="n">
        <v>2</v>
      </c>
      <c r="AC216" s="1" t="n">
        <v>2</v>
      </c>
      <c r="AD216" s="1" t="n">
        <v>0</v>
      </c>
      <c r="AE216" s="1" t="n">
        <v>0</v>
      </c>
      <c r="AF216" s="1" t="n">
        <v>0</v>
      </c>
      <c r="AG216" s="1" t="n">
        <v>3</v>
      </c>
      <c r="AH216" s="1" t="n">
        <v>2</v>
      </c>
    </row>
    <row r="217">
      <c r="A217" s="1" t="inlineStr">
        <is>
          <t>NASH</t>
        </is>
      </c>
      <c r="B217" s="1" t="inlineStr">
        <is>
          <t>EFO_1001249</t>
        </is>
      </c>
      <c r="C217" s="1" t="inlineStr">
        <is>
          <t>synonym</t>
        </is>
      </c>
      <c r="D217" s="1" t="n">
        <v>0.5</v>
      </c>
      <c r="E217" s="20" t="n">
        <v>6</v>
      </c>
      <c r="F217" s="20" t="n">
        <v>379</v>
      </c>
      <c r="G217" s="20" t="n">
        <v>6</v>
      </c>
      <c r="H217" s="16">
        <f>G217/F217</f>
        <v/>
      </c>
      <c r="I217" s="16">
        <f>G217/E217</f>
        <v/>
      </c>
      <c r="J217" s="17" t="n">
        <v>11</v>
      </c>
      <c r="K217" s="17" t="n">
        <v>786</v>
      </c>
      <c r="L217" s="17" t="n">
        <v>10</v>
      </c>
      <c r="M217" s="16">
        <f>L217/K217</f>
        <v/>
      </c>
      <c r="N217" s="16">
        <f>L217/J217</f>
        <v/>
      </c>
      <c r="O217" s="18" t="n">
        <v>35</v>
      </c>
      <c r="P217" s="18" t="n">
        <v>5</v>
      </c>
      <c r="Q217" s="16">
        <f>P217/O217</f>
        <v/>
      </c>
      <c r="R217" s="1" t="n">
        <v>486</v>
      </c>
      <c r="S217" s="1" t="n">
        <v>11</v>
      </c>
      <c r="T217" s="1" t="n">
        <v>0</v>
      </c>
      <c r="U217" s="1" t="n">
        <v>6</v>
      </c>
      <c r="V217" s="1" t="n">
        <v>8</v>
      </c>
      <c r="W217" s="1" t="n">
        <v>3</v>
      </c>
      <c r="X217" s="1" t="n">
        <v>0</v>
      </c>
      <c r="Y217" s="1" t="n">
        <v>2</v>
      </c>
      <c r="Z217" s="1" t="n">
        <v>11</v>
      </c>
      <c r="AA217" s="1" t="n">
        <v>0</v>
      </c>
      <c r="AB217" s="1" t="n">
        <v>0</v>
      </c>
      <c r="AC217" s="1" t="n">
        <v>1</v>
      </c>
      <c r="AD217" s="1" t="n">
        <v>0</v>
      </c>
      <c r="AE217" s="1" t="n">
        <v>0</v>
      </c>
      <c r="AF217" s="1" t="n">
        <v>0</v>
      </c>
      <c r="AG217" s="1" t="n">
        <v>2</v>
      </c>
      <c r="AH217" s="1" t="n">
        <v>1</v>
      </c>
    </row>
    <row r="218">
      <c r="A218" s="1" t="inlineStr">
        <is>
          <t>adenosquamous cell lung carcinoma</t>
        </is>
      </c>
      <c r="B218" s="1" t="inlineStr">
        <is>
          <t>EFO_0000233</t>
        </is>
      </c>
      <c r="C218" s="1" t="inlineStr">
        <is>
          <t>synonym</t>
        </is>
      </c>
      <c r="D218" s="1" t="n">
        <v>0.5</v>
      </c>
      <c r="E218" s="20" t="n">
        <v>6</v>
      </c>
      <c r="F218" s="20" t="n">
        <v>370</v>
      </c>
      <c r="G218" s="20" t="n">
        <v>6</v>
      </c>
      <c r="H218" s="16">
        <f>G218/F218</f>
        <v/>
      </c>
      <c r="I218" s="16">
        <f>G218/E218</f>
        <v/>
      </c>
      <c r="J218" s="17" t="n">
        <v>4</v>
      </c>
      <c r="K218" s="17" t="n">
        <v>38</v>
      </c>
      <c r="L218" s="17" t="n">
        <v>1</v>
      </c>
      <c r="M218" s="16">
        <f>L218/K218</f>
        <v/>
      </c>
      <c r="N218" s="16">
        <f>L218/J218</f>
        <v/>
      </c>
      <c r="O218" s="18" t="n">
        <v>1</v>
      </c>
      <c r="P218" s="18" t="n">
        <v>0</v>
      </c>
      <c r="Q218" s="16">
        <f>P218/O218</f>
        <v/>
      </c>
      <c r="R218" s="1" t="n">
        <v>261</v>
      </c>
      <c r="S218" s="1" t="n">
        <v>7</v>
      </c>
      <c r="T218" s="1" t="n">
        <v>0</v>
      </c>
      <c r="U218" s="1" t="n">
        <v>2</v>
      </c>
      <c r="V218" s="1" t="n">
        <v>7</v>
      </c>
      <c r="W218" s="1" t="n">
        <v>2</v>
      </c>
      <c r="X218" s="1" t="n">
        <v>0</v>
      </c>
      <c r="Y218" s="1" t="n">
        <v>3</v>
      </c>
      <c r="Z218" s="1" t="n">
        <v>8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</row>
    <row r="219">
      <c r="A219" s="1" t="inlineStr">
        <is>
          <t>Squamous cell carcinoma of mouth</t>
        </is>
      </c>
      <c r="B219" s="1" t="inlineStr">
        <is>
          <t>EFO_0000199</t>
        </is>
      </c>
      <c r="C219" s="1" t="inlineStr">
        <is>
          <t>synonym</t>
        </is>
      </c>
      <c r="D219" s="1" t="n">
        <v>0.5</v>
      </c>
      <c r="E219" s="20" t="n">
        <v>8</v>
      </c>
      <c r="F219" s="20" t="n">
        <v>379</v>
      </c>
      <c r="G219" s="20" t="n">
        <v>8</v>
      </c>
      <c r="H219" s="16">
        <f>G219/F219</f>
        <v/>
      </c>
      <c r="I219" s="16">
        <f>G219/E219</f>
        <v/>
      </c>
      <c r="J219" s="17" t="n">
        <v>7</v>
      </c>
      <c r="K219" s="17" t="n">
        <v>1210</v>
      </c>
      <c r="L219" s="17" t="n">
        <v>7</v>
      </c>
      <c r="M219" s="16">
        <f>L219/K219</f>
        <v/>
      </c>
      <c r="N219" s="16">
        <f>L219/J219</f>
        <v/>
      </c>
      <c r="O219" s="18" t="n">
        <v>58</v>
      </c>
      <c r="P219" s="18" t="n">
        <v>3</v>
      </c>
      <c r="Q219" s="16">
        <f>P219/O219</f>
        <v/>
      </c>
      <c r="R219" s="1" t="n">
        <v>401</v>
      </c>
      <c r="S219" s="1" t="n">
        <v>12</v>
      </c>
      <c r="T219" s="1" t="n">
        <v>1</v>
      </c>
      <c r="U219" s="1" t="n">
        <v>1</v>
      </c>
      <c r="V219" s="1" t="n">
        <v>13</v>
      </c>
      <c r="W219" s="1" t="n">
        <v>4</v>
      </c>
      <c r="X219" s="1" t="n">
        <v>0</v>
      </c>
      <c r="Y219" s="1" t="n">
        <v>4</v>
      </c>
      <c r="Z219" s="1" t="n">
        <v>7</v>
      </c>
      <c r="AA219" s="1" t="n">
        <v>0</v>
      </c>
      <c r="AB219" s="1" t="n">
        <v>1</v>
      </c>
      <c r="AC219" s="1" t="n">
        <v>6</v>
      </c>
      <c r="AD219" s="1" t="n">
        <v>0</v>
      </c>
      <c r="AE219" s="1" t="n">
        <v>0</v>
      </c>
      <c r="AF219" s="1" t="n">
        <v>0</v>
      </c>
      <c r="AG219" s="1" t="n">
        <v>1</v>
      </c>
      <c r="AH219" s="1" t="n">
        <v>0</v>
      </c>
    </row>
    <row r="220">
      <c r="A220" s="1" t="inlineStr">
        <is>
          <t>anaplastic thyroid carcinoma</t>
        </is>
      </c>
      <c r="B220" s="1" t="inlineStr">
        <is>
          <t>EFO_1000595</t>
        </is>
      </c>
      <c r="C220" s="1" t="inlineStr">
        <is>
          <t>synonym</t>
        </is>
      </c>
      <c r="D220" s="1" t="n">
        <v>0.5</v>
      </c>
      <c r="E220" s="20" t="n">
        <v>6</v>
      </c>
      <c r="F220" s="20" t="n">
        <v>275</v>
      </c>
      <c r="G220" s="20" t="n">
        <v>6</v>
      </c>
      <c r="H220" s="16">
        <f>G220/F220</f>
        <v/>
      </c>
      <c r="I220" s="16">
        <f>G220/E220</f>
        <v/>
      </c>
      <c r="J220" s="17" t="n">
        <v>2</v>
      </c>
      <c r="K220" s="17" t="n">
        <v>98</v>
      </c>
      <c r="L220" s="17" t="n">
        <v>0</v>
      </c>
      <c r="M220" s="16">
        <f>L220/K220</f>
        <v/>
      </c>
      <c r="N220" s="16">
        <f>L220/J220</f>
        <v/>
      </c>
      <c r="O220" s="18" t="n">
        <v>5</v>
      </c>
      <c r="P220" s="18" t="n">
        <v>0</v>
      </c>
      <c r="Q220" s="16">
        <f>P220/O220</f>
        <v/>
      </c>
      <c r="R220" s="1" t="n">
        <v>113</v>
      </c>
      <c r="S220" s="1" t="n">
        <v>6</v>
      </c>
      <c r="T220" s="1" t="n">
        <v>2</v>
      </c>
      <c r="U220" s="1" t="n">
        <v>0</v>
      </c>
      <c r="V220" s="1" t="n">
        <v>4</v>
      </c>
      <c r="W220" s="1" t="n">
        <v>0</v>
      </c>
      <c r="X220" s="1" t="n">
        <v>0</v>
      </c>
      <c r="Y220" s="1" t="n">
        <v>2</v>
      </c>
      <c r="Z220" s="1" t="n">
        <v>2</v>
      </c>
      <c r="AA220" s="1" t="n">
        <v>0</v>
      </c>
      <c r="AB220" s="1" t="n">
        <v>0</v>
      </c>
      <c r="AC220" s="1" t="n">
        <v>2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</row>
    <row r="221">
      <c r="A221" s="1" t="inlineStr">
        <is>
          <t>acute T cell leukemia</t>
        </is>
      </c>
      <c r="B221" s="1" t="inlineStr">
        <is>
          <t>EFO_0000209</t>
        </is>
      </c>
      <c r="C221" s="1" t="inlineStr">
        <is>
          <t>synonym</t>
        </is>
      </c>
      <c r="D221" s="1" t="n">
        <v>0.5</v>
      </c>
      <c r="E221" s="20" t="n">
        <v>9</v>
      </c>
      <c r="F221" s="20" t="n">
        <v>357</v>
      </c>
      <c r="G221" s="20" t="n">
        <v>9</v>
      </c>
      <c r="H221" s="16">
        <f>G221/F221</f>
        <v/>
      </c>
      <c r="I221" s="16">
        <f>G221/E221</f>
        <v/>
      </c>
      <c r="J221" s="17" t="n">
        <v>12</v>
      </c>
      <c r="K221" s="17" t="n">
        <v>23</v>
      </c>
      <c r="L221" s="17" t="n">
        <v>0</v>
      </c>
      <c r="M221" s="16">
        <f>L221/K221</f>
        <v/>
      </c>
      <c r="N221" s="16">
        <f>L221/J221</f>
        <v/>
      </c>
      <c r="O221" s="18" t="n">
        <v>1</v>
      </c>
      <c r="P221" s="18" t="n">
        <v>0</v>
      </c>
      <c r="Q221" s="16">
        <f>P221/O221</f>
        <v/>
      </c>
      <c r="R221" s="1" t="n">
        <v>576</v>
      </c>
      <c r="S221" s="1" t="n">
        <v>9</v>
      </c>
      <c r="T221" s="1" t="n">
        <v>0</v>
      </c>
      <c r="U221" s="1" t="n">
        <v>13</v>
      </c>
      <c r="V221" s="1" t="n">
        <v>15</v>
      </c>
      <c r="W221" s="1" t="n">
        <v>5</v>
      </c>
      <c r="X221" s="1" t="n">
        <v>0</v>
      </c>
      <c r="Y221" s="1" t="n">
        <v>6</v>
      </c>
      <c r="Z221" s="1" t="n">
        <v>12</v>
      </c>
      <c r="AA221" s="1" t="n">
        <v>0</v>
      </c>
      <c r="AB221" s="1" t="n">
        <v>0</v>
      </c>
      <c r="AC221" s="1" t="n">
        <v>12</v>
      </c>
      <c r="AD221" s="1" t="n">
        <v>0</v>
      </c>
      <c r="AE221" s="1" t="n">
        <v>0</v>
      </c>
      <c r="AF221" s="1" t="n">
        <v>0</v>
      </c>
      <c r="AG221" s="1" t="n">
        <v>1</v>
      </c>
      <c r="AH221" s="1" t="n">
        <v>2</v>
      </c>
    </row>
    <row r="222">
      <c r="A222" s="1" t="inlineStr">
        <is>
          <t>Eczema</t>
        </is>
      </c>
      <c r="B222" s="1" t="inlineStr">
        <is>
          <t>EFO_0000274</t>
        </is>
      </c>
      <c r="C222" s="1" t="inlineStr">
        <is>
          <t>synonym</t>
        </is>
      </c>
      <c r="D222" s="1" t="n">
        <v>0.5</v>
      </c>
      <c r="E222" s="20" t="n">
        <v>10</v>
      </c>
      <c r="F222" s="20" t="n">
        <v>374</v>
      </c>
      <c r="G222" s="20" t="n">
        <v>10</v>
      </c>
      <c r="H222" s="16">
        <f>G222/F222</f>
        <v/>
      </c>
      <c r="I222" s="16">
        <f>G222/E222</f>
        <v/>
      </c>
      <c r="J222" s="17" t="n">
        <v>24</v>
      </c>
      <c r="K222" s="17" t="n">
        <v>74</v>
      </c>
      <c r="L222" s="17" t="n">
        <v>2</v>
      </c>
      <c r="M222" s="16">
        <f>L222/K222</f>
        <v/>
      </c>
      <c r="N222" s="16">
        <f>L222/J222</f>
        <v/>
      </c>
      <c r="O222" s="18" t="n">
        <v>3</v>
      </c>
      <c r="P222" s="18" t="n">
        <v>0</v>
      </c>
      <c r="Q222" s="16">
        <f>P222/O222</f>
        <v/>
      </c>
      <c r="R222" s="1" t="n">
        <v>1175</v>
      </c>
      <c r="S222" s="1" t="n">
        <v>12</v>
      </c>
      <c r="T222" s="1" t="n">
        <v>2</v>
      </c>
      <c r="U222" s="1" t="n">
        <v>6</v>
      </c>
      <c r="V222" s="1" t="n">
        <v>4</v>
      </c>
      <c r="W222" s="1" t="n">
        <v>3</v>
      </c>
      <c r="X222" s="1" t="n">
        <v>4</v>
      </c>
      <c r="Y222" s="1" t="n">
        <v>1</v>
      </c>
      <c r="Z222" s="1" t="n">
        <v>9</v>
      </c>
      <c r="AA222" s="1" t="n">
        <v>0</v>
      </c>
      <c r="AB222" s="1" t="n">
        <v>2</v>
      </c>
      <c r="AC222" s="1" t="n">
        <v>2</v>
      </c>
      <c r="AD222" s="1" t="n">
        <v>0</v>
      </c>
      <c r="AE222" s="1" t="n">
        <v>1</v>
      </c>
      <c r="AF222" s="1" t="n">
        <v>3</v>
      </c>
      <c r="AG222" s="1" t="n">
        <v>0</v>
      </c>
      <c r="AH222" s="1" t="n">
        <v>1</v>
      </c>
    </row>
    <row r="223">
      <c r="A223" s="1" t="inlineStr">
        <is>
          <t>anterior horn cell disease</t>
        </is>
      </c>
      <c r="B223" s="1" t="inlineStr">
        <is>
          <t>EFO_0003782</t>
        </is>
      </c>
      <c r="C223" s="1" t="inlineStr">
        <is>
          <t>synonym</t>
        </is>
      </c>
      <c r="D223" s="1" t="n">
        <v>0.5</v>
      </c>
      <c r="E223" s="20" t="n">
        <v>0</v>
      </c>
      <c r="F223" s="20" t="n">
        <v>242</v>
      </c>
      <c r="G223" s="20" t="n">
        <v>0</v>
      </c>
      <c r="H223" s="16">
        <f>G223/F223</f>
        <v/>
      </c>
      <c r="I223" s="16">
        <f>G223/E223</f>
        <v/>
      </c>
      <c r="J223" s="17" t="n">
        <v>0</v>
      </c>
      <c r="K223" s="17" t="n">
        <v>140</v>
      </c>
      <c r="L223" s="17" t="n">
        <v>0</v>
      </c>
      <c r="M223" s="16">
        <f>L223/K223</f>
        <v/>
      </c>
      <c r="N223" s="16">
        <f>L223/J223</f>
        <v/>
      </c>
      <c r="O223" s="18" t="n">
        <v>2</v>
      </c>
      <c r="P223" s="18" t="n">
        <v>0</v>
      </c>
      <c r="Q223" s="16">
        <f>P223/O223</f>
        <v/>
      </c>
      <c r="R223" s="1" t="n">
        <v>38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</row>
    <row r="224">
      <c r="A224" s="1" t="inlineStr">
        <is>
          <t>endometriosis of ovary</t>
        </is>
      </c>
      <c r="B224" s="1" t="inlineStr">
        <is>
          <t>EFO_1000418</t>
        </is>
      </c>
      <c r="C224" s="1" t="inlineStr">
        <is>
          <t>synonym</t>
        </is>
      </c>
      <c r="D224" s="1" t="n">
        <v>0.5</v>
      </c>
      <c r="E224" s="20" t="n">
        <v>0</v>
      </c>
      <c r="F224" s="20" t="n">
        <v>166</v>
      </c>
      <c r="G224" s="20" t="n">
        <v>0</v>
      </c>
      <c r="H224" s="16">
        <f>G224/F224</f>
        <v/>
      </c>
      <c r="I224" s="16">
        <f>G224/E224</f>
        <v/>
      </c>
      <c r="J224" s="17" t="n">
        <v>0</v>
      </c>
      <c r="K224" s="17" t="n">
        <v>65</v>
      </c>
      <c r="L224" s="17" t="n">
        <v>0</v>
      </c>
      <c r="M224" s="16">
        <f>L224/K224</f>
        <v/>
      </c>
      <c r="N224" s="16">
        <f>L224/J224</f>
        <v/>
      </c>
      <c r="O224" s="18" t="n">
        <v>1</v>
      </c>
      <c r="P224" s="18" t="n">
        <v>0</v>
      </c>
      <c r="Q224" s="16">
        <f>P224/O224</f>
        <v/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</row>
    <row r="225">
      <c r="A225" s="1" t="inlineStr">
        <is>
          <t>hepatitis C virus related hepatocellular carcinoma</t>
        </is>
      </c>
      <c r="B225" s="1" t="inlineStr">
        <is>
          <t>EFO_0008504</t>
        </is>
      </c>
      <c r="C225" s="1" t="inlineStr">
        <is>
          <t>synonym</t>
        </is>
      </c>
      <c r="D225" s="1" t="n">
        <v>0.5</v>
      </c>
      <c r="E225" s="20" t="n">
        <v>0</v>
      </c>
      <c r="F225" s="20" t="n">
        <v>321</v>
      </c>
      <c r="G225" s="20" t="n">
        <v>0</v>
      </c>
      <c r="H225" s="16">
        <f>G225/F225</f>
        <v/>
      </c>
      <c r="I225" s="16">
        <f>G225/E225</f>
        <v/>
      </c>
      <c r="J225" s="17" t="n">
        <v>0</v>
      </c>
      <c r="K225" s="17" t="n">
        <v>140</v>
      </c>
      <c r="L225" s="17" t="n">
        <v>0</v>
      </c>
      <c r="M225" s="16">
        <f>L225/K225</f>
        <v/>
      </c>
      <c r="N225" s="16">
        <f>L225/J225</f>
        <v/>
      </c>
      <c r="O225" s="18" t="n">
        <v>6</v>
      </c>
      <c r="P225" s="18" t="n">
        <v>0</v>
      </c>
      <c r="Q225" s="16">
        <f>P225/O225</f>
        <v/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</row>
    <row r="226">
      <c r="A226" s="1" t="inlineStr">
        <is>
          <t>HIV encephalitis</t>
        </is>
      </c>
      <c r="B226" s="1" t="inlineStr">
        <is>
          <t>EFO_0002608</t>
        </is>
      </c>
      <c r="C226" s="1" t="inlineStr">
        <is>
          <t>synonym</t>
        </is>
      </c>
      <c r="D226" s="1" t="n">
        <v>0.5</v>
      </c>
      <c r="E226" s="20" t="n">
        <v>0</v>
      </c>
      <c r="F226" s="20" t="n">
        <v>276</v>
      </c>
      <c r="G226" s="20" t="n">
        <v>0</v>
      </c>
      <c r="H226" s="16">
        <f>G226/F226</f>
        <v/>
      </c>
      <c r="I226" s="16">
        <f>G226/E226</f>
        <v/>
      </c>
      <c r="J226" s="17" t="n">
        <v>0</v>
      </c>
      <c r="K226" s="17" t="n">
        <v>53</v>
      </c>
      <c r="L226" s="17" t="n">
        <v>0</v>
      </c>
      <c r="M226" s="16">
        <f>L226/K226</f>
        <v/>
      </c>
      <c r="N226" s="16">
        <f>L226/J226</f>
        <v/>
      </c>
      <c r="O226" s="18" t="n">
        <v>3</v>
      </c>
      <c r="P226" s="18" t="n">
        <v>0</v>
      </c>
      <c r="Q226" s="16">
        <f>P226/O226</f>
        <v/>
      </c>
      <c r="R226" s="1" t="n">
        <v>5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</row>
    <row r="227">
      <c r="A227" s="1" t="inlineStr">
        <is>
          <t>parasitic protozoa infectious disease</t>
        </is>
      </c>
      <c r="B227" s="1" t="inlineStr">
        <is>
          <t>MONDO_0002428</t>
        </is>
      </c>
      <c r="C227" s="1" t="inlineStr">
        <is>
          <t>synonym</t>
        </is>
      </c>
      <c r="D227" s="1" t="n">
        <v>0.5</v>
      </c>
      <c r="E227" s="20" t="n">
        <v>0</v>
      </c>
      <c r="F227" s="20" t="n">
        <v>72</v>
      </c>
      <c r="G227" s="20" t="n">
        <v>0</v>
      </c>
      <c r="H227" s="16">
        <f>G227/F227</f>
        <v/>
      </c>
      <c r="I227" s="16">
        <f>G227/E227</f>
        <v/>
      </c>
      <c r="J227" s="17" t="n">
        <v>0</v>
      </c>
      <c r="K227" s="17" t="n">
        <v>712</v>
      </c>
      <c r="L227" s="17" t="n">
        <v>0</v>
      </c>
      <c r="M227" s="16">
        <f>L227/K227</f>
        <v/>
      </c>
      <c r="N227" s="16">
        <f>L227/J227</f>
        <v/>
      </c>
      <c r="O227" s="18" t="n">
        <v>4</v>
      </c>
      <c r="P227" s="18" t="n">
        <v>0</v>
      </c>
      <c r="Q227" s="16">
        <f>P227/O227</f>
        <v/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</row>
    <row r="228">
      <c r="A228" s="1" t="inlineStr">
        <is>
          <t>Premature aging</t>
        </is>
      </c>
      <c r="B228" s="1" t="inlineStr">
        <is>
          <t>MONDO_0019303</t>
        </is>
      </c>
      <c r="C228" s="1" t="inlineStr">
        <is>
          <t>synonym</t>
        </is>
      </c>
      <c r="D228" s="1" t="n">
        <v>0.5</v>
      </c>
      <c r="E228" s="20" t="n">
        <v>0</v>
      </c>
      <c r="F228" s="20" t="n">
        <v>205</v>
      </c>
      <c r="G228" s="20" t="n">
        <v>0</v>
      </c>
      <c r="H228" s="16">
        <f>G228/F228</f>
        <v/>
      </c>
      <c r="I228" s="16">
        <f>G228/E228</f>
        <v/>
      </c>
      <c r="J228" s="17" t="n">
        <v>0</v>
      </c>
      <c r="K228" s="17" t="n">
        <v>733</v>
      </c>
      <c r="L228" s="17" t="n">
        <v>0</v>
      </c>
      <c r="M228" s="16">
        <f>L228/K228</f>
        <v/>
      </c>
      <c r="N228" s="16">
        <f>L228/J228</f>
        <v/>
      </c>
      <c r="O228" s="18" t="n">
        <v>8</v>
      </c>
      <c r="P228" s="18" t="n">
        <v>0</v>
      </c>
      <c r="Q228" s="16">
        <f>P228/O228</f>
        <v/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</row>
    <row r="229">
      <c r="A229" s="1" t="inlineStr">
        <is>
          <t>prolactinoma</t>
        </is>
      </c>
      <c r="B229" s="1" t="inlineStr">
        <is>
          <t>EFO_1000496</t>
        </is>
      </c>
      <c r="C229" s="1" t="inlineStr">
        <is>
          <t>synonym</t>
        </is>
      </c>
      <c r="D229" s="1" t="n">
        <v>0.5</v>
      </c>
      <c r="E229" s="20" t="n">
        <v>0</v>
      </c>
      <c r="F229" s="20" t="n">
        <v>113</v>
      </c>
      <c r="G229" s="20" t="n">
        <v>0</v>
      </c>
      <c r="H229" s="16">
        <f>G229/F229</f>
        <v/>
      </c>
      <c r="I229" s="16">
        <f>G229/E229</f>
        <v/>
      </c>
      <c r="J229" s="17" t="n">
        <v>0</v>
      </c>
      <c r="K229" s="17" t="n">
        <v>10</v>
      </c>
      <c r="L229" s="17" t="n">
        <v>0</v>
      </c>
      <c r="M229" s="16">
        <f>L229/K229</f>
        <v/>
      </c>
      <c r="N229" s="16">
        <f>L229/J229</f>
        <v/>
      </c>
      <c r="O229" s="18" t="n">
        <v>0</v>
      </c>
      <c r="P229" s="18" t="n">
        <v>0</v>
      </c>
      <c r="Q229" s="16">
        <f>P229/O229</f>
        <v/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</row>
    <row r="230">
      <c r="A230" s="1" t="inlineStr">
        <is>
          <t>Setleis syndrome</t>
        </is>
      </c>
      <c r="B230" s="1" t="inlineStr">
        <is>
          <t>MONDO_0013996</t>
        </is>
      </c>
      <c r="C230" s="1" t="inlineStr">
        <is>
          <t>synonym</t>
        </is>
      </c>
      <c r="D230" s="1" t="n">
        <v>0.5</v>
      </c>
      <c r="E230" s="20" t="n">
        <v>0</v>
      </c>
      <c r="F230" s="20" t="n">
        <v>156</v>
      </c>
      <c r="G230" s="20" t="n">
        <v>0</v>
      </c>
      <c r="H230" s="16">
        <f>G230/F230</f>
        <v/>
      </c>
      <c r="I230" s="16">
        <f>G230/E230</f>
        <v/>
      </c>
      <c r="J230" s="17" t="n">
        <v>0</v>
      </c>
      <c r="K230" s="17" t="n">
        <v>813</v>
      </c>
      <c r="L230" s="17" t="n">
        <v>0</v>
      </c>
      <c r="M230" s="16">
        <f>L230/K230</f>
        <v/>
      </c>
      <c r="N230" s="16">
        <f>L230/J230</f>
        <v/>
      </c>
      <c r="O230" s="18" t="n">
        <v>11</v>
      </c>
      <c r="P230" s="18" t="n">
        <v>0</v>
      </c>
      <c r="Q230" s="16">
        <f>P230/O230</f>
        <v/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</row>
    <row r="231">
      <c r="A231" s="1" t="inlineStr">
        <is>
          <t>Teratospermia</t>
        </is>
      </c>
      <c r="B231" s="1" t="inlineStr">
        <is>
          <t>HP_0012864</t>
        </is>
      </c>
      <c r="C231" s="1" t="inlineStr">
        <is>
          <t>synonym</t>
        </is>
      </c>
      <c r="D231" s="1" t="n">
        <v>0.5</v>
      </c>
      <c r="E231" s="20" t="n">
        <v>0</v>
      </c>
      <c r="F231" s="20" t="n">
        <v>378</v>
      </c>
      <c r="G231" s="20" t="n">
        <v>0</v>
      </c>
      <c r="H231" s="16">
        <f>G231/F231</f>
        <v/>
      </c>
      <c r="I231" s="16">
        <f>G231/E231</f>
        <v/>
      </c>
      <c r="J231" s="17" t="n">
        <v>0</v>
      </c>
      <c r="K231" s="17" t="n">
        <v>767</v>
      </c>
      <c r="L231" s="17" t="n">
        <v>0</v>
      </c>
      <c r="M231" s="16">
        <f>L231/K231</f>
        <v/>
      </c>
      <c r="N231" s="16">
        <f>L231/J231</f>
        <v/>
      </c>
      <c r="O231" s="18" t="n">
        <v>39</v>
      </c>
      <c r="P231" s="18" t="n">
        <v>0</v>
      </c>
      <c r="Q231" s="16">
        <f>P231/O231</f>
        <v/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</row>
    <row r="232">
      <c r="A232" s="1" t="inlineStr">
        <is>
          <t>testis seminoma</t>
        </is>
      </c>
      <c r="B232" s="1" t="inlineStr">
        <is>
          <t>EFO_0003101</t>
        </is>
      </c>
      <c r="C232" s="1" t="inlineStr">
        <is>
          <t>synonym</t>
        </is>
      </c>
      <c r="D232" s="1" t="n">
        <v>0.5</v>
      </c>
      <c r="E232" s="20" t="n">
        <v>0</v>
      </c>
      <c r="F232" s="20" t="n">
        <v>165</v>
      </c>
      <c r="G232" s="20" t="n">
        <v>0</v>
      </c>
      <c r="H232" s="16">
        <f>G232/F232</f>
        <v/>
      </c>
      <c r="I232" s="16">
        <f>G232/E232</f>
        <v/>
      </c>
      <c r="J232" s="17" t="n">
        <v>0</v>
      </c>
      <c r="K232" s="17" t="n">
        <v>713</v>
      </c>
      <c r="L232" s="17" t="n">
        <v>0</v>
      </c>
      <c r="M232" s="16">
        <f>L232/K232</f>
        <v/>
      </c>
      <c r="N232" s="16">
        <f>L232/J232</f>
        <v/>
      </c>
      <c r="O232" s="18" t="n">
        <v>6</v>
      </c>
      <c r="P232" s="18" t="n">
        <v>0</v>
      </c>
      <c r="Q232" s="16">
        <f>P232/O232</f>
        <v/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</row>
    <row r="233">
      <c r="A233" s="1" t="inlineStr">
        <is>
          <t>Vulvar intraepithelial tumor</t>
        </is>
      </c>
      <c r="B233" s="1" t="inlineStr">
        <is>
          <t>EFO_0002627</t>
        </is>
      </c>
      <c r="C233" s="1" t="inlineStr">
        <is>
          <t>synonym</t>
        </is>
      </c>
      <c r="D233" s="1" t="n">
        <v>0.5</v>
      </c>
      <c r="E233" s="20" t="n">
        <v>0</v>
      </c>
      <c r="F233" s="20" t="n">
        <v>285</v>
      </c>
      <c r="G233" s="20" t="n">
        <v>0</v>
      </c>
      <c r="H233" s="16">
        <f>G233/F233</f>
        <v/>
      </c>
      <c r="I233" s="16">
        <f>G233/E233</f>
        <v/>
      </c>
      <c r="J233" s="17" t="n">
        <v>0</v>
      </c>
      <c r="K233" s="17" t="n">
        <v>718</v>
      </c>
      <c r="L233" s="17" t="n">
        <v>0</v>
      </c>
      <c r="M233" s="16">
        <f>L233/K233</f>
        <v/>
      </c>
      <c r="N233" s="16">
        <f>L233/J233</f>
        <v/>
      </c>
      <c r="O233" s="18" t="n">
        <v>24</v>
      </c>
      <c r="P233" s="18" t="n">
        <v>0</v>
      </c>
      <c r="Q233" s="16">
        <f>P233/O233</f>
        <v/>
      </c>
      <c r="R233" s="1" t="n">
        <v>8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</row>
    <row r="234">
      <c r="A234" s="1" t="inlineStr">
        <is>
          <t>Williams-Beuren syndrome</t>
        </is>
      </c>
      <c r="B234" s="1" t="inlineStr">
        <is>
          <t>MONDO_0008678</t>
        </is>
      </c>
      <c r="C234" s="1" t="inlineStr">
        <is>
          <t>synonym</t>
        </is>
      </c>
      <c r="D234" s="1" t="n">
        <v>0.5</v>
      </c>
      <c r="E234" s="20" t="n">
        <v>0</v>
      </c>
      <c r="F234" s="20" t="n">
        <v>216</v>
      </c>
      <c r="G234" s="20" t="n">
        <v>0</v>
      </c>
      <c r="H234" s="16">
        <f>G234/F234</f>
        <v/>
      </c>
      <c r="I234" s="16">
        <f>G234/E234</f>
        <v/>
      </c>
      <c r="J234" s="17" t="n">
        <v>1</v>
      </c>
      <c r="K234" s="17" t="n">
        <v>885</v>
      </c>
      <c r="L234" s="17" t="n">
        <v>1</v>
      </c>
      <c r="M234" s="16">
        <f>L234/K234</f>
        <v/>
      </c>
      <c r="N234" s="16">
        <f>L234/J234</f>
        <v/>
      </c>
      <c r="O234" s="18" t="n">
        <v>15</v>
      </c>
      <c r="P234" s="18" t="n">
        <v>0</v>
      </c>
      <c r="Q234" s="16">
        <f>P234/O234</f>
        <v/>
      </c>
      <c r="R234" s="1" t="n">
        <v>5</v>
      </c>
      <c r="S234" s="1" t="n">
        <v>1</v>
      </c>
      <c r="T234" s="1" t="n">
        <v>0</v>
      </c>
      <c r="U234" s="1" t="n">
        <v>0</v>
      </c>
      <c r="V234" s="1" t="n">
        <v>0</v>
      </c>
      <c r="W234" s="1" t="n">
        <v>1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1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</row>
    <row r="235">
      <c r="A235" s="14" t="inlineStr">
        <is>
          <t>Average</t>
        </is>
      </c>
      <c r="B235" s="14" t="n"/>
      <c r="C235" s="14" t="n"/>
      <c r="D235" s="14" t="n"/>
      <c r="E235" s="14">
        <f>AVERAGE(#REF!)</f>
        <v/>
      </c>
      <c r="F235" s="14">
        <f>AVERAGE(#REF!)</f>
        <v/>
      </c>
      <c r="G235" s="14">
        <f>AVERAGE(#REF!)</f>
        <v/>
      </c>
      <c r="H235" s="14">
        <f>AVERAGE(#REF!)</f>
        <v/>
      </c>
      <c r="I235" s="14">
        <f>AVERAGE(#REF!)</f>
        <v/>
      </c>
      <c r="J235" s="14">
        <f>AVERAGE(#REF!)</f>
        <v/>
      </c>
      <c r="K235" s="14">
        <f>AVERAGE(#REF!)</f>
        <v/>
      </c>
      <c r="L235" s="14">
        <f>AVERAGE(#REF!)</f>
        <v/>
      </c>
      <c r="M235" s="14">
        <f>AVERAGE(#REF!)</f>
        <v/>
      </c>
      <c r="N235" s="14">
        <f>AVERAGE(#REF!)</f>
        <v/>
      </c>
      <c r="O235" s="14">
        <f>AVERAGE(#REF!)</f>
        <v/>
      </c>
      <c r="P235" s="14">
        <f>AVERAGE(#REF!)</f>
        <v/>
      </c>
      <c r="Q235" s="14">
        <f>AVERAGE(#REF!)</f>
        <v/>
      </c>
      <c r="R235" s="14">
        <f>AVERAGE(#REF!)</f>
        <v/>
      </c>
      <c r="S235" s="14">
        <f>AVERAGE(#REF!)</f>
        <v/>
      </c>
      <c r="T235" s="14">
        <f>AVERAGE(#REF!)</f>
        <v/>
      </c>
      <c r="U235" s="14">
        <f>AVERAGE(#REF!)</f>
        <v/>
      </c>
      <c r="V235" s="14">
        <f>AVERAGE(#REF!)</f>
        <v/>
      </c>
      <c r="W235" s="14">
        <f>AVERAGE(#REF!)</f>
        <v/>
      </c>
      <c r="X235" s="14">
        <f>AVERAGE(#REF!)</f>
        <v/>
      </c>
      <c r="Y235" s="14">
        <f>AVERAGE(#REF!)</f>
        <v/>
      </c>
      <c r="Z235" s="14">
        <f>AVERAGE(#REF!)</f>
        <v/>
      </c>
      <c r="AA235" s="14">
        <f>AVERAGE(#REF!)</f>
        <v/>
      </c>
      <c r="AB235" s="14">
        <f>AVERAGE(#REF!)</f>
        <v/>
      </c>
      <c r="AC235" s="14">
        <f>AVERAGE(#REF!)</f>
        <v/>
      </c>
      <c r="AD235" s="14">
        <f>AVERAGE(#REF!)</f>
        <v/>
      </c>
      <c r="AE235" s="14">
        <f>AVERAGE(#REF!)</f>
        <v/>
      </c>
      <c r="AF235" s="14">
        <f>AVERAGE(#REF!)</f>
        <v/>
      </c>
      <c r="AG235" s="14">
        <f>AVERAGE(#REF!)</f>
        <v/>
      </c>
      <c r="AH235" s="14">
        <f>AVERAGE(#REF!)</f>
        <v/>
      </c>
    </row>
    <row r="236">
      <c r="E236" s="20" t="n"/>
      <c r="F236" s="20" t="n"/>
      <c r="G236" s="20" t="n"/>
      <c r="H236" s="16" t="n"/>
      <c r="I236" s="16" t="n"/>
      <c r="J236" s="17" t="n"/>
      <c r="K236" s="17" t="n"/>
      <c r="L236" s="17" t="n"/>
      <c r="M236" s="16" t="n"/>
      <c r="N236" s="16" t="n"/>
      <c r="O236" s="18" t="n"/>
      <c r="P236" s="18" t="n"/>
      <c r="Q236" s="16" t="n"/>
    </row>
    <row r="237">
      <c r="E237" s="20" t="n"/>
      <c r="F237" s="20" t="n"/>
      <c r="G237" s="20" t="n"/>
      <c r="H237" s="16" t="n"/>
      <c r="I237" s="16" t="n"/>
      <c r="J237" s="17" t="n"/>
      <c r="K237" s="17" t="n"/>
      <c r="L237" s="17" t="n"/>
      <c r="M237" s="16" t="n"/>
      <c r="N237" s="16" t="n"/>
      <c r="O237" s="18" t="n"/>
      <c r="P237" s="18" t="n"/>
      <c r="Q237" s="16" t="n"/>
    </row>
    <row r="238">
      <c r="E238" s="20" t="n"/>
      <c r="F238" s="20" t="n"/>
      <c r="G238" s="20" t="n"/>
      <c r="H238" s="16" t="n"/>
      <c r="I238" s="16" t="n"/>
      <c r="J238" s="17" t="n"/>
      <c r="K238" s="17" t="n"/>
      <c r="L238" s="17" t="n"/>
      <c r="M238" s="16" t="n"/>
      <c r="N238" s="16" t="n"/>
      <c r="O238" s="18" t="n"/>
      <c r="P238" s="18" t="n"/>
      <c r="Q238" s="16" t="n"/>
    </row>
    <row r="239">
      <c r="E239" s="20" t="n"/>
      <c r="F239" s="20" t="n"/>
      <c r="G239" s="20" t="n"/>
      <c r="H239" s="16" t="n"/>
      <c r="I239" s="16" t="n"/>
      <c r="J239" s="17" t="n"/>
      <c r="K239" s="17" t="n"/>
      <c r="L239" s="17" t="n"/>
      <c r="M239" s="16" t="n"/>
      <c r="N239" s="16" t="n"/>
      <c r="O239" s="18" t="n"/>
      <c r="P239" s="18" t="n"/>
      <c r="Q239" s="16" t="n"/>
    </row>
    <row r="240">
      <c r="E240" s="20" t="n"/>
      <c r="F240" s="20" t="n"/>
      <c r="G240" s="20" t="n"/>
      <c r="H240" s="16" t="n"/>
      <c r="I240" s="16" t="n"/>
      <c r="J240" s="17" t="n"/>
      <c r="K240" s="17" t="n"/>
      <c r="L240" s="17" t="n"/>
      <c r="M240" s="16" t="n"/>
      <c r="N240" s="16" t="n"/>
      <c r="O240" s="18" t="n"/>
      <c r="P240" s="18" t="n"/>
      <c r="Q240" s="16" t="n"/>
    </row>
    <row r="241">
      <c r="E241" s="20" t="n"/>
      <c r="F241" s="20" t="n"/>
      <c r="G241" s="20" t="n"/>
      <c r="H241" s="16" t="n"/>
      <c r="I241" s="16" t="n"/>
      <c r="J241" s="17" t="n"/>
      <c r="K241" s="17" t="n"/>
      <c r="L241" s="17" t="n"/>
      <c r="M241" s="16" t="n"/>
      <c r="N241" s="16" t="n"/>
      <c r="O241" s="18" t="n"/>
      <c r="P241" s="18" t="n"/>
      <c r="Q241" s="16" t="n"/>
    </row>
    <row r="242">
      <c r="E242" s="20" t="n"/>
      <c r="F242" s="20" t="n"/>
      <c r="G242" s="20" t="n"/>
      <c r="H242" s="16" t="n"/>
      <c r="I242" s="16" t="n"/>
      <c r="J242" s="17" t="n"/>
      <c r="K242" s="17" t="n"/>
      <c r="L242" s="17" t="n"/>
      <c r="M242" s="16" t="n"/>
      <c r="N242" s="16" t="n"/>
      <c r="O242" s="18" t="n"/>
      <c r="P242" s="18" t="n"/>
      <c r="Q242" s="16" t="n"/>
    </row>
    <row r="243">
      <c r="E243" s="20" t="n"/>
      <c r="F243" s="20" t="n"/>
      <c r="G243" s="20" t="n"/>
      <c r="H243" s="16" t="n"/>
      <c r="I243" s="16" t="n"/>
      <c r="J243" s="17" t="n"/>
      <c r="K243" s="17" t="n"/>
      <c r="L243" s="17" t="n"/>
      <c r="M243" s="16" t="n"/>
      <c r="N243" s="16" t="n"/>
      <c r="O243" s="18" t="n"/>
      <c r="P243" s="18" t="n"/>
      <c r="Q243" s="16" t="n"/>
    </row>
    <row r="244">
      <c r="E244" s="20" t="n"/>
      <c r="F244" s="20" t="n"/>
      <c r="G244" s="20" t="n"/>
      <c r="H244" s="16" t="n"/>
      <c r="I244" s="16" t="n"/>
      <c r="J244" s="17" t="n"/>
      <c r="K244" s="17" t="n"/>
      <c r="L244" s="17" t="n"/>
      <c r="M244" s="16" t="n"/>
      <c r="N244" s="16" t="n"/>
      <c r="O244" s="18" t="n"/>
      <c r="P244" s="18" t="n"/>
      <c r="Q244" s="16" t="n"/>
    </row>
    <row r="245">
      <c r="E245" s="20" t="n"/>
      <c r="F245" s="20" t="n"/>
      <c r="G245" s="20" t="n"/>
      <c r="H245" s="16" t="n"/>
      <c r="I245" s="16" t="n"/>
      <c r="J245" s="17" t="n"/>
      <c r="K245" s="17" t="n"/>
      <c r="L245" s="17" t="n"/>
      <c r="M245" s="16" t="n"/>
      <c r="N245" s="16" t="n"/>
      <c r="O245" s="18" t="n"/>
      <c r="P245" s="18" t="n"/>
      <c r="Q245" s="16" t="n"/>
    </row>
    <row r="246">
      <c r="E246" s="20" t="n"/>
      <c r="F246" s="20" t="n"/>
      <c r="G246" s="20" t="n"/>
      <c r="H246" s="16" t="n"/>
      <c r="I246" s="16" t="n"/>
      <c r="J246" s="17" t="n"/>
      <c r="K246" s="17" t="n"/>
      <c r="L246" s="17" t="n"/>
      <c r="M246" s="16" t="n"/>
      <c r="N246" s="16" t="n"/>
      <c r="O246" s="18" t="n"/>
      <c r="P246" s="18" t="n"/>
      <c r="Q246" s="16" t="n"/>
    </row>
    <row r="247">
      <c r="E247" s="20" t="n"/>
      <c r="F247" s="20" t="n"/>
      <c r="G247" s="20" t="n"/>
      <c r="H247" s="16" t="n"/>
      <c r="I247" s="16" t="n"/>
      <c r="J247" s="17" t="n"/>
      <c r="K247" s="17" t="n"/>
      <c r="L247" s="17" t="n"/>
      <c r="M247" s="16" t="n"/>
      <c r="N247" s="16" t="n"/>
      <c r="O247" s="18" t="n"/>
      <c r="P247" s="18" t="n"/>
      <c r="Q247" s="16" t="n"/>
    </row>
    <row r="248">
      <c r="E248" s="20" t="n"/>
      <c r="F248" s="20" t="n"/>
      <c r="G248" s="20" t="n"/>
      <c r="H248" s="16" t="n"/>
      <c r="I248" s="16" t="n"/>
      <c r="J248" s="17" t="n"/>
      <c r="K248" s="17" t="n"/>
      <c r="L248" s="17" t="n"/>
      <c r="M248" s="16" t="n"/>
      <c r="N248" s="16" t="n"/>
      <c r="O248" s="18" t="n"/>
      <c r="P248" s="18" t="n"/>
      <c r="Q248" s="16" t="n"/>
    </row>
    <row r="249">
      <c r="E249" s="20" t="n"/>
      <c r="F249" s="20" t="n"/>
      <c r="G249" s="20" t="n"/>
      <c r="H249" s="16" t="n"/>
      <c r="I249" s="16" t="n"/>
      <c r="J249" s="17" t="n"/>
      <c r="K249" s="17" t="n"/>
      <c r="L249" s="17" t="n"/>
      <c r="M249" s="16" t="n"/>
      <c r="N249" s="16" t="n"/>
      <c r="O249" s="18" t="n"/>
      <c r="P249" s="18" t="n"/>
      <c r="Q249" s="16" t="n"/>
    </row>
    <row r="250">
      <c r="E250" s="20" t="n"/>
      <c r="F250" s="20" t="n"/>
      <c r="G250" s="20" t="n"/>
      <c r="H250" s="16" t="n"/>
      <c r="I250" s="16" t="n"/>
      <c r="J250" s="17" t="n"/>
      <c r="K250" s="17" t="n"/>
      <c r="L250" s="17" t="n"/>
      <c r="M250" s="16" t="n"/>
      <c r="N250" s="16" t="n"/>
      <c r="O250" s="18" t="n"/>
      <c r="P250" s="18" t="n"/>
      <c r="Q250" s="16" t="n"/>
    </row>
    <row r="251">
      <c r="E251" s="20" t="n"/>
      <c r="F251" s="20" t="n"/>
      <c r="G251" s="20" t="n"/>
      <c r="H251" s="16" t="n"/>
      <c r="I251" s="16" t="n"/>
      <c r="J251" s="17" t="n"/>
      <c r="K251" s="17" t="n"/>
      <c r="L251" s="17" t="n"/>
      <c r="M251" s="16" t="n"/>
      <c r="N251" s="16" t="n"/>
      <c r="O251" s="18" t="n"/>
      <c r="P251" s="18" t="n"/>
      <c r="Q251" s="16" t="n"/>
    </row>
    <row r="252">
      <c r="E252" s="20" t="n"/>
      <c r="F252" s="20" t="n"/>
      <c r="G252" s="20" t="n"/>
      <c r="H252" s="16" t="n"/>
      <c r="I252" s="16" t="n"/>
      <c r="J252" s="17" t="n"/>
      <c r="K252" s="17" t="n"/>
      <c r="L252" s="17" t="n"/>
      <c r="M252" s="16" t="n"/>
      <c r="N252" s="16" t="n"/>
      <c r="O252" s="18" t="n"/>
      <c r="P252" s="18" t="n"/>
      <c r="Q252" s="16" t="n"/>
    </row>
    <row r="253">
      <c r="E253" s="20" t="n"/>
      <c r="F253" s="20" t="n"/>
      <c r="G253" s="20" t="n"/>
      <c r="H253" s="16" t="n"/>
      <c r="I253" s="16" t="n"/>
      <c r="J253" s="17" t="n"/>
      <c r="K253" s="17" t="n"/>
      <c r="L253" s="17" t="n"/>
      <c r="M253" s="16" t="n"/>
      <c r="N253" s="16" t="n"/>
      <c r="O253" s="18" t="n"/>
      <c r="P253" s="18" t="n"/>
      <c r="Q253" s="16" t="n"/>
    </row>
    <row r="254">
      <c r="E254" s="20" t="n"/>
      <c r="F254" s="20" t="n"/>
      <c r="G254" s="20" t="n"/>
      <c r="H254" s="16" t="n"/>
      <c r="I254" s="16" t="n"/>
      <c r="J254" s="17" t="n"/>
      <c r="K254" s="17" t="n"/>
      <c r="L254" s="17" t="n"/>
      <c r="M254" s="16" t="n"/>
      <c r="N254" s="16" t="n"/>
      <c r="O254" s="18" t="n"/>
      <c r="P254" s="18" t="n"/>
      <c r="Q254" s="16" t="n"/>
    </row>
    <row r="255">
      <c r="E255" s="20" t="n"/>
      <c r="F255" s="20" t="n"/>
      <c r="G255" s="20" t="n"/>
      <c r="H255" s="16" t="n"/>
      <c r="I255" s="16" t="n"/>
      <c r="J255" s="17" t="n"/>
      <c r="K255" s="17" t="n"/>
      <c r="L255" s="17" t="n"/>
      <c r="M255" s="16" t="n"/>
      <c r="N255" s="16" t="n"/>
      <c r="O255" s="18" t="n"/>
      <c r="P255" s="18" t="n"/>
      <c r="Q255" s="16" t="n"/>
    </row>
    <row r="256">
      <c r="E256" s="20" t="n"/>
      <c r="F256" s="20" t="n"/>
      <c r="G256" s="20" t="n"/>
      <c r="H256" s="16" t="n"/>
      <c r="I256" s="16" t="n"/>
      <c r="J256" s="17" t="n"/>
      <c r="K256" s="17" t="n"/>
      <c r="L256" s="17" t="n"/>
      <c r="M256" s="16" t="n"/>
      <c r="N256" s="16" t="n"/>
      <c r="O256" s="18" t="n"/>
      <c r="P256" s="18" t="n"/>
      <c r="Q256" s="16" t="n"/>
    </row>
    <row r="257">
      <c r="E257" s="20" t="n"/>
      <c r="F257" s="20" t="n"/>
      <c r="G257" s="20" t="n"/>
      <c r="H257" s="16" t="n"/>
      <c r="I257" s="16" t="n"/>
      <c r="J257" s="17" t="n"/>
      <c r="K257" s="17" t="n"/>
      <c r="L257" s="17" t="n"/>
      <c r="M257" s="16" t="n"/>
      <c r="N257" s="16" t="n"/>
      <c r="O257" s="18" t="n"/>
      <c r="P257" s="18" t="n"/>
      <c r="Q257" s="16" t="n"/>
    </row>
    <row r="258">
      <c r="E258" s="20" t="n"/>
      <c r="F258" s="20" t="n"/>
      <c r="G258" s="20" t="n"/>
      <c r="H258" s="16" t="n"/>
      <c r="I258" s="16" t="n"/>
      <c r="J258" s="17" t="n"/>
      <c r="K258" s="17" t="n"/>
      <c r="L258" s="17" t="n"/>
      <c r="M258" s="16" t="n"/>
      <c r="N258" s="16" t="n"/>
      <c r="O258" s="18" t="n"/>
      <c r="P258" s="18" t="n"/>
      <c r="Q258" s="16" t="n"/>
    </row>
    <row r="259">
      <c r="E259" s="20" t="n"/>
      <c r="F259" s="20" t="n"/>
      <c r="G259" s="20" t="n"/>
      <c r="H259" s="16" t="n"/>
      <c r="I259" s="16" t="n"/>
      <c r="J259" s="17" t="n"/>
      <c r="K259" s="17" t="n"/>
      <c r="L259" s="17" t="n"/>
      <c r="M259" s="16" t="n"/>
      <c r="N259" s="16" t="n"/>
      <c r="O259" s="18" t="n"/>
      <c r="P259" s="18" t="n"/>
      <c r="Q259" s="16" t="n"/>
    </row>
    <row r="260">
      <c r="E260" s="20" t="n"/>
      <c r="F260" s="20" t="n"/>
      <c r="G260" s="20" t="n"/>
      <c r="H260" s="16" t="n"/>
      <c r="I260" s="16" t="n"/>
      <c r="J260" s="17" t="n"/>
      <c r="K260" s="17" t="n"/>
      <c r="L260" s="17" t="n"/>
      <c r="M260" s="16" t="n"/>
      <c r="N260" s="16" t="n"/>
      <c r="O260" s="18" t="n"/>
      <c r="P260" s="18" t="n"/>
      <c r="Q260" s="16" t="n"/>
    </row>
    <row r="261">
      <c r="E261" s="20" t="n"/>
      <c r="F261" s="20" t="n"/>
      <c r="G261" s="20" t="n"/>
      <c r="H261" s="16" t="n"/>
      <c r="I261" s="16" t="n"/>
      <c r="J261" s="17" t="n"/>
      <c r="K261" s="17" t="n"/>
      <c r="L261" s="17" t="n"/>
      <c r="M261" s="16" t="n"/>
      <c r="N261" s="16" t="n"/>
      <c r="O261" s="18" t="n"/>
      <c r="P261" s="18" t="n"/>
      <c r="Q261" s="16" t="n"/>
    </row>
    <row r="262">
      <c r="E262" s="20" t="n"/>
      <c r="F262" s="20" t="n"/>
      <c r="G262" s="20" t="n"/>
      <c r="H262" s="16" t="n"/>
      <c r="I262" s="16" t="n"/>
      <c r="J262" s="17" t="n"/>
      <c r="K262" s="17" t="n"/>
      <c r="L262" s="17" t="n"/>
      <c r="M262" s="16" t="n"/>
      <c r="N262" s="16" t="n"/>
      <c r="O262" s="18" t="n"/>
      <c r="P262" s="18" t="n"/>
      <c r="Q262" s="16" t="n"/>
    </row>
    <row r="263">
      <c r="E263" s="20" t="n"/>
      <c r="F263" s="20" t="n"/>
      <c r="G263" s="20" t="n"/>
      <c r="H263" s="16" t="n"/>
      <c r="I263" s="16" t="n"/>
      <c r="J263" s="17" t="n"/>
      <c r="K263" s="17" t="n"/>
      <c r="L263" s="17" t="n"/>
      <c r="M263" s="16" t="n"/>
      <c r="N263" s="16" t="n"/>
      <c r="O263" s="18" t="n"/>
      <c r="P263" s="18" t="n"/>
      <c r="Q263" s="16" t="n"/>
    </row>
    <row r="264">
      <c r="E264" s="20" t="n"/>
      <c r="F264" s="20" t="n"/>
      <c r="G264" s="20" t="n"/>
      <c r="H264" s="16" t="n"/>
      <c r="I264" s="16" t="n"/>
      <c r="J264" s="17" t="n"/>
      <c r="K264" s="17" t="n"/>
      <c r="L264" s="17" t="n"/>
      <c r="M264" s="16" t="n"/>
      <c r="N264" s="16" t="n"/>
      <c r="O264" s="18" t="n"/>
      <c r="P264" s="18" t="n"/>
      <c r="Q264" s="16" t="n"/>
    </row>
    <row r="265">
      <c r="E265" s="20" t="n"/>
      <c r="F265" s="20" t="n"/>
      <c r="G265" s="20" t="n"/>
      <c r="H265" s="16" t="n"/>
      <c r="I265" s="16" t="n"/>
      <c r="J265" s="17" t="n"/>
      <c r="K265" s="17" t="n"/>
      <c r="L265" s="17" t="n"/>
      <c r="M265" s="16" t="n"/>
      <c r="N265" s="16" t="n"/>
      <c r="O265" s="18" t="n"/>
      <c r="P265" s="18" t="n"/>
      <c r="Q265" s="16" t="n"/>
    </row>
    <row r="266">
      <c r="E266" s="20" t="n"/>
      <c r="F266" s="20" t="n"/>
      <c r="G266" s="20" t="n"/>
      <c r="H266" s="16" t="n"/>
      <c r="I266" s="16" t="n"/>
      <c r="J266" s="17" t="n"/>
      <c r="K266" s="17" t="n"/>
      <c r="L266" s="17" t="n"/>
      <c r="M266" s="16" t="n"/>
      <c r="N266" s="16" t="n"/>
      <c r="O266" s="18" t="n"/>
      <c r="P266" s="18" t="n"/>
      <c r="Q266" s="16" t="n"/>
    </row>
    <row r="267">
      <c r="E267" s="20" t="n"/>
      <c r="F267" s="20" t="n"/>
      <c r="G267" s="20" t="n"/>
      <c r="H267" s="16" t="n"/>
      <c r="I267" s="16" t="n"/>
      <c r="J267" s="17" t="n"/>
      <c r="K267" s="17" t="n"/>
      <c r="L267" s="17" t="n"/>
      <c r="M267" s="16" t="n"/>
      <c r="N267" s="16" t="n"/>
      <c r="O267" s="18" t="n"/>
      <c r="P267" s="18" t="n"/>
      <c r="Q267" s="16" t="n"/>
    </row>
    <row r="268">
      <c r="E268" s="20" t="n"/>
      <c r="F268" s="20" t="n"/>
      <c r="G268" s="20" t="n"/>
      <c r="H268" s="16" t="n"/>
      <c r="I268" s="16" t="n"/>
      <c r="J268" s="17" t="n"/>
      <c r="K268" s="17" t="n"/>
      <c r="L268" s="17" t="n"/>
      <c r="M268" s="16" t="n"/>
      <c r="N268" s="16" t="n"/>
      <c r="O268" s="18" t="n"/>
      <c r="P268" s="18" t="n"/>
      <c r="Q268" s="16" t="n"/>
    </row>
    <row r="269">
      <c r="E269" s="20" t="n"/>
      <c r="F269" s="20" t="n"/>
      <c r="G269" s="20" t="n"/>
      <c r="H269" s="16" t="n"/>
      <c r="I269" s="16" t="n"/>
      <c r="J269" s="17" t="n"/>
      <c r="K269" s="17" t="n"/>
      <c r="L269" s="17" t="n"/>
      <c r="M269" s="16" t="n"/>
      <c r="N269" s="16" t="n"/>
      <c r="O269" s="18" t="n"/>
      <c r="P269" s="18" t="n"/>
      <c r="Q269" s="16" t="n"/>
    </row>
    <row r="270">
      <c r="E270" s="20" t="n"/>
      <c r="F270" s="20" t="n"/>
      <c r="G270" s="20" t="n"/>
      <c r="H270" s="16" t="n"/>
      <c r="I270" s="16" t="n"/>
      <c r="J270" s="17" t="n"/>
      <c r="K270" s="17" t="n"/>
      <c r="L270" s="17" t="n"/>
      <c r="M270" s="16" t="n"/>
      <c r="N270" s="16" t="n"/>
      <c r="O270" s="18" t="n"/>
      <c r="P270" s="18" t="n"/>
      <c r="Q270" s="16" t="n"/>
    </row>
    <row r="271">
      <c r="E271" s="20" t="n"/>
      <c r="F271" s="20" t="n"/>
      <c r="G271" s="20" t="n"/>
      <c r="H271" s="16" t="n"/>
      <c r="I271" s="16" t="n"/>
      <c r="J271" s="17" t="n"/>
      <c r="K271" s="17" t="n"/>
      <c r="L271" s="17" t="n"/>
      <c r="M271" s="16" t="n"/>
      <c r="N271" s="16" t="n"/>
      <c r="O271" s="18" t="n"/>
      <c r="P271" s="18" t="n"/>
      <c r="Q271" s="16" t="n"/>
    </row>
    <row r="272">
      <c r="E272" s="20" t="n"/>
      <c r="F272" s="20" t="n"/>
      <c r="G272" s="20" t="n"/>
      <c r="H272" s="16" t="n"/>
      <c r="I272" s="16" t="n"/>
      <c r="J272" s="17" t="n"/>
      <c r="K272" s="17" t="n"/>
      <c r="L272" s="17" t="n"/>
      <c r="M272" s="16" t="n"/>
      <c r="N272" s="16" t="n"/>
      <c r="O272" s="18" t="n"/>
      <c r="P272" s="18" t="n"/>
      <c r="Q272" s="16" t="n"/>
    </row>
    <row r="273">
      <c r="E273" s="20" t="n"/>
      <c r="F273" s="20" t="n"/>
      <c r="G273" s="20" t="n"/>
      <c r="H273" s="16" t="n"/>
      <c r="I273" s="16" t="n"/>
      <c r="J273" s="17" t="n"/>
      <c r="K273" s="17" t="n"/>
      <c r="L273" s="17" t="n"/>
      <c r="M273" s="16" t="n"/>
      <c r="N273" s="16" t="n"/>
      <c r="O273" s="18" t="n"/>
      <c r="P273" s="18" t="n"/>
      <c r="Q273" s="16" t="n"/>
    </row>
    <row r="274">
      <c r="E274" s="20" t="n"/>
      <c r="F274" s="20" t="n"/>
      <c r="G274" s="20" t="n"/>
      <c r="H274" s="16" t="n"/>
      <c r="I274" s="16" t="n"/>
      <c r="J274" s="17" t="n"/>
      <c r="K274" s="17" t="n"/>
      <c r="L274" s="17" t="n"/>
      <c r="M274" s="16" t="n"/>
      <c r="N274" s="16" t="n"/>
      <c r="O274" s="18" t="n"/>
      <c r="P274" s="18" t="n"/>
      <c r="Q274" s="16" t="n"/>
    </row>
    <row r="275">
      <c r="E275" s="20" t="n"/>
      <c r="F275" s="20" t="n"/>
      <c r="G275" s="20" t="n"/>
      <c r="H275" s="16" t="n"/>
      <c r="I275" s="16" t="n"/>
      <c r="J275" s="17" t="n"/>
      <c r="K275" s="17" t="n"/>
      <c r="L275" s="17" t="n"/>
      <c r="M275" s="16" t="n"/>
      <c r="N275" s="16" t="n"/>
      <c r="O275" s="18" t="n"/>
      <c r="P275" s="18" t="n"/>
      <c r="Q275" s="16" t="n"/>
    </row>
    <row r="276">
      <c r="E276" s="20" t="n"/>
      <c r="F276" s="20" t="n"/>
      <c r="G276" s="20" t="n"/>
      <c r="H276" s="16" t="n"/>
      <c r="I276" s="16" t="n"/>
      <c r="J276" s="17" t="n"/>
      <c r="K276" s="17" t="n"/>
      <c r="L276" s="17" t="n"/>
      <c r="M276" s="16" t="n"/>
      <c r="N276" s="16" t="n"/>
      <c r="O276" s="18" t="n"/>
      <c r="P276" s="18" t="n"/>
      <c r="Q276" s="16" t="n"/>
    </row>
    <row r="277">
      <c r="E277" s="20" t="n"/>
      <c r="F277" s="20" t="n"/>
      <c r="G277" s="20" t="n"/>
      <c r="H277" s="16" t="n"/>
      <c r="I277" s="16" t="n"/>
      <c r="J277" s="17" t="n"/>
      <c r="K277" s="17" t="n"/>
      <c r="L277" s="17" t="n"/>
      <c r="M277" s="16" t="n"/>
      <c r="N277" s="16" t="n"/>
      <c r="O277" s="18" t="n"/>
      <c r="P277" s="18" t="n"/>
      <c r="Q277" s="16" t="n"/>
    </row>
    <row r="278">
      <c r="E278" s="20" t="n"/>
      <c r="F278" s="20" t="n"/>
      <c r="G278" s="20" t="n"/>
      <c r="H278" s="16" t="n"/>
      <c r="I278" s="16" t="n"/>
      <c r="J278" s="17" t="n"/>
      <c r="K278" s="17" t="n"/>
      <c r="L278" s="17" t="n"/>
      <c r="M278" s="16" t="n"/>
      <c r="N278" s="16" t="n"/>
      <c r="O278" s="18" t="n"/>
      <c r="P278" s="18" t="n"/>
      <c r="Q278" s="16" t="n"/>
    </row>
    <row r="279">
      <c r="E279" s="20" t="n"/>
      <c r="F279" s="20" t="n"/>
      <c r="G279" s="20" t="n"/>
      <c r="H279" s="16" t="n"/>
      <c r="I279" s="16" t="n"/>
      <c r="J279" s="17" t="n"/>
      <c r="K279" s="17" t="n"/>
      <c r="L279" s="17" t="n"/>
      <c r="M279" s="16" t="n"/>
      <c r="N279" s="16" t="n"/>
      <c r="O279" s="18" t="n"/>
      <c r="P279" s="18" t="n"/>
      <c r="Q279" s="16" t="n"/>
    </row>
    <row r="280">
      <c r="E280" s="20" t="n"/>
      <c r="F280" s="20" t="n"/>
      <c r="G280" s="20" t="n"/>
      <c r="H280" s="16" t="n"/>
      <c r="I280" s="16" t="n"/>
      <c r="J280" s="17" t="n"/>
      <c r="K280" s="17" t="n"/>
      <c r="L280" s="17" t="n"/>
      <c r="M280" s="16" t="n"/>
      <c r="N280" s="16" t="n"/>
      <c r="O280" s="18" t="n"/>
      <c r="P280" s="18" t="n"/>
      <c r="Q280" s="16" t="n"/>
    </row>
    <row r="281">
      <c r="E281" s="20" t="n"/>
      <c r="F281" s="20" t="n"/>
      <c r="G281" s="20" t="n"/>
      <c r="H281" s="16" t="n"/>
      <c r="I281" s="16" t="n"/>
      <c r="J281" s="17" t="n"/>
      <c r="K281" s="17" t="n"/>
      <c r="L281" s="17" t="n"/>
      <c r="M281" s="16" t="n"/>
      <c r="N281" s="16" t="n"/>
      <c r="O281" s="18" t="n"/>
      <c r="P281" s="18" t="n"/>
      <c r="Q281" s="16" t="n"/>
    </row>
    <row r="282">
      <c r="E282" s="20" t="n"/>
      <c r="F282" s="20" t="n"/>
      <c r="G282" s="20" t="n"/>
      <c r="H282" s="16" t="n"/>
      <c r="I282" s="16" t="n"/>
      <c r="J282" s="17" t="n"/>
      <c r="K282" s="17" t="n"/>
      <c r="L282" s="17" t="n"/>
      <c r="M282" s="16" t="n"/>
      <c r="N282" s="16" t="n"/>
      <c r="O282" s="18" t="n"/>
      <c r="P282" s="18" t="n"/>
      <c r="Q282" s="16" t="n"/>
    </row>
    <row r="283">
      <c r="E283" s="20" t="n"/>
      <c r="F283" s="20" t="n"/>
      <c r="G283" s="20" t="n"/>
      <c r="H283" s="16" t="n"/>
      <c r="I283" s="16" t="n"/>
      <c r="J283" s="17" t="n"/>
      <c r="K283" s="17" t="n"/>
      <c r="L283" s="17" t="n"/>
      <c r="M283" s="16" t="n"/>
      <c r="N283" s="16" t="n"/>
      <c r="O283" s="18" t="n"/>
      <c r="P283" s="18" t="n"/>
      <c r="Q283" s="16" t="n"/>
    </row>
    <row r="284">
      <c r="E284" s="20" t="n"/>
      <c r="F284" s="20" t="n"/>
      <c r="G284" s="20" t="n"/>
      <c r="H284" s="16" t="n"/>
      <c r="I284" s="16" t="n"/>
      <c r="J284" s="17" t="n"/>
      <c r="K284" s="17" t="n"/>
      <c r="L284" s="17" t="n"/>
      <c r="M284" s="16" t="n"/>
      <c r="N284" s="16" t="n"/>
      <c r="O284" s="18" t="n"/>
      <c r="P284" s="18" t="n"/>
      <c r="Q284" s="16" t="n"/>
    </row>
    <row r="285">
      <c r="E285" s="20" t="n"/>
      <c r="F285" s="20" t="n"/>
      <c r="G285" s="20" t="n"/>
      <c r="H285" s="16" t="n"/>
      <c r="I285" s="16" t="n"/>
      <c r="J285" s="17" t="n"/>
      <c r="K285" s="17" t="n"/>
      <c r="L285" s="17" t="n"/>
      <c r="M285" s="16" t="n"/>
      <c r="N285" s="16" t="n"/>
      <c r="O285" s="18" t="n"/>
      <c r="P285" s="18" t="n"/>
      <c r="Q285" s="16" t="n"/>
    </row>
    <row r="286">
      <c r="E286" s="20" t="n"/>
      <c r="F286" s="20" t="n"/>
      <c r="G286" s="20" t="n"/>
      <c r="H286" s="16" t="n"/>
      <c r="I286" s="16" t="n"/>
      <c r="J286" s="17" t="n"/>
      <c r="K286" s="17" t="n"/>
      <c r="L286" s="17" t="n"/>
      <c r="M286" s="16" t="n"/>
      <c r="N286" s="16" t="n"/>
      <c r="O286" s="18" t="n"/>
      <c r="P286" s="18" t="n"/>
      <c r="Q286" s="16" t="n"/>
    </row>
    <row r="287">
      <c r="E287" s="20" t="n"/>
      <c r="F287" s="20" t="n"/>
      <c r="G287" s="20" t="n"/>
      <c r="H287" s="16" t="n"/>
      <c r="I287" s="16" t="n"/>
      <c r="J287" s="17" t="n"/>
      <c r="K287" s="17" t="n"/>
      <c r="L287" s="17" t="n"/>
      <c r="M287" s="16" t="n"/>
      <c r="N287" s="16" t="n"/>
      <c r="O287" s="18" t="n"/>
      <c r="P287" s="18" t="n"/>
      <c r="Q287" s="16" t="n"/>
    </row>
    <row r="288">
      <c r="E288" s="20" t="n"/>
      <c r="F288" s="20" t="n"/>
      <c r="G288" s="20" t="n"/>
      <c r="H288" s="16" t="n"/>
      <c r="I288" s="16" t="n"/>
      <c r="J288" s="17" t="n"/>
      <c r="K288" s="17" t="n"/>
      <c r="L288" s="17" t="n"/>
      <c r="M288" s="16" t="n"/>
      <c r="N288" s="16" t="n"/>
      <c r="O288" s="18" t="n"/>
      <c r="P288" s="18" t="n"/>
      <c r="Q288" s="16" t="n"/>
    </row>
    <row r="289">
      <c r="E289" s="20" t="n"/>
      <c r="F289" s="20" t="n"/>
      <c r="G289" s="20" t="n"/>
      <c r="H289" s="16" t="n"/>
      <c r="I289" s="16" t="n"/>
      <c r="J289" s="17" t="n"/>
      <c r="K289" s="17" t="n"/>
      <c r="L289" s="17" t="n"/>
      <c r="M289" s="16" t="n"/>
      <c r="N289" s="16" t="n"/>
      <c r="O289" s="18" t="n"/>
      <c r="P289" s="18" t="n"/>
      <c r="Q289" s="16" t="n"/>
    </row>
    <row r="290">
      <c r="E290" s="20" t="n"/>
      <c r="F290" s="20" t="n"/>
      <c r="G290" s="20" t="n"/>
      <c r="H290" s="16" t="n"/>
      <c r="I290" s="16" t="n"/>
      <c r="J290" s="17" t="n"/>
      <c r="K290" s="17" t="n"/>
      <c r="L290" s="17" t="n"/>
      <c r="M290" s="16" t="n"/>
      <c r="N290" s="16" t="n"/>
      <c r="O290" s="18" t="n"/>
      <c r="P290" s="18" t="n"/>
      <c r="Q290" s="16" t="n"/>
    </row>
    <row r="291">
      <c r="E291" s="20" t="n"/>
      <c r="F291" s="20" t="n"/>
      <c r="G291" s="20" t="n"/>
      <c r="H291" s="16" t="n"/>
      <c r="I291" s="16" t="n"/>
      <c r="J291" s="17" t="n"/>
      <c r="K291" s="17" t="n"/>
      <c r="L291" s="17" t="n"/>
      <c r="M291" s="16" t="n"/>
      <c r="N291" s="16" t="n"/>
      <c r="O291" s="18" t="n"/>
      <c r="P291" s="18" t="n"/>
      <c r="Q291" s="16" t="n"/>
    </row>
    <row r="292">
      <c r="E292" s="20" t="n"/>
      <c r="F292" s="20" t="n"/>
      <c r="G292" s="20" t="n"/>
      <c r="H292" s="16" t="n"/>
      <c r="I292" s="16" t="n"/>
      <c r="J292" s="17" t="n"/>
      <c r="K292" s="17" t="n"/>
      <c r="L292" s="17" t="n"/>
      <c r="M292" s="16" t="n"/>
      <c r="N292" s="16" t="n"/>
      <c r="O292" s="18" t="n"/>
      <c r="P292" s="18" t="n"/>
      <c r="Q292" s="16" t="n"/>
    </row>
    <row r="293">
      <c r="E293" s="20" t="n"/>
      <c r="F293" s="20" t="n"/>
      <c r="G293" s="20" t="n"/>
      <c r="H293" s="16" t="n"/>
      <c r="I293" s="16" t="n"/>
      <c r="J293" s="17" t="n"/>
      <c r="K293" s="17" t="n"/>
      <c r="L293" s="17" t="n"/>
      <c r="M293" s="16" t="n"/>
      <c r="N293" s="16" t="n"/>
      <c r="O293" s="18" t="n"/>
      <c r="P293" s="18" t="n"/>
      <c r="Q293" s="16" t="n"/>
    </row>
    <row r="294">
      <c r="E294" s="20" t="n"/>
      <c r="F294" s="20" t="n"/>
      <c r="G294" s="20" t="n"/>
      <c r="H294" s="16" t="n"/>
      <c r="I294" s="16" t="n"/>
      <c r="J294" s="17" t="n"/>
      <c r="K294" s="17" t="n"/>
      <c r="L294" s="17" t="n"/>
      <c r="M294" s="16" t="n"/>
      <c r="N294" s="16" t="n"/>
      <c r="O294" s="18" t="n"/>
      <c r="P294" s="18" t="n"/>
      <c r="Q294" s="16" t="n"/>
    </row>
    <row r="295">
      <c r="E295" s="20" t="n"/>
      <c r="F295" s="20" t="n"/>
      <c r="G295" s="20" t="n"/>
      <c r="H295" s="16" t="n"/>
      <c r="I295" s="16" t="n"/>
      <c r="J295" s="17" t="n"/>
      <c r="K295" s="17" t="n"/>
      <c r="L295" s="17" t="n"/>
      <c r="M295" s="16" t="n"/>
      <c r="N295" s="16" t="n"/>
      <c r="O295" s="18" t="n"/>
      <c r="P295" s="18" t="n"/>
      <c r="Q295" s="16" t="n"/>
    </row>
    <row r="296">
      <c r="E296" s="20" t="n"/>
      <c r="F296" s="20" t="n"/>
      <c r="G296" s="20" t="n"/>
      <c r="H296" s="16" t="n"/>
      <c r="I296" s="16" t="n"/>
      <c r="J296" s="17" t="n"/>
      <c r="K296" s="17" t="n"/>
      <c r="L296" s="17" t="n"/>
      <c r="M296" s="16" t="n"/>
      <c r="N296" s="16" t="n"/>
      <c r="O296" s="18" t="n"/>
      <c r="P296" s="18" t="n"/>
      <c r="Q296" s="16" t="n"/>
    </row>
    <row r="297">
      <c r="E297" s="20" t="n"/>
      <c r="F297" s="20" t="n"/>
      <c r="G297" s="20" t="n"/>
      <c r="H297" s="16" t="n"/>
      <c r="I297" s="16" t="n"/>
      <c r="J297" s="17" t="n"/>
      <c r="K297" s="17" t="n"/>
      <c r="L297" s="17" t="n"/>
      <c r="M297" s="16" t="n"/>
      <c r="N297" s="16" t="n"/>
      <c r="O297" s="18" t="n"/>
      <c r="P297" s="18" t="n"/>
      <c r="Q297" s="16" t="n"/>
    </row>
    <row r="298">
      <c r="E298" s="20" t="n"/>
      <c r="F298" s="20" t="n"/>
      <c r="G298" s="20" t="n"/>
      <c r="H298" s="16" t="n"/>
      <c r="I298" s="16" t="n"/>
      <c r="J298" s="17" t="n"/>
      <c r="K298" s="17" t="n"/>
      <c r="L298" s="17" t="n"/>
      <c r="M298" s="16" t="n"/>
      <c r="N298" s="16" t="n"/>
      <c r="O298" s="18" t="n"/>
      <c r="P298" s="18" t="n"/>
      <c r="Q298" s="16" t="n"/>
    </row>
    <row r="299">
      <c r="E299" s="20" t="n"/>
      <c r="F299" s="20" t="n"/>
      <c r="G299" s="20" t="n"/>
      <c r="H299" s="16" t="n"/>
      <c r="I299" s="16" t="n"/>
      <c r="J299" s="17" t="n"/>
      <c r="K299" s="17" t="n"/>
      <c r="L299" s="17" t="n"/>
      <c r="M299" s="16" t="n"/>
      <c r="N299" s="16" t="n"/>
      <c r="O299" s="18" t="n"/>
      <c r="P299" s="18" t="n"/>
      <c r="Q299" s="16" t="n"/>
    </row>
    <row r="300">
      <c r="E300" s="20" t="n"/>
      <c r="F300" s="20" t="n"/>
      <c r="G300" s="20" t="n"/>
      <c r="H300" s="16" t="n"/>
      <c r="I300" s="16" t="n"/>
      <c r="J300" s="17" t="n"/>
      <c r="K300" s="17" t="n"/>
      <c r="L300" s="17" t="n"/>
      <c r="M300" s="16" t="n"/>
      <c r="N300" s="16" t="n"/>
      <c r="O300" s="18" t="n"/>
      <c r="P300" s="18" t="n"/>
      <c r="Q300" s="16" t="n"/>
    </row>
    <row r="301">
      <c r="E301" s="20" t="n"/>
      <c r="F301" s="20" t="n"/>
      <c r="G301" s="20" t="n"/>
      <c r="H301" s="16" t="n"/>
      <c r="I301" s="16" t="n"/>
      <c r="J301" s="17" t="n"/>
      <c r="K301" s="17" t="n"/>
      <c r="L301" s="17" t="n"/>
      <c r="M301" s="16" t="n"/>
      <c r="N301" s="16" t="n"/>
      <c r="O301" s="18" t="n"/>
      <c r="P301" s="18" t="n"/>
      <c r="Q301" s="16" t="n"/>
    </row>
    <row r="302">
      <c r="E302" s="20" t="n"/>
      <c r="F302" s="20" t="n"/>
      <c r="G302" s="20" t="n"/>
      <c r="H302" s="16" t="n"/>
      <c r="I302" s="16" t="n"/>
      <c r="J302" s="17" t="n"/>
      <c r="K302" s="17" t="n"/>
      <c r="L302" s="17" t="n"/>
      <c r="M302" s="16" t="n"/>
      <c r="N302" s="16" t="n"/>
      <c r="O302" s="18" t="n"/>
      <c r="P302" s="18" t="n"/>
      <c r="Q302" s="16" t="n"/>
    </row>
    <row r="303">
      <c r="E303" s="20" t="n"/>
      <c r="F303" s="20" t="n"/>
      <c r="G303" s="20" t="n"/>
      <c r="H303" s="16" t="n"/>
      <c r="I303" s="16" t="n"/>
      <c r="J303" s="17" t="n"/>
      <c r="K303" s="17" t="n"/>
      <c r="L303" s="17" t="n"/>
      <c r="M303" s="16" t="n"/>
      <c r="N303" s="16" t="n"/>
      <c r="O303" s="18" t="n"/>
      <c r="P303" s="18" t="n"/>
      <c r="Q303" s="16" t="n"/>
    </row>
    <row r="304">
      <c r="E304" s="20" t="n"/>
      <c r="F304" s="20" t="n"/>
      <c r="G304" s="20" t="n"/>
      <c r="H304" s="16" t="n"/>
      <c r="I304" s="16" t="n"/>
      <c r="J304" s="17" t="n"/>
      <c r="K304" s="17" t="n"/>
      <c r="L304" s="17" t="n"/>
      <c r="M304" s="16" t="n"/>
      <c r="N304" s="16" t="n"/>
      <c r="O304" s="18" t="n"/>
      <c r="P304" s="18" t="n"/>
      <c r="Q304" s="16" t="n"/>
    </row>
    <row r="305">
      <c r="E305" s="20" t="n"/>
      <c r="F305" s="20" t="n"/>
      <c r="G305" s="20" t="n"/>
      <c r="H305" s="16" t="n"/>
      <c r="I305" s="16" t="n"/>
      <c r="J305" s="17" t="n"/>
      <c r="K305" s="17" t="n"/>
      <c r="L305" s="17" t="n"/>
      <c r="M305" s="16" t="n"/>
      <c r="N305" s="16" t="n"/>
      <c r="O305" s="18" t="n"/>
      <c r="P305" s="18" t="n"/>
      <c r="Q305" s="16" t="n"/>
    </row>
    <row r="306">
      <c r="E306" s="20" t="n"/>
      <c r="F306" s="20" t="n"/>
      <c r="G306" s="20" t="n"/>
      <c r="H306" s="16" t="n"/>
      <c r="I306" s="16" t="n"/>
      <c r="J306" s="17" t="n"/>
      <c r="K306" s="17" t="n"/>
      <c r="L306" s="17" t="n"/>
      <c r="M306" s="16" t="n"/>
      <c r="N306" s="16" t="n"/>
      <c r="O306" s="18" t="n"/>
      <c r="P306" s="18" t="n"/>
      <c r="Q306" s="16" t="n"/>
    </row>
    <row r="307">
      <c r="E307" s="20" t="n"/>
      <c r="F307" s="20" t="n"/>
      <c r="G307" s="20" t="n"/>
      <c r="H307" s="16" t="n"/>
      <c r="I307" s="16" t="n"/>
      <c r="J307" s="17" t="n"/>
      <c r="K307" s="17" t="n"/>
      <c r="L307" s="17" t="n"/>
      <c r="M307" s="16" t="n"/>
      <c r="N307" s="16" t="n"/>
      <c r="O307" s="18" t="n"/>
      <c r="P307" s="18" t="n"/>
      <c r="Q307" s="16" t="n"/>
    </row>
    <row r="308">
      <c r="E308" s="20" t="n"/>
      <c r="F308" s="20" t="n"/>
      <c r="G308" s="20" t="n"/>
      <c r="H308" s="16" t="n"/>
      <c r="I308" s="16" t="n"/>
      <c r="J308" s="17" t="n"/>
      <c r="K308" s="17" t="n"/>
      <c r="L308" s="17" t="n"/>
      <c r="M308" s="16" t="n"/>
      <c r="N308" s="16" t="n"/>
      <c r="O308" s="18" t="n"/>
      <c r="P308" s="18" t="n"/>
      <c r="Q308" s="16" t="n"/>
    </row>
    <row r="309">
      <c r="E309" s="20" t="n"/>
      <c r="F309" s="20" t="n"/>
      <c r="G309" s="20" t="n"/>
      <c r="H309" s="16" t="n"/>
      <c r="I309" s="16" t="n"/>
      <c r="J309" s="17" t="n"/>
      <c r="K309" s="17" t="n"/>
      <c r="L309" s="17" t="n"/>
      <c r="M309" s="16" t="n"/>
      <c r="N309" s="16" t="n"/>
      <c r="O309" s="18" t="n"/>
      <c r="P309" s="18" t="n"/>
      <c r="Q309" s="16" t="n"/>
    </row>
    <row r="310">
      <c r="E310" s="20" t="n"/>
      <c r="F310" s="20" t="n"/>
      <c r="G310" s="20" t="n"/>
      <c r="H310" s="16" t="n"/>
      <c r="I310" s="16" t="n"/>
      <c r="J310" s="17" t="n"/>
      <c r="K310" s="17" t="n"/>
      <c r="L310" s="17" t="n"/>
      <c r="M310" s="16" t="n"/>
      <c r="N310" s="16" t="n"/>
      <c r="O310" s="18" t="n"/>
      <c r="P310" s="18" t="n"/>
      <c r="Q310" s="16" t="n"/>
    </row>
    <row r="311">
      <c r="E311" s="20" t="n"/>
      <c r="F311" s="20" t="n"/>
      <c r="G311" s="20" t="n"/>
      <c r="H311" s="16" t="n"/>
      <c r="I311" s="16" t="n"/>
      <c r="J311" s="17" t="n"/>
      <c r="K311" s="17" t="n"/>
      <c r="L311" s="17" t="n"/>
      <c r="M311" s="16" t="n"/>
      <c r="N311" s="16" t="n"/>
      <c r="O311" s="18" t="n"/>
      <c r="P311" s="18" t="n"/>
      <c r="Q311" s="16" t="n"/>
    </row>
    <row r="312">
      <c r="E312" s="20" t="n"/>
      <c r="F312" s="20" t="n"/>
      <c r="G312" s="20" t="n"/>
      <c r="H312" s="16" t="n"/>
      <c r="I312" s="16" t="n"/>
      <c r="J312" s="17" t="n"/>
      <c r="K312" s="17" t="n"/>
      <c r="L312" s="17" t="n"/>
      <c r="M312" s="16" t="n"/>
      <c r="N312" s="16" t="n"/>
      <c r="O312" s="18" t="n"/>
      <c r="P312" s="18" t="n"/>
      <c r="Q312" s="16" t="n"/>
    </row>
    <row r="313">
      <c r="E313" s="20" t="n"/>
      <c r="F313" s="20" t="n"/>
      <c r="G313" s="20" t="n"/>
      <c r="H313" s="16" t="n"/>
      <c r="I313" s="16" t="n"/>
      <c r="J313" s="17" t="n"/>
      <c r="K313" s="17" t="n"/>
      <c r="L313" s="17" t="n"/>
      <c r="M313" s="16" t="n"/>
      <c r="N313" s="16" t="n"/>
      <c r="O313" s="18" t="n"/>
      <c r="P313" s="18" t="n"/>
      <c r="Q313" s="16" t="n"/>
    </row>
    <row r="314">
      <c r="E314" s="20" t="n"/>
      <c r="F314" s="20" t="n"/>
      <c r="G314" s="20" t="n"/>
      <c r="H314" s="16" t="n"/>
      <c r="I314" s="16" t="n"/>
      <c r="J314" s="17" t="n"/>
      <c r="K314" s="17" t="n"/>
      <c r="L314" s="17" t="n"/>
      <c r="M314" s="16" t="n"/>
      <c r="N314" s="16" t="n"/>
      <c r="O314" s="18" t="n"/>
      <c r="P314" s="18" t="n"/>
      <c r="Q314" s="16" t="n"/>
    </row>
    <row r="315">
      <c r="E315" s="20" t="n"/>
      <c r="F315" s="20" t="n"/>
      <c r="G315" s="20" t="n"/>
      <c r="H315" s="16" t="n"/>
      <c r="I315" s="16" t="n"/>
      <c r="J315" s="17" t="n"/>
      <c r="K315" s="17" t="n"/>
      <c r="L315" s="17" t="n"/>
      <c r="M315" s="16" t="n"/>
      <c r="N315" s="16" t="n"/>
      <c r="O315" s="18" t="n"/>
      <c r="P315" s="18" t="n"/>
      <c r="Q315" s="16" t="n"/>
    </row>
    <row r="316">
      <c r="E316" s="20" t="n"/>
      <c r="F316" s="20" t="n"/>
      <c r="G316" s="20" t="n"/>
      <c r="H316" s="16" t="n"/>
      <c r="I316" s="16" t="n"/>
      <c r="J316" s="17" t="n"/>
      <c r="K316" s="17" t="n"/>
      <c r="L316" s="17" t="n"/>
      <c r="M316" s="16" t="n"/>
      <c r="N316" s="16" t="n"/>
      <c r="O316" s="18" t="n"/>
      <c r="P316" s="18" t="n"/>
      <c r="Q316" s="16" t="n"/>
    </row>
    <row r="317">
      <c r="E317" s="20" t="n"/>
      <c r="F317" s="20" t="n"/>
      <c r="G317" s="20" t="n"/>
      <c r="H317" s="16" t="n"/>
      <c r="I317" s="16" t="n"/>
      <c r="J317" s="17" t="n"/>
      <c r="K317" s="17" t="n"/>
      <c r="L317" s="17" t="n"/>
      <c r="M317" s="16" t="n"/>
      <c r="N317" s="16" t="n"/>
      <c r="O317" s="18" t="n"/>
      <c r="P317" s="18" t="n"/>
      <c r="Q317" s="16" t="n"/>
    </row>
    <row r="318">
      <c r="E318" s="20" t="n"/>
      <c r="F318" s="20" t="n"/>
      <c r="G318" s="20" t="n"/>
      <c r="H318" s="16" t="n"/>
      <c r="I318" s="16" t="n"/>
      <c r="J318" s="17" t="n"/>
      <c r="K318" s="17" t="n"/>
      <c r="L318" s="17" t="n"/>
      <c r="M318" s="16" t="n"/>
      <c r="N318" s="16" t="n"/>
      <c r="O318" s="18" t="n"/>
      <c r="P318" s="18" t="n"/>
      <c r="Q318" s="16" t="n"/>
    </row>
    <row r="319">
      <c r="E319" s="20" t="n"/>
      <c r="F319" s="20" t="n"/>
      <c r="G319" s="20" t="n"/>
      <c r="H319" s="16" t="n"/>
      <c r="I319" s="16" t="n"/>
      <c r="J319" s="17" t="n"/>
      <c r="K319" s="17" t="n"/>
      <c r="L319" s="17" t="n"/>
      <c r="M319" s="16" t="n"/>
      <c r="N319" s="16" t="n"/>
      <c r="O319" s="18" t="n"/>
      <c r="P319" s="18" t="n"/>
      <c r="Q319" s="16" t="n"/>
    </row>
    <row r="320">
      <c r="E320" s="20" t="n"/>
      <c r="F320" s="20" t="n"/>
      <c r="G320" s="20" t="n"/>
      <c r="H320" s="16" t="n"/>
      <c r="I320" s="16" t="n"/>
      <c r="J320" s="17" t="n"/>
      <c r="K320" s="17" t="n"/>
      <c r="L320" s="17" t="n"/>
      <c r="M320" s="16" t="n"/>
      <c r="N320" s="16" t="n"/>
      <c r="O320" s="18" t="n"/>
      <c r="P320" s="18" t="n"/>
      <c r="Q320" s="16" t="n"/>
    </row>
    <row r="321">
      <c r="E321" s="20" t="n"/>
      <c r="F321" s="20" t="n"/>
      <c r="G321" s="20" t="n"/>
      <c r="H321" s="16" t="n"/>
      <c r="I321" s="16" t="n"/>
      <c r="J321" s="17" t="n"/>
      <c r="K321" s="17" t="n"/>
      <c r="L321" s="17" t="n"/>
      <c r="M321" s="16" t="n"/>
      <c r="N321" s="16" t="n"/>
      <c r="O321" s="18" t="n"/>
      <c r="P321" s="18" t="n"/>
      <c r="Q321" s="16" t="n"/>
    </row>
    <row r="322">
      <c r="E322" s="20" t="n"/>
      <c r="F322" s="20" t="n"/>
      <c r="G322" s="20" t="n"/>
      <c r="H322" s="16" t="n"/>
      <c r="I322" s="16" t="n"/>
      <c r="J322" s="17" t="n"/>
      <c r="K322" s="17" t="n"/>
      <c r="L322" s="17" t="n"/>
      <c r="M322" s="16" t="n"/>
      <c r="N322" s="16" t="n"/>
      <c r="O322" s="18" t="n"/>
      <c r="P322" s="18" t="n"/>
      <c r="Q322" s="16" t="n"/>
    </row>
    <row r="323">
      <c r="E323" s="20" t="n"/>
      <c r="F323" s="20" t="n"/>
      <c r="G323" s="20" t="n"/>
      <c r="H323" s="16" t="n"/>
      <c r="I323" s="16" t="n"/>
      <c r="J323" s="17" t="n"/>
      <c r="K323" s="17" t="n"/>
      <c r="L323" s="17" t="n"/>
      <c r="M323" s="16" t="n"/>
      <c r="N323" s="16" t="n"/>
      <c r="O323" s="18" t="n"/>
      <c r="P323" s="18" t="n"/>
      <c r="Q323" s="16" t="n"/>
    </row>
    <row r="324">
      <c r="E324" s="20" t="n"/>
      <c r="F324" s="20" t="n"/>
      <c r="G324" s="20" t="n"/>
      <c r="H324" s="16" t="n"/>
      <c r="I324" s="16" t="n"/>
      <c r="J324" s="17" t="n"/>
      <c r="K324" s="17" t="n"/>
      <c r="L324" s="17" t="n"/>
      <c r="M324" s="16" t="n"/>
      <c r="N324" s="16" t="n"/>
      <c r="O324" s="18" t="n"/>
      <c r="P324" s="18" t="n"/>
      <c r="Q324" s="16" t="n"/>
    </row>
    <row r="325">
      <c r="E325" s="20" t="n"/>
      <c r="F325" s="20" t="n"/>
      <c r="G325" s="20" t="n"/>
      <c r="H325" s="16" t="n"/>
      <c r="I325" s="16" t="n"/>
      <c r="J325" s="17" t="n"/>
      <c r="K325" s="17" t="n"/>
      <c r="L325" s="17" t="n"/>
      <c r="M325" s="16" t="n"/>
      <c r="N325" s="16" t="n"/>
      <c r="O325" s="18" t="n"/>
      <c r="P325" s="18" t="n"/>
      <c r="Q325" s="16" t="n"/>
    </row>
    <row r="326">
      <c r="E326" s="20" t="n"/>
      <c r="F326" s="20" t="n"/>
      <c r="G326" s="20" t="n"/>
      <c r="H326" s="16" t="n"/>
      <c r="I326" s="16" t="n"/>
      <c r="J326" s="17" t="n"/>
      <c r="K326" s="17" t="n"/>
      <c r="L326" s="17" t="n"/>
      <c r="M326" s="16" t="n"/>
      <c r="N326" s="16" t="n"/>
      <c r="O326" s="18" t="n"/>
      <c r="P326" s="18" t="n"/>
      <c r="Q326" s="16" t="n"/>
    </row>
    <row r="327">
      <c r="E327" s="20" t="n"/>
      <c r="F327" s="20" t="n"/>
      <c r="G327" s="20" t="n"/>
      <c r="H327" s="16" t="n"/>
      <c r="I327" s="16" t="n"/>
      <c r="J327" s="17" t="n"/>
      <c r="K327" s="17" t="n"/>
      <c r="L327" s="17" t="n"/>
      <c r="M327" s="16" t="n"/>
      <c r="N327" s="16" t="n"/>
      <c r="O327" s="18" t="n"/>
      <c r="P327" s="18" t="n"/>
      <c r="Q327" s="16" t="n"/>
    </row>
    <row r="328">
      <c r="E328" s="20" t="n"/>
      <c r="F328" s="20" t="n"/>
      <c r="G328" s="20" t="n"/>
      <c r="H328" s="16" t="n"/>
      <c r="I328" s="16" t="n"/>
      <c r="J328" s="17" t="n"/>
      <c r="K328" s="17" t="n"/>
      <c r="L328" s="17" t="n"/>
      <c r="M328" s="16" t="n"/>
      <c r="N328" s="16" t="n"/>
      <c r="O328" s="18" t="n"/>
      <c r="P328" s="18" t="n"/>
      <c r="Q328" s="16" t="n"/>
    </row>
    <row r="329">
      <c r="E329" s="20" t="n"/>
      <c r="F329" s="20" t="n"/>
      <c r="G329" s="20" t="n"/>
      <c r="H329" s="16" t="n"/>
      <c r="I329" s="16" t="n"/>
      <c r="J329" s="17" t="n"/>
      <c r="K329" s="17" t="n"/>
      <c r="L329" s="17" t="n"/>
      <c r="M329" s="16" t="n"/>
      <c r="N329" s="16" t="n"/>
      <c r="O329" s="18" t="n"/>
      <c r="P329" s="18" t="n"/>
      <c r="Q329" s="16" t="n"/>
    </row>
    <row r="330">
      <c r="E330" s="20" t="n"/>
      <c r="F330" s="20" t="n"/>
      <c r="G330" s="20" t="n"/>
      <c r="H330" s="16" t="n"/>
      <c r="I330" s="16" t="n"/>
      <c r="J330" s="17" t="n"/>
      <c r="K330" s="17" t="n"/>
      <c r="L330" s="17" t="n"/>
      <c r="M330" s="16" t="n"/>
      <c r="N330" s="16" t="n"/>
      <c r="O330" s="18" t="n"/>
      <c r="P330" s="18" t="n"/>
      <c r="Q330" s="16" t="n"/>
    </row>
    <row r="331">
      <c r="E331" s="20" t="n"/>
      <c r="F331" s="20" t="n"/>
      <c r="G331" s="20" t="n"/>
      <c r="H331" s="16" t="n"/>
      <c r="I331" s="16" t="n"/>
      <c r="J331" s="17" t="n"/>
      <c r="K331" s="17" t="n"/>
      <c r="L331" s="17" t="n"/>
      <c r="M331" s="16" t="n"/>
      <c r="N331" s="16" t="n"/>
      <c r="O331" s="18" t="n"/>
      <c r="P331" s="18" t="n"/>
      <c r="Q331" s="16" t="n"/>
    </row>
    <row r="332">
      <c r="E332" s="20" t="n"/>
      <c r="F332" s="20" t="n"/>
      <c r="G332" s="20" t="n"/>
      <c r="H332" s="16" t="n"/>
      <c r="I332" s="16" t="n"/>
      <c r="J332" s="17" t="n"/>
      <c r="K332" s="17" t="n"/>
      <c r="L332" s="17" t="n"/>
      <c r="M332" s="16" t="n"/>
      <c r="N332" s="16" t="n"/>
      <c r="O332" s="18" t="n"/>
      <c r="P332" s="18" t="n"/>
      <c r="Q332" s="16" t="n"/>
    </row>
    <row r="333">
      <c r="E333" s="20" t="n"/>
      <c r="F333" s="20" t="n"/>
      <c r="G333" s="20" t="n"/>
      <c r="H333" s="16" t="n"/>
      <c r="I333" s="16" t="n"/>
      <c r="J333" s="17" t="n"/>
      <c r="K333" s="17" t="n"/>
      <c r="L333" s="17" t="n"/>
      <c r="M333" s="16" t="n"/>
      <c r="N333" s="16" t="n"/>
      <c r="O333" s="18" t="n"/>
      <c r="P333" s="18" t="n"/>
      <c r="Q333" s="16" t="n"/>
    </row>
    <row r="334">
      <c r="E334" s="20" t="n"/>
      <c r="F334" s="20" t="n"/>
      <c r="G334" s="20" t="n"/>
      <c r="H334" s="16" t="n"/>
      <c r="I334" s="16" t="n"/>
      <c r="J334" s="17" t="n"/>
      <c r="K334" s="17" t="n"/>
      <c r="L334" s="17" t="n"/>
      <c r="M334" s="16" t="n"/>
      <c r="N334" s="16" t="n"/>
      <c r="O334" s="18" t="n"/>
      <c r="P334" s="18" t="n"/>
      <c r="Q334" s="16" t="n"/>
    </row>
    <row r="335">
      <c r="E335" s="20" t="n"/>
      <c r="F335" s="20" t="n"/>
      <c r="G335" s="20" t="n"/>
      <c r="H335" s="16" t="n"/>
      <c r="I335" s="16" t="n"/>
      <c r="J335" s="17" t="n"/>
      <c r="K335" s="17" t="n"/>
      <c r="L335" s="17" t="n"/>
      <c r="M335" s="16" t="n"/>
      <c r="N335" s="16" t="n"/>
      <c r="O335" s="18" t="n"/>
      <c r="P335" s="18" t="n"/>
      <c r="Q335" s="16" t="n"/>
    </row>
    <row r="336">
      <c r="E336" s="20" t="n"/>
      <c r="F336" s="20" t="n"/>
      <c r="G336" s="20" t="n"/>
      <c r="H336" s="16" t="n"/>
      <c r="I336" s="16" t="n"/>
      <c r="J336" s="17" t="n"/>
      <c r="K336" s="17" t="n"/>
      <c r="L336" s="17" t="n"/>
      <c r="M336" s="16" t="n"/>
      <c r="N336" s="16" t="n"/>
      <c r="O336" s="18" t="n"/>
      <c r="P336" s="18" t="n"/>
      <c r="Q336" s="16" t="n"/>
    </row>
    <row r="337">
      <c r="E337" s="20" t="n"/>
      <c r="F337" s="20" t="n"/>
      <c r="G337" s="20" t="n"/>
      <c r="H337" s="16" t="n"/>
      <c r="I337" s="16" t="n"/>
      <c r="J337" s="17" t="n"/>
      <c r="K337" s="17" t="n"/>
      <c r="L337" s="17" t="n"/>
      <c r="M337" s="16" t="n"/>
      <c r="N337" s="16" t="n"/>
      <c r="O337" s="18" t="n"/>
      <c r="P337" s="18" t="n"/>
      <c r="Q337" s="16" t="n"/>
    </row>
    <row r="338">
      <c r="E338" s="20" t="n"/>
      <c r="F338" s="20" t="n"/>
      <c r="G338" s="20" t="n"/>
      <c r="H338" s="16" t="n"/>
      <c r="I338" s="16" t="n"/>
      <c r="J338" s="17" t="n"/>
      <c r="K338" s="17" t="n"/>
      <c r="L338" s="17" t="n"/>
      <c r="M338" s="16" t="n"/>
      <c r="N338" s="16" t="n"/>
      <c r="O338" s="18" t="n"/>
      <c r="P338" s="18" t="n"/>
      <c r="Q338" s="16" t="n"/>
    </row>
    <row r="339">
      <c r="E339" s="20" t="n"/>
      <c r="F339" s="20" t="n"/>
      <c r="G339" s="20" t="n"/>
      <c r="H339" s="16" t="n"/>
      <c r="I339" s="16" t="n"/>
      <c r="J339" s="17" t="n"/>
      <c r="K339" s="17" t="n"/>
      <c r="L339" s="17" t="n"/>
      <c r="M339" s="16" t="n"/>
      <c r="N339" s="16" t="n"/>
      <c r="O339" s="18" t="n"/>
      <c r="P339" s="18" t="n"/>
      <c r="Q339" s="16" t="n"/>
    </row>
    <row r="340">
      <c r="E340" s="20" t="n"/>
      <c r="F340" s="20" t="n"/>
      <c r="G340" s="20" t="n"/>
      <c r="H340" s="16" t="n"/>
      <c r="I340" s="16" t="n"/>
      <c r="J340" s="17" t="n"/>
      <c r="K340" s="17" t="n"/>
      <c r="L340" s="17" t="n"/>
      <c r="M340" s="16" t="n"/>
      <c r="N340" s="16" t="n"/>
      <c r="O340" s="18" t="n"/>
      <c r="P340" s="18" t="n"/>
      <c r="Q340" s="16" t="n"/>
    </row>
    <row r="341">
      <c r="E341" s="20" t="n"/>
      <c r="F341" s="20" t="n"/>
      <c r="G341" s="20" t="n"/>
      <c r="H341" s="16" t="n"/>
      <c r="I341" s="16" t="n"/>
      <c r="J341" s="17" t="n"/>
      <c r="K341" s="17" t="n"/>
      <c r="L341" s="17" t="n"/>
      <c r="M341" s="16" t="n"/>
      <c r="N341" s="16" t="n"/>
      <c r="O341" s="18" t="n"/>
      <c r="P341" s="18" t="n"/>
      <c r="Q341" s="16" t="n"/>
    </row>
    <row r="342">
      <c r="E342" s="20" t="n"/>
      <c r="F342" s="20" t="n"/>
      <c r="G342" s="20" t="n"/>
      <c r="H342" s="16" t="n"/>
      <c r="I342" s="16" t="n"/>
      <c r="J342" s="17" t="n"/>
      <c r="K342" s="17" t="n"/>
      <c r="L342" s="17" t="n"/>
      <c r="M342" s="16" t="n"/>
      <c r="N342" s="16" t="n"/>
      <c r="O342" s="18" t="n"/>
      <c r="P342" s="18" t="n"/>
      <c r="Q342" s="16" t="n"/>
    </row>
    <row r="343">
      <c r="E343" s="20" t="n"/>
      <c r="F343" s="20" t="n"/>
      <c r="G343" s="20" t="n"/>
      <c r="H343" s="16" t="n"/>
      <c r="I343" s="16" t="n"/>
      <c r="J343" s="17" t="n"/>
      <c r="K343" s="17" t="n"/>
      <c r="L343" s="17" t="n"/>
      <c r="M343" s="16" t="n"/>
      <c r="N343" s="16" t="n"/>
      <c r="O343" s="18" t="n"/>
      <c r="P343" s="18" t="n"/>
      <c r="Q343" s="16" t="n"/>
    </row>
    <row r="344">
      <c r="E344" s="20" t="n"/>
      <c r="F344" s="20" t="n"/>
      <c r="G344" s="20" t="n"/>
      <c r="H344" s="16" t="n"/>
      <c r="I344" s="16" t="n"/>
      <c r="J344" s="17" t="n"/>
      <c r="K344" s="17" t="n"/>
      <c r="L344" s="17" t="n"/>
      <c r="M344" s="16" t="n"/>
      <c r="N344" s="16" t="n"/>
      <c r="O344" s="18" t="n"/>
      <c r="P344" s="18" t="n"/>
      <c r="Q344" s="16" t="n"/>
    </row>
    <row r="345">
      <c r="E345" s="20" t="n"/>
      <c r="F345" s="20" t="n"/>
      <c r="G345" s="20" t="n"/>
      <c r="H345" s="16" t="n"/>
      <c r="I345" s="16" t="n"/>
      <c r="J345" s="17" t="n"/>
      <c r="K345" s="17" t="n"/>
      <c r="L345" s="17" t="n"/>
      <c r="M345" s="16" t="n"/>
      <c r="N345" s="16" t="n"/>
      <c r="O345" s="18" t="n"/>
      <c r="P345" s="18" t="n"/>
      <c r="Q345" s="16" t="n"/>
    </row>
    <row r="346">
      <c r="E346" s="20" t="n"/>
      <c r="F346" s="20" t="n"/>
      <c r="G346" s="20" t="n"/>
      <c r="H346" s="16" t="n"/>
      <c r="I346" s="16" t="n"/>
      <c r="J346" s="17" t="n"/>
      <c r="K346" s="17" t="n"/>
      <c r="L346" s="17" t="n"/>
      <c r="M346" s="16" t="n"/>
      <c r="N346" s="16" t="n"/>
      <c r="O346" s="18" t="n"/>
      <c r="P346" s="18" t="n"/>
      <c r="Q346" s="16" t="n"/>
    </row>
    <row r="347">
      <c r="E347" s="20" t="n"/>
      <c r="F347" s="20" t="n"/>
      <c r="G347" s="20" t="n"/>
      <c r="H347" s="16" t="n"/>
      <c r="I347" s="16" t="n"/>
      <c r="J347" s="17" t="n"/>
      <c r="K347" s="17" t="n"/>
      <c r="L347" s="17" t="n"/>
      <c r="M347" s="16" t="n"/>
      <c r="N347" s="16" t="n"/>
      <c r="O347" s="18" t="n"/>
      <c r="P347" s="18" t="n"/>
      <c r="Q347" s="16" t="n"/>
    </row>
    <row r="348">
      <c r="E348" s="20" t="n"/>
      <c r="F348" s="20" t="n"/>
      <c r="G348" s="20" t="n"/>
      <c r="H348" s="16" t="n"/>
      <c r="I348" s="16" t="n"/>
      <c r="J348" s="17" t="n"/>
      <c r="K348" s="17" t="n"/>
      <c r="L348" s="17" t="n"/>
      <c r="M348" s="16" t="n"/>
      <c r="N348" s="16" t="n"/>
      <c r="O348" s="18" t="n"/>
      <c r="P348" s="18" t="n"/>
      <c r="Q348" s="16" t="n"/>
    </row>
    <row r="349">
      <c r="E349" s="20" t="n"/>
      <c r="F349" s="20" t="n"/>
      <c r="G349" s="20" t="n"/>
      <c r="H349" s="16" t="n"/>
      <c r="I349" s="16" t="n"/>
      <c r="J349" s="17" t="n"/>
      <c r="K349" s="17" t="n"/>
      <c r="L349" s="17" t="n"/>
      <c r="M349" s="16" t="n"/>
      <c r="N349" s="16" t="n"/>
      <c r="O349" s="18" t="n"/>
      <c r="P349" s="18" t="n"/>
      <c r="Q349" s="16" t="n"/>
    </row>
    <row r="350">
      <c r="E350" s="20" t="n"/>
      <c r="F350" s="20" t="n"/>
      <c r="G350" s="20" t="n"/>
      <c r="H350" s="16" t="n"/>
      <c r="I350" s="16" t="n"/>
      <c r="J350" s="17" t="n"/>
      <c r="K350" s="17" t="n"/>
      <c r="L350" s="17" t="n"/>
      <c r="M350" s="16" t="n"/>
      <c r="N350" s="16" t="n"/>
      <c r="O350" s="18" t="n"/>
      <c r="P350" s="18" t="n"/>
      <c r="Q350" s="16" t="n"/>
    </row>
    <row r="351">
      <c r="E351" s="20" t="n"/>
      <c r="F351" s="20" t="n"/>
      <c r="G351" s="20" t="n"/>
      <c r="H351" s="16" t="n"/>
      <c r="I351" s="16" t="n"/>
      <c r="J351" s="17" t="n"/>
      <c r="K351" s="17" t="n"/>
      <c r="L351" s="17" t="n"/>
      <c r="M351" s="16" t="n"/>
      <c r="N351" s="16" t="n"/>
      <c r="O351" s="18" t="n"/>
      <c r="P351" s="18" t="n"/>
      <c r="Q351" s="16" t="n"/>
    </row>
    <row r="352">
      <c r="E352" s="20" t="n"/>
      <c r="F352" s="20" t="n"/>
      <c r="G352" s="20" t="n"/>
      <c r="H352" s="16" t="n"/>
      <c r="I352" s="16" t="n"/>
      <c r="J352" s="17" t="n"/>
      <c r="K352" s="17" t="n"/>
      <c r="L352" s="17" t="n"/>
      <c r="M352" s="16" t="n"/>
      <c r="N352" s="16" t="n"/>
      <c r="O352" s="18" t="n"/>
      <c r="P352" s="18" t="n"/>
      <c r="Q352" s="16" t="n"/>
    </row>
    <row r="353">
      <c r="E353" s="20" t="n"/>
      <c r="F353" s="20" t="n"/>
      <c r="G353" s="20" t="n"/>
      <c r="H353" s="16" t="n"/>
      <c r="I353" s="16" t="n"/>
      <c r="J353" s="17" t="n"/>
      <c r="K353" s="17" t="n"/>
      <c r="L353" s="17" t="n"/>
      <c r="M353" s="16" t="n"/>
      <c r="N353" s="16" t="n"/>
      <c r="O353" s="18" t="n"/>
      <c r="P353" s="18" t="n"/>
      <c r="Q353" s="16" t="n"/>
    </row>
    <row r="354">
      <c r="E354" s="20" t="n"/>
      <c r="F354" s="20" t="n"/>
      <c r="G354" s="20" t="n"/>
      <c r="H354" s="16" t="n"/>
      <c r="I354" s="16" t="n"/>
      <c r="J354" s="17" t="n"/>
      <c r="K354" s="17" t="n"/>
      <c r="L354" s="17" t="n"/>
      <c r="M354" s="16" t="n"/>
      <c r="N354" s="16" t="n"/>
      <c r="O354" s="18" t="n"/>
      <c r="P354" s="18" t="n"/>
      <c r="Q354" s="16" t="n"/>
    </row>
    <row r="355">
      <c r="E355" s="20" t="n"/>
      <c r="F355" s="20" t="n"/>
      <c r="G355" s="20" t="n"/>
      <c r="H355" s="16" t="n"/>
      <c r="I355" s="16" t="n"/>
      <c r="J355" s="17" t="n"/>
      <c r="K355" s="17" t="n"/>
      <c r="L355" s="17" t="n"/>
      <c r="M355" s="16" t="n"/>
      <c r="N355" s="16" t="n"/>
      <c r="O355" s="18" t="n"/>
      <c r="P355" s="18" t="n"/>
      <c r="Q355" s="16" t="n"/>
    </row>
    <row r="356">
      <c r="E356" s="20" t="n"/>
      <c r="F356" s="20" t="n"/>
      <c r="G356" s="20" t="n"/>
      <c r="H356" s="16" t="n"/>
      <c r="I356" s="16" t="n"/>
      <c r="J356" s="17" t="n"/>
      <c r="K356" s="17" t="n"/>
      <c r="L356" s="17" t="n"/>
      <c r="M356" s="16" t="n"/>
      <c r="N356" s="16" t="n"/>
      <c r="O356" s="18" t="n"/>
      <c r="P356" s="18" t="n"/>
      <c r="Q356" s="16" t="n"/>
    </row>
    <row r="357">
      <c r="E357" s="20" t="n"/>
      <c r="F357" s="20" t="n"/>
      <c r="G357" s="20" t="n"/>
      <c r="H357" s="16" t="n"/>
      <c r="I357" s="16" t="n"/>
      <c r="J357" s="17" t="n"/>
      <c r="K357" s="17" t="n"/>
      <c r="L357" s="17" t="n"/>
      <c r="M357" s="16" t="n"/>
      <c r="N357" s="16" t="n"/>
      <c r="O357" s="18" t="n"/>
      <c r="P357" s="18" t="n"/>
      <c r="Q357" s="16" t="n"/>
    </row>
    <row r="358">
      <c r="E358" s="20" t="n"/>
      <c r="F358" s="20" t="n"/>
      <c r="G358" s="20" t="n"/>
      <c r="H358" s="16" t="n"/>
      <c r="I358" s="16" t="n"/>
      <c r="J358" s="17" t="n"/>
      <c r="K358" s="17" t="n"/>
      <c r="L358" s="17" t="n"/>
      <c r="M358" s="16" t="n"/>
      <c r="N358" s="16" t="n"/>
      <c r="O358" s="18" t="n"/>
      <c r="P358" s="18" t="n"/>
      <c r="Q358" s="16" t="n"/>
    </row>
    <row r="359">
      <c r="E359" s="20" t="n"/>
      <c r="F359" s="20" t="n"/>
      <c r="G359" s="20" t="n"/>
      <c r="H359" s="16" t="n"/>
      <c r="I359" s="16" t="n"/>
      <c r="J359" s="17" t="n"/>
      <c r="K359" s="17" t="n"/>
      <c r="L359" s="17" t="n"/>
      <c r="M359" s="16" t="n"/>
      <c r="N359" s="16" t="n"/>
      <c r="O359" s="18" t="n"/>
      <c r="P359" s="18" t="n"/>
      <c r="Q359" s="16" t="n"/>
    </row>
    <row r="360">
      <c r="E360" s="20" t="n"/>
      <c r="F360" s="20" t="n"/>
      <c r="G360" s="20" t="n"/>
      <c r="H360" s="16" t="n"/>
      <c r="I360" s="16" t="n"/>
      <c r="J360" s="17" t="n"/>
      <c r="K360" s="17" t="n"/>
      <c r="L360" s="17" t="n"/>
      <c r="M360" s="16" t="n"/>
      <c r="N360" s="16" t="n"/>
      <c r="O360" s="18" t="n"/>
      <c r="P360" s="18" t="n"/>
      <c r="Q360" s="16" t="n"/>
    </row>
    <row r="361">
      <c r="E361" s="20" t="n"/>
      <c r="F361" s="20" t="n"/>
      <c r="G361" s="20" t="n"/>
      <c r="H361" s="16" t="n"/>
      <c r="I361" s="16" t="n"/>
      <c r="J361" s="17" t="n"/>
      <c r="K361" s="17" t="n"/>
      <c r="L361" s="17" t="n"/>
      <c r="M361" s="16" t="n"/>
      <c r="N361" s="16" t="n"/>
      <c r="O361" s="18" t="n"/>
      <c r="P361" s="18" t="n"/>
      <c r="Q361" s="16" t="n"/>
    </row>
    <row r="362">
      <c r="E362" s="20" t="n"/>
      <c r="F362" s="20" t="n"/>
      <c r="G362" s="20" t="n"/>
      <c r="H362" s="16" t="n"/>
      <c r="I362" s="16" t="n"/>
      <c r="J362" s="17" t="n"/>
      <c r="K362" s="17" t="n"/>
      <c r="L362" s="17" t="n"/>
      <c r="M362" s="16" t="n"/>
      <c r="N362" s="16" t="n"/>
      <c r="O362" s="18" t="n"/>
      <c r="P362" s="18" t="n"/>
      <c r="Q362" s="16" t="n"/>
    </row>
    <row r="363">
      <c r="E363" s="20" t="n"/>
      <c r="F363" s="20" t="n"/>
      <c r="G363" s="20" t="n"/>
      <c r="H363" s="16" t="n"/>
      <c r="I363" s="16" t="n"/>
      <c r="J363" s="17" t="n"/>
      <c r="K363" s="17" t="n"/>
      <c r="L363" s="17" t="n"/>
      <c r="M363" s="16" t="n"/>
      <c r="N363" s="16" t="n"/>
      <c r="O363" s="18" t="n"/>
      <c r="P363" s="18" t="n"/>
      <c r="Q363" s="16" t="n"/>
    </row>
    <row r="364">
      <c r="E364" s="20" t="n"/>
      <c r="F364" s="20" t="n"/>
      <c r="G364" s="20" t="n"/>
      <c r="H364" s="16" t="n"/>
      <c r="I364" s="16" t="n"/>
      <c r="J364" s="17" t="n"/>
      <c r="K364" s="17" t="n"/>
      <c r="L364" s="17" t="n"/>
      <c r="M364" s="16" t="n"/>
      <c r="N364" s="16" t="n"/>
      <c r="O364" s="18" t="n"/>
      <c r="P364" s="18" t="n"/>
      <c r="Q364" s="16" t="n"/>
    </row>
    <row r="365">
      <c r="E365" s="20" t="n"/>
      <c r="F365" s="20" t="n"/>
      <c r="G365" s="20" t="n"/>
      <c r="H365" s="16" t="n"/>
      <c r="I365" s="16" t="n"/>
      <c r="J365" s="17" t="n"/>
      <c r="K365" s="17" t="n"/>
      <c r="L365" s="17" t="n"/>
      <c r="M365" s="16" t="n"/>
      <c r="N365" s="16" t="n"/>
      <c r="O365" s="18" t="n"/>
      <c r="P365" s="18" t="n"/>
      <c r="Q365" s="16" t="n"/>
    </row>
    <row r="366">
      <c r="E366" s="20" t="n"/>
      <c r="F366" s="20" t="n"/>
      <c r="G366" s="20" t="n"/>
      <c r="H366" s="16" t="n"/>
      <c r="I366" s="16" t="n"/>
      <c r="J366" s="17" t="n"/>
      <c r="K366" s="17" t="n"/>
      <c r="L366" s="17" t="n"/>
      <c r="M366" s="16" t="n"/>
      <c r="N366" s="16" t="n"/>
      <c r="O366" s="18" t="n"/>
      <c r="P366" s="18" t="n"/>
      <c r="Q366" s="16" t="n"/>
    </row>
    <row r="367">
      <c r="E367" s="20" t="n"/>
      <c r="F367" s="20" t="n"/>
      <c r="G367" s="20" t="n"/>
      <c r="H367" s="16" t="n"/>
      <c r="I367" s="16" t="n"/>
      <c r="J367" s="17" t="n"/>
      <c r="K367" s="17" t="n"/>
      <c r="L367" s="17" t="n"/>
      <c r="M367" s="16" t="n"/>
      <c r="N367" s="16" t="n"/>
      <c r="O367" s="18" t="n"/>
      <c r="P367" s="18" t="n"/>
      <c r="Q367" s="16" t="n"/>
    </row>
    <row r="368">
      <c r="E368" s="20" t="n"/>
      <c r="F368" s="20" t="n"/>
      <c r="G368" s="20" t="n"/>
      <c r="H368" s="16" t="n"/>
      <c r="I368" s="16" t="n"/>
      <c r="J368" s="17" t="n"/>
      <c r="K368" s="17" t="n"/>
      <c r="L368" s="17" t="n"/>
      <c r="M368" s="16" t="n"/>
      <c r="N368" s="16" t="n"/>
      <c r="O368" s="18" t="n"/>
      <c r="P368" s="18" t="n"/>
      <c r="Q368" s="16" t="n"/>
    </row>
    <row r="369">
      <c r="E369" s="20" t="n"/>
      <c r="F369" s="20" t="n"/>
      <c r="G369" s="20" t="n"/>
      <c r="H369" s="16" t="n"/>
      <c r="I369" s="16" t="n"/>
      <c r="J369" s="17" t="n"/>
      <c r="K369" s="17" t="n"/>
      <c r="L369" s="17" t="n"/>
      <c r="M369" s="16" t="n"/>
      <c r="N369" s="16" t="n"/>
      <c r="O369" s="18" t="n"/>
      <c r="P369" s="18" t="n"/>
      <c r="Q369" s="16" t="n"/>
    </row>
    <row r="370">
      <c r="E370" s="20" t="n"/>
      <c r="F370" s="20" t="n"/>
      <c r="G370" s="20" t="n"/>
      <c r="H370" s="16" t="n"/>
      <c r="I370" s="16" t="n"/>
      <c r="J370" s="17" t="n"/>
      <c r="K370" s="17" t="n"/>
      <c r="L370" s="17" t="n"/>
      <c r="M370" s="16" t="n"/>
      <c r="N370" s="16" t="n"/>
      <c r="O370" s="18" t="n"/>
      <c r="P370" s="18" t="n"/>
      <c r="Q370" s="16" t="n"/>
    </row>
    <row r="371">
      <c r="E371" s="20" t="n"/>
      <c r="F371" s="20" t="n"/>
      <c r="G371" s="20" t="n"/>
      <c r="H371" s="16" t="n"/>
      <c r="I371" s="16" t="n"/>
      <c r="J371" s="17" t="n"/>
      <c r="K371" s="17" t="n"/>
      <c r="L371" s="17" t="n"/>
      <c r="M371" s="16" t="n"/>
      <c r="N371" s="16" t="n"/>
      <c r="O371" s="18" t="n"/>
      <c r="P371" s="18" t="n"/>
      <c r="Q371" s="16" t="n"/>
    </row>
    <row r="372">
      <c r="E372" s="20" t="n"/>
      <c r="F372" s="20" t="n"/>
      <c r="G372" s="20" t="n"/>
      <c r="H372" s="16" t="n"/>
      <c r="I372" s="16" t="n"/>
      <c r="J372" s="17" t="n"/>
      <c r="K372" s="17" t="n"/>
      <c r="L372" s="17" t="n"/>
      <c r="M372" s="16" t="n"/>
      <c r="N372" s="16" t="n"/>
      <c r="O372" s="18" t="n"/>
      <c r="P372" s="18" t="n"/>
      <c r="Q372" s="16" t="n"/>
    </row>
    <row r="373">
      <c r="E373" s="20" t="n"/>
      <c r="F373" s="20" t="n"/>
      <c r="G373" s="20" t="n"/>
      <c r="H373" s="16" t="n"/>
      <c r="I373" s="16" t="n"/>
      <c r="J373" s="17" t="n"/>
      <c r="K373" s="17" t="n"/>
      <c r="L373" s="17" t="n"/>
      <c r="M373" s="16" t="n"/>
      <c r="N373" s="16" t="n"/>
      <c r="O373" s="18" t="n"/>
      <c r="P373" s="18" t="n"/>
      <c r="Q373" s="16" t="n"/>
    </row>
    <row r="374">
      <c r="E374" s="20" t="n"/>
      <c r="F374" s="20" t="n"/>
      <c r="G374" s="20" t="n"/>
      <c r="H374" s="16" t="n"/>
      <c r="I374" s="16" t="n"/>
      <c r="J374" s="17" t="n"/>
      <c r="K374" s="17" t="n"/>
      <c r="L374" s="17" t="n"/>
      <c r="M374" s="16" t="n"/>
      <c r="N374" s="16" t="n"/>
      <c r="O374" s="18" t="n"/>
      <c r="P374" s="18" t="n"/>
      <c r="Q374" s="16" t="n"/>
    </row>
    <row r="375">
      <c r="E375" s="20" t="n"/>
      <c r="F375" s="20" t="n"/>
      <c r="G375" s="20" t="n"/>
      <c r="H375" s="16" t="n"/>
      <c r="I375" s="16" t="n"/>
      <c r="J375" s="17" t="n"/>
      <c r="K375" s="17" t="n"/>
      <c r="L375" s="17" t="n"/>
      <c r="M375" s="16" t="n"/>
      <c r="N375" s="16" t="n"/>
      <c r="O375" s="18" t="n"/>
      <c r="P375" s="18" t="n"/>
      <c r="Q375" s="16" t="n"/>
    </row>
    <row r="376">
      <c r="E376" s="20" t="n"/>
      <c r="F376" s="20" t="n"/>
      <c r="G376" s="20" t="n"/>
      <c r="H376" s="16" t="n"/>
      <c r="I376" s="16" t="n"/>
      <c r="J376" s="17" t="n"/>
      <c r="K376" s="17" t="n"/>
      <c r="L376" s="17" t="n"/>
      <c r="M376" s="16" t="n"/>
      <c r="N376" s="16" t="n"/>
      <c r="O376" s="18" t="n"/>
      <c r="P376" s="18" t="n"/>
      <c r="Q376" s="16" t="n"/>
    </row>
    <row r="377">
      <c r="E377" s="20" t="n"/>
      <c r="F377" s="20" t="n"/>
      <c r="G377" s="20" t="n"/>
      <c r="H377" s="16" t="n"/>
      <c r="I377" s="16" t="n"/>
      <c r="J377" s="17" t="n"/>
      <c r="K377" s="17" t="n"/>
      <c r="L377" s="17" t="n"/>
      <c r="M377" s="16" t="n"/>
      <c r="N377" s="16" t="n"/>
      <c r="O377" s="18" t="n"/>
      <c r="P377" s="18" t="n"/>
      <c r="Q377" s="16" t="n"/>
    </row>
    <row r="378">
      <c r="E378" s="20" t="n"/>
      <c r="F378" s="20" t="n"/>
      <c r="G378" s="20" t="n"/>
      <c r="H378" s="16" t="n"/>
      <c r="I378" s="16" t="n"/>
      <c r="J378" s="17" t="n"/>
      <c r="K378" s="17" t="n"/>
      <c r="L378" s="17" t="n"/>
      <c r="M378" s="16" t="n"/>
      <c r="N378" s="16" t="n"/>
      <c r="O378" s="18" t="n"/>
      <c r="P378" s="18" t="n"/>
      <c r="Q378" s="16" t="n"/>
    </row>
    <row r="379">
      <c r="E379" s="20" t="n"/>
      <c r="F379" s="20" t="n"/>
      <c r="G379" s="20" t="n"/>
      <c r="H379" s="16" t="n"/>
      <c r="I379" s="16" t="n"/>
      <c r="J379" s="17" t="n"/>
      <c r="K379" s="17" t="n"/>
      <c r="L379" s="17" t="n"/>
      <c r="M379" s="16" t="n"/>
      <c r="N379" s="16" t="n"/>
      <c r="O379" s="18" t="n"/>
      <c r="P379" s="18" t="n"/>
      <c r="Q379" s="16" t="n"/>
    </row>
    <row r="380">
      <c r="E380" s="20" t="n"/>
      <c r="F380" s="20" t="n"/>
      <c r="G380" s="20" t="n"/>
      <c r="H380" s="16" t="n"/>
      <c r="I380" s="16" t="n"/>
      <c r="J380" s="17" t="n"/>
      <c r="K380" s="17" t="n"/>
      <c r="L380" s="17" t="n"/>
      <c r="M380" s="16" t="n"/>
      <c r="N380" s="16" t="n"/>
      <c r="O380" s="18" t="n"/>
      <c r="P380" s="18" t="n"/>
      <c r="Q380" s="16" t="n"/>
    </row>
    <row r="381">
      <c r="E381" s="20" t="n"/>
      <c r="F381" s="20" t="n"/>
      <c r="G381" s="20" t="n"/>
      <c r="H381" s="16" t="n"/>
      <c r="I381" s="16" t="n"/>
      <c r="J381" s="17" t="n"/>
      <c r="K381" s="17" t="n"/>
      <c r="L381" s="17" t="n"/>
      <c r="M381" s="16" t="n"/>
      <c r="N381" s="16" t="n"/>
      <c r="O381" s="18" t="n"/>
      <c r="P381" s="18" t="n"/>
      <c r="Q381" s="16" t="n"/>
    </row>
    <row r="382">
      <c r="E382" s="20" t="n"/>
      <c r="F382" s="20" t="n"/>
      <c r="G382" s="20" t="n"/>
      <c r="H382" s="16" t="n"/>
      <c r="I382" s="16" t="n"/>
      <c r="J382" s="17" t="n"/>
      <c r="K382" s="17" t="n"/>
      <c r="L382" s="17" t="n"/>
      <c r="M382" s="16" t="n"/>
      <c r="N382" s="16" t="n"/>
      <c r="O382" s="18" t="n"/>
      <c r="P382" s="18" t="n"/>
      <c r="Q382" s="16" t="n"/>
    </row>
    <row r="383">
      <c r="E383" s="20" t="n"/>
      <c r="F383" s="20" t="n"/>
      <c r="G383" s="20" t="n"/>
      <c r="H383" s="16" t="n"/>
      <c r="I383" s="16" t="n"/>
      <c r="J383" s="17" t="n"/>
      <c r="K383" s="17" t="n"/>
      <c r="L383" s="17" t="n"/>
      <c r="M383" s="16" t="n"/>
      <c r="N383" s="16" t="n"/>
      <c r="O383" s="18" t="n"/>
      <c r="P383" s="18" t="n"/>
      <c r="Q383" s="16" t="n"/>
    </row>
    <row r="384">
      <c r="E384" s="20" t="n"/>
      <c r="F384" s="20" t="n"/>
      <c r="G384" s="20" t="n"/>
      <c r="H384" s="16" t="n"/>
      <c r="I384" s="16" t="n"/>
      <c r="J384" s="17" t="n"/>
      <c r="K384" s="17" t="n"/>
      <c r="L384" s="17" t="n"/>
      <c r="M384" s="16" t="n"/>
      <c r="N384" s="16" t="n"/>
      <c r="O384" s="18" t="n"/>
      <c r="P384" s="18" t="n"/>
      <c r="Q384" s="16" t="n"/>
    </row>
    <row r="385">
      <c r="E385" s="20" t="n"/>
      <c r="F385" s="20" t="n"/>
      <c r="G385" s="20" t="n"/>
      <c r="H385" s="16" t="n"/>
      <c r="I385" s="16" t="n"/>
      <c r="J385" s="17" t="n"/>
      <c r="K385" s="17" t="n"/>
      <c r="L385" s="17" t="n"/>
      <c r="M385" s="16" t="n"/>
      <c r="N385" s="16" t="n"/>
      <c r="O385" s="18" t="n"/>
      <c r="P385" s="18" t="n"/>
      <c r="Q385" s="16" t="n"/>
    </row>
    <row r="386">
      <c r="E386" s="20" t="n"/>
      <c r="F386" s="20" t="n"/>
      <c r="G386" s="20" t="n"/>
      <c r="H386" s="16" t="n"/>
      <c r="I386" s="16" t="n"/>
      <c r="J386" s="17" t="n"/>
      <c r="K386" s="17" t="n"/>
      <c r="L386" s="17" t="n"/>
      <c r="M386" s="16" t="n"/>
      <c r="N386" s="16" t="n"/>
      <c r="O386" s="18" t="n"/>
      <c r="P386" s="18" t="n"/>
      <c r="Q386" s="16" t="n"/>
    </row>
    <row r="387">
      <c r="E387" s="20" t="n"/>
      <c r="F387" s="20" t="n"/>
      <c r="G387" s="20" t="n"/>
      <c r="H387" s="16" t="n"/>
      <c r="I387" s="16" t="n"/>
      <c r="J387" s="17" t="n"/>
      <c r="K387" s="17" t="n"/>
      <c r="L387" s="17" t="n"/>
      <c r="M387" s="16" t="n"/>
      <c r="N387" s="16" t="n"/>
      <c r="O387" s="18" t="n"/>
      <c r="P387" s="18" t="n"/>
      <c r="Q387" s="16" t="n"/>
    </row>
    <row r="388">
      <c r="E388" s="20" t="n"/>
      <c r="F388" s="20" t="n"/>
      <c r="G388" s="20" t="n"/>
      <c r="H388" s="16" t="n"/>
      <c r="I388" s="16" t="n"/>
      <c r="J388" s="17" t="n"/>
      <c r="K388" s="17" t="n"/>
      <c r="L388" s="17" t="n"/>
      <c r="M388" s="16" t="n"/>
      <c r="N388" s="16" t="n"/>
      <c r="O388" s="18" t="n"/>
      <c r="P388" s="18" t="n"/>
      <c r="Q388" s="16" t="n"/>
    </row>
    <row r="389">
      <c r="E389" s="20" t="n"/>
      <c r="F389" s="20" t="n"/>
      <c r="G389" s="20" t="n"/>
      <c r="H389" s="16" t="n"/>
      <c r="I389" s="16" t="n"/>
      <c r="J389" s="17" t="n"/>
      <c r="K389" s="17" t="n"/>
      <c r="L389" s="17" t="n"/>
      <c r="M389" s="16" t="n"/>
      <c r="N389" s="16" t="n"/>
      <c r="O389" s="18" t="n"/>
      <c r="P389" s="18" t="n"/>
      <c r="Q389" s="16" t="n"/>
    </row>
    <row r="390">
      <c r="E390" s="20" t="n"/>
      <c r="F390" s="20" t="n"/>
      <c r="G390" s="20" t="n"/>
      <c r="H390" s="16" t="n"/>
      <c r="I390" s="16" t="n"/>
      <c r="J390" s="17" t="n"/>
      <c r="K390" s="17" t="n"/>
      <c r="L390" s="17" t="n"/>
      <c r="M390" s="16" t="n"/>
      <c r="N390" s="16" t="n"/>
      <c r="O390" s="18" t="n"/>
      <c r="P390" s="18" t="n"/>
      <c r="Q390" s="16" t="n"/>
    </row>
    <row r="391">
      <c r="E391" s="20" t="n"/>
      <c r="F391" s="20" t="n"/>
      <c r="G391" s="20" t="n"/>
      <c r="H391" s="16" t="n"/>
      <c r="I391" s="16" t="n"/>
      <c r="J391" s="17" t="n"/>
      <c r="K391" s="17" t="n"/>
      <c r="L391" s="17" t="n"/>
      <c r="M391" s="16" t="n"/>
      <c r="N391" s="16" t="n"/>
      <c r="O391" s="18" t="n"/>
      <c r="P391" s="18" t="n"/>
      <c r="Q391" s="16" t="n"/>
    </row>
    <row r="392">
      <c r="E392" s="20" t="n"/>
      <c r="F392" s="20" t="n"/>
      <c r="G392" s="20" t="n"/>
      <c r="H392" s="16" t="n"/>
      <c r="I392" s="16" t="n"/>
      <c r="J392" s="17" t="n"/>
      <c r="K392" s="17" t="n"/>
      <c r="L392" s="17" t="n"/>
      <c r="M392" s="16" t="n"/>
      <c r="N392" s="16" t="n"/>
      <c r="O392" s="18" t="n"/>
      <c r="P392" s="18" t="n"/>
      <c r="Q392" s="16" t="n"/>
    </row>
    <row r="393">
      <c r="E393" s="20" t="n"/>
      <c r="F393" s="20" t="n"/>
      <c r="G393" s="20" t="n"/>
      <c r="H393" s="16" t="n"/>
      <c r="I393" s="16" t="n"/>
      <c r="J393" s="17" t="n"/>
      <c r="K393" s="17" t="n"/>
      <c r="L393" s="17" t="n"/>
      <c r="M393" s="16" t="n"/>
      <c r="N393" s="16" t="n"/>
      <c r="O393" s="18" t="n"/>
      <c r="P393" s="18" t="n"/>
      <c r="Q393" s="16" t="n"/>
    </row>
    <row r="394">
      <c r="E394" s="20" t="n"/>
      <c r="F394" s="20" t="n"/>
      <c r="G394" s="20" t="n"/>
      <c r="H394" s="16" t="n"/>
      <c r="I394" s="16" t="n"/>
      <c r="J394" s="17" t="n"/>
      <c r="K394" s="17" t="n"/>
      <c r="L394" s="17" t="n"/>
      <c r="M394" s="16" t="n"/>
      <c r="N394" s="16" t="n"/>
      <c r="O394" s="18" t="n"/>
      <c r="P394" s="18" t="n"/>
      <c r="Q394" s="16" t="n"/>
    </row>
    <row r="395">
      <c r="E395" s="20" t="n"/>
      <c r="F395" s="20" t="n"/>
      <c r="G395" s="20" t="n"/>
      <c r="H395" s="16" t="n"/>
      <c r="I395" s="16" t="n"/>
      <c r="J395" s="17" t="n"/>
      <c r="K395" s="17" t="n"/>
      <c r="L395" s="17" t="n"/>
      <c r="M395" s="16" t="n"/>
      <c r="N395" s="16" t="n"/>
      <c r="O395" s="18" t="n"/>
      <c r="P395" s="18" t="n"/>
      <c r="Q395" s="16" t="n"/>
    </row>
    <row r="396">
      <c r="E396" s="20" t="n"/>
      <c r="F396" s="20" t="n"/>
      <c r="G396" s="20" t="n"/>
      <c r="H396" s="16" t="n"/>
      <c r="I396" s="16" t="n"/>
      <c r="J396" s="17" t="n"/>
      <c r="K396" s="17" t="n"/>
      <c r="L396" s="17" t="n"/>
      <c r="M396" s="16" t="n"/>
      <c r="N396" s="16" t="n"/>
      <c r="O396" s="18" t="n"/>
      <c r="P396" s="18" t="n"/>
      <c r="Q396" s="16" t="n"/>
    </row>
    <row r="397">
      <c r="E397" s="20" t="n"/>
      <c r="F397" s="20" t="n"/>
      <c r="G397" s="20" t="n"/>
      <c r="H397" s="16" t="n"/>
      <c r="I397" s="16" t="n"/>
      <c r="J397" s="17" t="n"/>
      <c r="K397" s="17" t="n"/>
      <c r="L397" s="17" t="n"/>
      <c r="M397" s="16" t="n"/>
      <c r="N397" s="16" t="n"/>
      <c r="O397" s="18" t="n"/>
      <c r="P397" s="18" t="n"/>
      <c r="Q397" s="16" t="n"/>
    </row>
    <row r="398">
      <c r="E398" s="20" t="n"/>
      <c r="F398" s="20" t="n"/>
      <c r="G398" s="20" t="n"/>
      <c r="H398" s="16" t="n"/>
      <c r="I398" s="16" t="n"/>
      <c r="J398" s="17" t="n"/>
      <c r="K398" s="17" t="n"/>
      <c r="L398" s="17" t="n"/>
      <c r="M398" s="16" t="n"/>
      <c r="N398" s="16" t="n"/>
      <c r="O398" s="18" t="n"/>
      <c r="P398" s="18" t="n"/>
      <c r="Q398" s="16" t="n"/>
    </row>
    <row r="399">
      <c r="E399" s="20" t="n"/>
      <c r="F399" s="20" t="n"/>
      <c r="G399" s="20" t="n"/>
      <c r="H399" s="16" t="n"/>
      <c r="I399" s="16" t="n"/>
      <c r="J399" s="17" t="n"/>
      <c r="K399" s="17" t="n"/>
      <c r="L399" s="17" t="n"/>
      <c r="M399" s="16" t="n"/>
      <c r="N399" s="16" t="n"/>
      <c r="O399" s="18" t="n"/>
      <c r="P399" s="18" t="n"/>
      <c r="Q399" s="16" t="n"/>
    </row>
    <row r="400">
      <c r="E400" s="20" t="n"/>
      <c r="F400" s="20" t="n"/>
      <c r="G400" s="20" t="n"/>
      <c r="H400" s="16" t="n"/>
      <c r="I400" s="16" t="n"/>
      <c r="J400" s="17" t="n"/>
      <c r="K400" s="17" t="n"/>
      <c r="L400" s="17" t="n"/>
      <c r="M400" s="16" t="n"/>
      <c r="N400" s="16" t="n"/>
      <c r="O400" s="18" t="n"/>
      <c r="P400" s="18" t="n"/>
      <c r="Q400" s="16" t="n"/>
    </row>
    <row r="401">
      <c r="E401" s="20" t="n"/>
      <c r="F401" s="20" t="n"/>
      <c r="G401" s="20" t="n"/>
      <c r="H401" s="16" t="n"/>
      <c r="I401" s="16" t="n"/>
      <c r="J401" s="17" t="n"/>
      <c r="K401" s="17" t="n"/>
      <c r="L401" s="17" t="n"/>
      <c r="M401" s="16" t="n"/>
      <c r="N401" s="16" t="n"/>
      <c r="O401" s="18" t="n"/>
      <c r="P401" s="18" t="n"/>
      <c r="Q401" s="16" t="n"/>
    </row>
    <row r="402">
      <c r="E402" s="20" t="n"/>
      <c r="F402" s="20" t="n"/>
      <c r="G402" s="20" t="n"/>
      <c r="H402" s="16" t="n"/>
      <c r="I402" s="16" t="n"/>
      <c r="J402" s="17" t="n"/>
      <c r="K402" s="17" t="n"/>
      <c r="L402" s="17" t="n"/>
      <c r="M402" s="16" t="n"/>
      <c r="N402" s="16" t="n"/>
      <c r="O402" s="18" t="n"/>
      <c r="P402" s="18" t="n"/>
      <c r="Q402" s="16" t="n"/>
    </row>
    <row r="403">
      <c r="E403" s="20" t="n"/>
      <c r="F403" s="20" t="n"/>
      <c r="G403" s="20" t="n"/>
      <c r="H403" s="16" t="n"/>
      <c r="I403" s="16" t="n"/>
      <c r="J403" s="17" t="n"/>
      <c r="K403" s="17" t="n"/>
      <c r="L403" s="17" t="n"/>
      <c r="M403" s="16" t="n"/>
      <c r="N403" s="16" t="n"/>
      <c r="O403" s="18" t="n"/>
      <c r="P403" s="18" t="n"/>
      <c r="Q403" s="16" t="n"/>
    </row>
    <row r="404">
      <c r="E404" s="20" t="n"/>
      <c r="F404" s="20" t="n"/>
      <c r="G404" s="20" t="n"/>
      <c r="H404" s="16" t="n"/>
      <c r="I404" s="16" t="n"/>
      <c r="J404" s="17" t="n"/>
      <c r="K404" s="17" t="n"/>
      <c r="L404" s="17" t="n"/>
      <c r="M404" s="16" t="n"/>
      <c r="N404" s="16" t="n"/>
      <c r="O404" s="18" t="n"/>
      <c r="P404" s="18" t="n"/>
      <c r="Q404" s="16" t="n"/>
    </row>
    <row r="405">
      <c r="E405" s="20" t="n"/>
      <c r="F405" s="20" t="n"/>
      <c r="G405" s="20" t="n"/>
      <c r="H405" s="16" t="n"/>
      <c r="I405" s="16" t="n"/>
      <c r="J405" s="17" t="n"/>
      <c r="K405" s="17" t="n"/>
      <c r="L405" s="17" t="n"/>
      <c r="M405" s="16" t="n"/>
      <c r="N405" s="16" t="n"/>
      <c r="O405" s="18" t="n"/>
      <c r="P405" s="18" t="n"/>
      <c r="Q405" s="16" t="n"/>
    </row>
    <row r="406">
      <c r="E406" s="20" t="n"/>
      <c r="F406" s="20" t="n"/>
      <c r="G406" s="20" t="n"/>
      <c r="H406" s="16" t="n"/>
      <c r="I406" s="16" t="n"/>
      <c r="J406" s="17" t="n"/>
      <c r="K406" s="17" t="n"/>
      <c r="L406" s="17" t="n"/>
      <c r="M406" s="16" t="n"/>
      <c r="N406" s="16" t="n"/>
      <c r="O406" s="18" t="n"/>
      <c r="P406" s="18" t="n"/>
      <c r="Q406" s="16" t="n"/>
    </row>
    <row r="407">
      <c r="E407" s="20" t="n"/>
      <c r="F407" s="20" t="n"/>
      <c r="G407" s="20" t="n"/>
      <c r="H407" s="16" t="n"/>
      <c r="I407" s="16" t="n"/>
      <c r="J407" s="17" t="n"/>
      <c r="K407" s="17" t="n"/>
      <c r="L407" s="17" t="n"/>
      <c r="M407" s="16" t="n"/>
      <c r="N407" s="16" t="n"/>
      <c r="O407" s="18" t="n"/>
      <c r="P407" s="18" t="n"/>
      <c r="Q407" s="16" t="n"/>
    </row>
    <row r="408">
      <c r="E408" s="20" t="n"/>
      <c r="F408" s="20" t="n"/>
      <c r="G408" s="20" t="n"/>
      <c r="H408" s="16" t="n"/>
      <c r="I408" s="16" t="n"/>
      <c r="J408" s="17" t="n"/>
      <c r="K408" s="17" t="n"/>
      <c r="L408" s="17" t="n"/>
      <c r="M408" s="16" t="n"/>
      <c r="N408" s="16" t="n"/>
      <c r="O408" s="18" t="n"/>
      <c r="P408" s="18" t="n"/>
      <c r="Q408" s="16" t="n"/>
    </row>
    <row r="409">
      <c r="E409" s="20" t="n"/>
      <c r="F409" s="20" t="n"/>
      <c r="G409" s="20" t="n"/>
      <c r="H409" s="16" t="n"/>
      <c r="I409" s="16" t="n"/>
      <c r="J409" s="17" t="n"/>
      <c r="K409" s="17" t="n"/>
      <c r="L409" s="17" t="n"/>
      <c r="M409" s="16" t="n"/>
      <c r="N409" s="16" t="n"/>
      <c r="O409" s="18" t="n"/>
      <c r="P409" s="18" t="n"/>
      <c r="Q409" s="16" t="n"/>
    </row>
    <row r="410">
      <c r="E410" s="20" t="n"/>
      <c r="F410" s="20" t="n"/>
      <c r="G410" s="20" t="n"/>
      <c r="H410" s="16" t="n"/>
      <c r="I410" s="16" t="n"/>
      <c r="J410" s="17" t="n"/>
      <c r="K410" s="17" t="n"/>
      <c r="L410" s="17" t="n"/>
      <c r="M410" s="16" t="n"/>
      <c r="N410" s="16" t="n"/>
      <c r="O410" s="18" t="n"/>
      <c r="P410" s="18" t="n"/>
      <c r="Q410" s="16" t="n"/>
    </row>
    <row r="411">
      <c r="E411" s="20" t="n"/>
      <c r="F411" s="20" t="n"/>
      <c r="G411" s="20" t="n"/>
      <c r="H411" s="16" t="n"/>
      <c r="I411" s="16" t="n"/>
      <c r="J411" s="17" t="n"/>
      <c r="K411" s="17" t="n"/>
      <c r="L411" s="17" t="n"/>
      <c r="M411" s="16" t="n"/>
      <c r="N411" s="16" t="n"/>
      <c r="O411" s="18" t="n"/>
      <c r="P411" s="18" t="n"/>
      <c r="Q411" s="16" t="n"/>
    </row>
    <row r="412">
      <c r="E412" s="20" t="n"/>
      <c r="F412" s="20" t="n"/>
      <c r="G412" s="20" t="n"/>
      <c r="H412" s="16" t="n"/>
      <c r="I412" s="16" t="n"/>
      <c r="J412" s="17" t="n"/>
      <c r="K412" s="17" t="n"/>
      <c r="L412" s="17" t="n"/>
      <c r="M412" s="16" t="n"/>
      <c r="N412" s="16" t="n"/>
      <c r="O412" s="18" t="n"/>
      <c r="P412" s="18" t="n"/>
      <c r="Q412" s="16" t="n"/>
    </row>
    <row r="413">
      <c r="E413" s="20" t="n"/>
      <c r="F413" s="20" t="n"/>
      <c r="G413" s="20" t="n"/>
      <c r="H413" s="16" t="n"/>
      <c r="I413" s="16" t="n"/>
      <c r="J413" s="17" t="n"/>
      <c r="K413" s="17" t="n"/>
      <c r="L413" s="17" t="n"/>
      <c r="M413" s="16" t="n"/>
      <c r="N413" s="16" t="n"/>
      <c r="O413" s="18" t="n"/>
      <c r="P413" s="18" t="n"/>
      <c r="Q413" s="16" t="n"/>
    </row>
    <row r="414">
      <c r="E414" s="20" t="n"/>
      <c r="F414" s="20" t="n"/>
      <c r="G414" s="20" t="n"/>
      <c r="H414" s="16" t="n"/>
      <c r="I414" s="16" t="n"/>
      <c r="J414" s="17" t="n"/>
      <c r="K414" s="17" t="n"/>
      <c r="L414" s="17" t="n"/>
      <c r="M414" s="16" t="n"/>
      <c r="N414" s="16" t="n"/>
      <c r="O414" s="18" t="n"/>
      <c r="P414" s="18" t="n"/>
      <c r="Q414" s="16" t="n"/>
    </row>
    <row r="415">
      <c r="E415" s="20" t="n"/>
      <c r="F415" s="20" t="n"/>
      <c r="G415" s="20" t="n"/>
      <c r="H415" s="16" t="n"/>
      <c r="I415" s="16" t="n"/>
      <c r="J415" s="17" t="n"/>
      <c r="K415" s="17" t="n"/>
      <c r="L415" s="17" t="n"/>
      <c r="M415" s="16" t="n"/>
      <c r="N415" s="16" t="n"/>
      <c r="O415" s="18" t="n"/>
      <c r="P415" s="18" t="n"/>
      <c r="Q415" s="16" t="n"/>
    </row>
    <row r="416">
      <c r="E416" s="20" t="n"/>
      <c r="F416" s="20" t="n"/>
      <c r="G416" s="20" t="n"/>
      <c r="H416" s="16" t="n"/>
      <c r="I416" s="16" t="n"/>
      <c r="J416" s="17" t="n"/>
      <c r="K416" s="17" t="n"/>
      <c r="L416" s="17" t="n"/>
      <c r="M416" s="16" t="n"/>
      <c r="N416" s="16" t="n"/>
      <c r="O416" s="18" t="n"/>
      <c r="P416" s="18" t="n"/>
      <c r="Q416" s="16" t="n"/>
    </row>
    <row r="417">
      <c r="E417" s="20" t="n"/>
      <c r="F417" s="20" t="n"/>
      <c r="G417" s="20" t="n"/>
      <c r="H417" s="16" t="n"/>
      <c r="I417" s="16" t="n"/>
      <c r="J417" s="17" t="n"/>
      <c r="K417" s="17" t="n"/>
      <c r="L417" s="17" t="n"/>
      <c r="M417" s="16" t="n"/>
      <c r="N417" s="16" t="n"/>
      <c r="O417" s="18" t="n"/>
      <c r="P417" s="18" t="n"/>
      <c r="Q417" s="16" t="n"/>
    </row>
    <row r="418">
      <c r="E418" s="20" t="n"/>
      <c r="F418" s="20" t="n"/>
      <c r="G418" s="20" t="n"/>
      <c r="H418" s="16" t="n"/>
      <c r="I418" s="16" t="n"/>
      <c r="J418" s="17" t="n"/>
      <c r="K418" s="17" t="n"/>
      <c r="L418" s="17" t="n"/>
      <c r="M418" s="16" t="n"/>
      <c r="N418" s="16" t="n"/>
      <c r="O418" s="18" t="n"/>
      <c r="P418" s="18" t="n"/>
      <c r="Q418" s="16" t="n"/>
    </row>
    <row r="419">
      <c r="E419" s="20" t="n"/>
      <c r="F419" s="20" t="n"/>
      <c r="G419" s="20" t="n"/>
      <c r="H419" s="16" t="n"/>
      <c r="I419" s="16" t="n"/>
      <c r="J419" s="17" t="n"/>
      <c r="K419" s="17" t="n"/>
      <c r="L419" s="17" t="n"/>
      <c r="M419" s="16" t="n"/>
      <c r="N419" s="16" t="n"/>
      <c r="O419" s="18" t="n"/>
      <c r="P419" s="18" t="n"/>
      <c r="Q419" s="16" t="n"/>
    </row>
    <row r="420">
      <c r="E420" s="20" t="n"/>
      <c r="F420" s="20" t="n"/>
      <c r="G420" s="20" t="n"/>
      <c r="H420" s="16" t="n"/>
      <c r="I420" s="16" t="n"/>
      <c r="J420" s="17" t="n"/>
      <c r="K420" s="17" t="n"/>
      <c r="L420" s="17" t="n"/>
      <c r="M420" s="16" t="n"/>
      <c r="N420" s="16" t="n"/>
      <c r="O420" s="18" t="n"/>
      <c r="P420" s="18" t="n"/>
      <c r="Q420" s="16" t="n"/>
    </row>
    <row r="421">
      <c r="E421" s="20" t="n"/>
      <c r="F421" s="20" t="n"/>
      <c r="G421" s="20" t="n"/>
      <c r="H421" s="16" t="n"/>
      <c r="I421" s="16" t="n"/>
      <c r="J421" s="17" t="n"/>
      <c r="K421" s="17" t="n"/>
      <c r="L421" s="17" t="n"/>
      <c r="M421" s="16" t="n"/>
      <c r="N421" s="16" t="n"/>
      <c r="O421" s="18" t="n"/>
      <c r="P421" s="18" t="n"/>
      <c r="Q421" s="16" t="n"/>
    </row>
    <row r="422">
      <c r="E422" s="20" t="n"/>
      <c r="F422" s="20" t="n"/>
      <c r="G422" s="20" t="n"/>
      <c r="H422" s="16" t="n"/>
      <c r="I422" s="16" t="n"/>
      <c r="J422" s="17" t="n"/>
      <c r="K422" s="17" t="n"/>
      <c r="L422" s="17" t="n"/>
      <c r="M422" s="16" t="n"/>
      <c r="N422" s="16" t="n"/>
      <c r="O422" s="18" t="n"/>
      <c r="P422" s="18" t="n"/>
      <c r="Q422" s="16" t="n"/>
    </row>
    <row r="423">
      <c r="E423" s="20" t="n"/>
      <c r="F423" s="20" t="n"/>
      <c r="G423" s="20" t="n"/>
      <c r="H423" s="16" t="n"/>
      <c r="I423" s="16" t="n"/>
      <c r="J423" s="17" t="n"/>
      <c r="K423" s="17" t="n"/>
      <c r="L423" s="17" t="n"/>
      <c r="M423" s="16" t="n"/>
      <c r="N423" s="16" t="n"/>
      <c r="O423" s="18" t="n"/>
      <c r="P423" s="18" t="n"/>
      <c r="Q423" s="16" t="n"/>
    </row>
    <row r="424">
      <c r="E424" s="20" t="n"/>
      <c r="F424" s="20" t="n"/>
      <c r="G424" s="20" t="n"/>
      <c r="H424" s="16" t="n"/>
      <c r="I424" s="16" t="n"/>
      <c r="J424" s="17" t="n"/>
      <c r="K424" s="17" t="n"/>
      <c r="L424" s="17" t="n"/>
      <c r="M424" s="16" t="n"/>
      <c r="N424" s="16" t="n"/>
      <c r="O424" s="18" t="n"/>
      <c r="P424" s="18" t="n"/>
      <c r="Q424" s="16" t="n"/>
    </row>
    <row r="425">
      <c r="E425" s="20" t="n"/>
      <c r="F425" s="20" t="n"/>
      <c r="G425" s="20" t="n"/>
      <c r="H425" s="16" t="n"/>
      <c r="I425" s="16" t="n"/>
      <c r="J425" s="17" t="n"/>
      <c r="K425" s="17" t="n"/>
      <c r="L425" s="17" t="n"/>
      <c r="M425" s="16" t="n"/>
      <c r="N425" s="16" t="n"/>
      <c r="O425" s="18" t="n"/>
      <c r="P425" s="18" t="n"/>
      <c r="Q425" s="16" t="n"/>
    </row>
    <row r="426">
      <c r="E426" s="20" t="n"/>
      <c r="F426" s="20" t="n"/>
      <c r="G426" s="20" t="n"/>
      <c r="H426" s="16" t="n"/>
      <c r="I426" s="16" t="n"/>
      <c r="J426" s="17" t="n"/>
      <c r="K426" s="17" t="n"/>
      <c r="L426" s="17" t="n"/>
      <c r="M426" s="16" t="n"/>
      <c r="N426" s="16" t="n"/>
      <c r="O426" s="18" t="n"/>
      <c r="P426" s="18" t="n"/>
      <c r="Q426" s="16" t="n"/>
    </row>
    <row r="427">
      <c r="E427" s="20" t="n"/>
      <c r="F427" s="20" t="n"/>
      <c r="G427" s="20" t="n"/>
      <c r="H427" s="16" t="n"/>
      <c r="I427" s="16" t="n"/>
      <c r="J427" s="17" t="n"/>
      <c r="K427" s="17" t="n"/>
      <c r="L427" s="17" t="n"/>
      <c r="M427" s="16" t="n"/>
      <c r="N427" s="16" t="n"/>
      <c r="O427" s="18" t="n"/>
      <c r="P427" s="18" t="n"/>
      <c r="Q427" s="16" t="n"/>
    </row>
    <row r="428">
      <c r="E428" s="20" t="n"/>
      <c r="F428" s="20" t="n"/>
      <c r="G428" s="20" t="n"/>
      <c r="H428" s="16" t="n"/>
      <c r="I428" s="16" t="n"/>
      <c r="J428" s="17" t="n"/>
      <c r="K428" s="17" t="n"/>
      <c r="L428" s="17" t="n"/>
      <c r="M428" s="16" t="n"/>
      <c r="N428" s="16" t="n"/>
      <c r="O428" s="18" t="n"/>
      <c r="P428" s="18" t="n"/>
      <c r="Q428" s="16" t="n"/>
    </row>
    <row r="429">
      <c r="E429" s="20" t="n"/>
      <c r="F429" s="20" t="n"/>
      <c r="G429" s="20" t="n"/>
      <c r="H429" s="16" t="n"/>
      <c r="I429" s="16" t="n"/>
      <c r="J429" s="17" t="n"/>
      <c r="K429" s="17" t="n"/>
      <c r="L429" s="17" t="n"/>
      <c r="M429" s="16" t="n"/>
      <c r="N429" s="16" t="n"/>
      <c r="O429" s="18" t="n"/>
      <c r="P429" s="18" t="n"/>
      <c r="Q429" s="16" t="n"/>
    </row>
    <row r="430">
      <c r="E430" s="20" t="n"/>
      <c r="F430" s="20" t="n"/>
      <c r="G430" s="20" t="n"/>
      <c r="H430" s="16" t="n"/>
      <c r="I430" s="16" t="n"/>
      <c r="J430" s="17" t="n"/>
      <c r="K430" s="17" t="n"/>
      <c r="L430" s="17" t="n"/>
      <c r="M430" s="16" t="n"/>
      <c r="N430" s="16" t="n"/>
      <c r="O430" s="18" t="n"/>
      <c r="P430" s="18" t="n"/>
      <c r="Q430" s="16" t="n"/>
    </row>
    <row r="431">
      <c r="E431" s="20" t="n"/>
      <c r="F431" s="20" t="n"/>
      <c r="G431" s="20" t="n"/>
      <c r="H431" s="16" t="n"/>
      <c r="I431" s="16" t="n"/>
      <c r="J431" s="17" t="n"/>
      <c r="K431" s="17" t="n"/>
      <c r="L431" s="17" t="n"/>
      <c r="M431" s="16" t="n"/>
      <c r="N431" s="16" t="n"/>
      <c r="O431" s="18" t="n"/>
      <c r="P431" s="18" t="n"/>
      <c r="Q431" s="16" t="n"/>
    </row>
    <row r="432">
      <c r="E432" s="20" t="n"/>
      <c r="F432" s="20" t="n"/>
      <c r="G432" s="20" t="n"/>
      <c r="H432" s="16" t="n"/>
      <c r="I432" s="16" t="n"/>
      <c r="J432" s="17" t="n"/>
      <c r="K432" s="17" t="n"/>
      <c r="L432" s="17" t="n"/>
      <c r="M432" s="16" t="n"/>
      <c r="N432" s="16" t="n"/>
      <c r="O432" s="18" t="n"/>
      <c r="P432" s="18" t="n"/>
      <c r="Q432" s="16" t="n"/>
    </row>
    <row r="433">
      <c r="E433" s="20" t="n"/>
      <c r="F433" s="20" t="n"/>
      <c r="G433" s="20" t="n"/>
      <c r="H433" s="16" t="n"/>
      <c r="I433" s="16" t="n"/>
      <c r="J433" s="17" t="n"/>
      <c r="K433" s="17" t="n"/>
      <c r="L433" s="17" t="n"/>
      <c r="M433" s="16" t="n"/>
      <c r="N433" s="16" t="n"/>
      <c r="O433" s="18" t="n"/>
      <c r="P433" s="18" t="n"/>
      <c r="Q433" s="16" t="n"/>
    </row>
    <row r="434">
      <c r="E434" s="20" t="n"/>
      <c r="F434" s="20" t="n"/>
      <c r="G434" s="20" t="n"/>
      <c r="H434" s="16" t="n"/>
      <c r="I434" s="16" t="n"/>
      <c r="J434" s="17" t="n"/>
      <c r="K434" s="17" t="n"/>
      <c r="L434" s="17" t="n"/>
      <c r="M434" s="16" t="n"/>
      <c r="N434" s="16" t="n"/>
      <c r="O434" s="18" t="n"/>
      <c r="P434" s="18" t="n"/>
      <c r="Q434" s="16" t="n"/>
    </row>
    <row r="435">
      <c r="E435" s="20" t="n"/>
      <c r="F435" s="20" t="n"/>
      <c r="G435" s="20" t="n"/>
      <c r="H435" s="16" t="n"/>
      <c r="I435" s="16" t="n"/>
      <c r="J435" s="17" t="n"/>
      <c r="K435" s="17" t="n"/>
      <c r="L435" s="17" t="n"/>
      <c r="M435" s="16" t="n"/>
      <c r="N435" s="16" t="n"/>
      <c r="O435" s="18" t="n"/>
      <c r="P435" s="18" t="n"/>
      <c r="Q435" s="16" t="n"/>
    </row>
    <row r="436">
      <c r="E436" s="20" t="n"/>
      <c r="F436" s="20" t="n"/>
      <c r="G436" s="20" t="n"/>
      <c r="H436" s="16" t="n"/>
      <c r="I436" s="16" t="n"/>
      <c r="J436" s="17" t="n"/>
      <c r="K436" s="17" t="n"/>
      <c r="L436" s="17" t="n"/>
      <c r="M436" s="16" t="n"/>
      <c r="N436" s="16" t="n"/>
      <c r="O436" s="18" t="n"/>
      <c r="P436" s="18" t="n"/>
      <c r="Q436" s="16" t="n"/>
    </row>
    <row r="437">
      <c r="E437" s="20" t="n"/>
      <c r="F437" s="20" t="n"/>
      <c r="G437" s="20" t="n"/>
      <c r="H437" s="16" t="n"/>
      <c r="I437" s="16" t="n"/>
      <c r="J437" s="17" t="n"/>
      <c r="K437" s="17" t="n"/>
      <c r="L437" s="17" t="n"/>
      <c r="M437" s="16" t="n"/>
      <c r="N437" s="16" t="n"/>
      <c r="O437" s="18" t="n"/>
      <c r="P437" s="18" t="n"/>
      <c r="Q437" s="16" t="n"/>
    </row>
    <row r="438">
      <c r="E438" s="20" t="n"/>
      <c r="F438" s="20" t="n"/>
      <c r="G438" s="20" t="n"/>
      <c r="H438" s="16" t="n"/>
      <c r="I438" s="16" t="n"/>
      <c r="J438" s="17" t="n"/>
      <c r="K438" s="17" t="n"/>
      <c r="L438" s="17" t="n"/>
      <c r="M438" s="16" t="n"/>
      <c r="N438" s="16" t="n"/>
      <c r="O438" s="18" t="n"/>
      <c r="P438" s="18" t="n"/>
      <c r="Q438" s="16" t="n"/>
    </row>
    <row r="439">
      <c r="E439" s="20" t="n"/>
      <c r="F439" s="20" t="n"/>
      <c r="G439" s="20" t="n"/>
      <c r="H439" s="16" t="n"/>
      <c r="I439" s="16" t="n"/>
      <c r="J439" s="17" t="n"/>
      <c r="K439" s="17" t="n"/>
      <c r="L439" s="17" t="n"/>
      <c r="M439" s="16" t="n"/>
      <c r="N439" s="16" t="n"/>
      <c r="O439" s="18" t="n"/>
      <c r="P439" s="18" t="n"/>
      <c r="Q439" s="16" t="n"/>
    </row>
    <row r="440">
      <c r="E440" s="20" t="n"/>
      <c r="F440" s="20" t="n"/>
      <c r="G440" s="20" t="n"/>
      <c r="H440" s="16" t="n"/>
      <c r="I440" s="16" t="n"/>
      <c r="J440" s="17" t="n"/>
      <c r="K440" s="17" t="n"/>
      <c r="L440" s="17" t="n"/>
      <c r="M440" s="16" t="n"/>
      <c r="N440" s="16" t="n"/>
      <c r="O440" s="18" t="n"/>
      <c r="P440" s="18" t="n"/>
      <c r="Q440" s="16" t="n"/>
    </row>
    <row r="441">
      <c r="E441" s="20" t="n"/>
      <c r="F441" s="20" t="n"/>
      <c r="G441" s="20" t="n"/>
      <c r="H441" s="16" t="n"/>
      <c r="I441" s="16" t="n"/>
      <c r="J441" s="17" t="n"/>
      <c r="K441" s="17" t="n"/>
      <c r="L441" s="17" t="n"/>
      <c r="M441" s="16" t="n"/>
      <c r="N441" s="16" t="n"/>
      <c r="O441" s="18" t="n"/>
      <c r="P441" s="18" t="n"/>
      <c r="Q441" s="16" t="n"/>
    </row>
    <row r="442">
      <c r="E442" s="20" t="n"/>
      <c r="F442" s="20" t="n"/>
      <c r="G442" s="20" t="n"/>
      <c r="H442" s="16" t="n"/>
      <c r="I442" s="16" t="n"/>
      <c r="J442" s="17" t="n"/>
      <c r="K442" s="17" t="n"/>
      <c r="L442" s="17" t="n"/>
      <c r="M442" s="16" t="n"/>
      <c r="N442" s="16" t="n"/>
      <c r="O442" s="18" t="n"/>
      <c r="P442" s="18" t="n"/>
      <c r="Q442" s="16" t="n"/>
    </row>
    <row r="443">
      <c r="E443" s="20" t="n"/>
      <c r="F443" s="20" t="n"/>
      <c r="G443" s="20" t="n"/>
      <c r="H443" s="16" t="n"/>
      <c r="I443" s="16" t="n"/>
      <c r="J443" s="17" t="n"/>
      <c r="K443" s="17" t="n"/>
      <c r="L443" s="17" t="n"/>
      <c r="M443" s="16" t="n"/>
      <c r="N443" s="16" t="n"/>
      <c r="O443" s="18" t="n"/>
      <c r="P443" s="18" t="n"/>
      <c r="Q443" s="16" t="n"/>
    </row>
    <row r="444">
      <c r="E444" s="20" t="n"/>
      <c r="F444" s="20" t="n"/>
      <c r="G444" s="20" t="n"/>
      <c r="H444" s="16" t="n"/>
      <c r="I444" s="16" t="n"/>
      <c r="J444" s="17" t="n"/>
      <c r="K444" s="17" t="n"/>
      <c r="L444" s="17" t="n"/>
      <c r="M444" s="16" t="n"/>
      <c r="N444" s="16" t="n"/>
      <c r="O444" s="18" t="n"/>
      <c r="P444" s="18" t="n"/>
      <c r="Q444" s="16" t="n"/>
    </row>
    <row r="445">
      <c r="E445" s="20" t="n"/>
      <c r="F445" s="20" t="n"/>
      <c r="G445" s="20" t="n"/>
      <c r="H445" s="16" t="n"/>
      <c r="I445" s="16" t="n"/>
      <c r="J445" s="17" t="n"/>
      <c r="K445" s="17" t="n"/>
      <c r="L445" s="17" t="n"/>
      <c r="M445" s="16" t="n"/>
      <c r="N445" s="16" t="n"/>
      <c r="O445" s="18" t="n"/>
      <c r="P445" s="18" t="n"/>
      <c r="Q445" s="16" t="n"/>
    </row>
    <row r="446">
      <c r="E446" s="20" t="n"/>
      <c r="F446" s="20" t="n"/>
      <c r="G446" s="20" t="n"/>
      <c r="H446" s="16" t="n"/>
      <c r="I446" s="16" t="n"/>
      <c r="J446" s="17" t="n"/>
      <c r="K446" s="17" t="n"/>
      <c r="L446" s="17" t="n"/>
      <c r="M446" s="16" t="n"/>
      <c r="N446" s="16" t="n"/>
      <c r="O446" s="18" t="n"/>
      <c r="P446" s="18" t="n"/>
      <c r="Q446" s="16" t="n"/>
    </row>
    <row r="447">
      <c r="E447" s="20" t="n"/>
      <c r="F447" s="20" t="n"/>
      <c r="G447" s="20" t="n"/>
      <c r="H447" s="16" t="n"/>
      <c r="I447" s="16" t="n"/>
      <c r="J447" s="17" t="n"/>
      <c r="K447" s="17" t="n"/>
      <c r="L447" s="17" t="n"/>
      <c r="M447" s="16" t="n"/>
      <c r="N447" s="16" t="n"/>
      <c r="O447" s="18" t="n"/>
      <c r="P447" s="18" t="n"/>
      <c r="Q447" s="16" t="n"/>
    </row>
    <row r="448">
      <c r="E448" s="20" t="n"/>
      <c r="F448" s="20" t="n"/>
      <c r="G448" s="20" t="n"/>
      <c r="H448" s="16" t="n"/>
      <c r="I448" s="16" t="n"/>
      <c r="J448" s="17" t="n"/>
      <c r="K448" s="17" t="n"/>
      <c r="L448" s="17" t="n"/>
      <c r="M448" s="16" t="n"/>
      <c r="N448" s="16" t="n"/>
      <c r="O448" s="18" t="n"/>
      <c r="P448" s="18" t="n"/>
      <c r="Q448" s="16" t="n"/>
    </row>
    <row r="449">
      <c r="E449" s="20" t="n"/>
      <c r="F449" s="20" t="n"/>
      <c r="G449" s="20" t="n"/>
      <c r="H449" s="16" t="n"/>
      <c r="I449" s="16" t="n"/>
      <c r="J449" s="17" t="n"/>
      <c r="K449" s="17" t="n"/>
      <c r="L449" s="17" t="n"/>
      <c r="M449" s="16" t="n"/>
      <c r="N449" s="16" t="n"/>
      <c r="O449" s="18" t="n"/>
      <c r="P449" s="18" t="n"/>
      <c r="Q449" s="16" t="n"/>
    </row>
    <row r="450">
      <c r="E450" s="20" t="n"/>
      <c r="F450" s="20" t="n"/>
      <c r="G450" s="20" t="n"/>
      <c r="H450" s="16" t="n"/>
      <c r="I450" s="16" t="n"/>
      <c r="J450" s="17" t="n"/>
      <c r="K450" s="17" t="n"/>
      <c r="L450" s="17" t="n"/>
      <c r="M450" s="16" t="n"/>
      <c r="N450" s="16" t="n"/>
      <c r="O450" s="18" t="n"/>
      <c r="P450" s="18" t="n"/>
      <c r="Q450" s="16" t="n"/>
    </row>
    <row r="451">
      <c r="E451" s="20" t="n"/>
      <c r="F451" s="20" t="n"/>
      <c r="G451" s="20" t="n"/>
      <c r="H451" s="16" t="n"/>
      <c r="I451" s="16" t="n"/>
      <c r="J451" s="17" t="n"/>
      <c r="K451" s="17" t="n"/>
      <c r="L451" s="17" t="n"/>
      <c r="M451" s="16" t="n"/>
      <c r="N451" s="16" t="n"/>
      <c r="O451" s="18" t="n"/>
      <c r="P451" s="18" t="n"/>
      <c r="Q451" s="16" t="n"/>
    </row>
    <row r="452">
      <c r="E452" s="20" t="n"/>
      <c r="F452" s="20" t="n"/>
      <c r="G452" s="20" t="n"/>
      <c r="H452" s="16" t="n"/>
      <c r="I452" s="16" t="n"/>
      <c r="J452" s="17" t="n"/>
      <c r="K452" s="17" t="n"/>
      <c r="L452" s="17" t="n"/>
      <c r="M452" s="16" t="n"/>
      <c r="N452" s="16" t="n"/>
      <c r="O452" s="18" t="n"/>
      <c r="P452" s="18" t="n"/>
      <c r="Q452" s="16" t="n"/>
    </row>
    <row r="453">
      <c r="E453" s="20" t="n"/>
      <c r="F453" s="20" t="n"/>
      <c r="G453" s="20" t="n"/>
      <c r="H453" s="16" t="n"/>
      <c r="I453" s="16" t="n"/>
      <c r="J453" s="17" t="n"/>
      <c r="K453" s="17" t="n"/>
      <c r="L453" s="17" t="n"/>
      <c r="M453" s="16" t="n"/>
      <c r="N453" s="16" t="n"/>
      <c r="O453" s="18" t="n"/>
      <c r="P453" s="18" t="n"/>
      <c r="Q453" s="16" t="n"/>
    </row>
    <row r="454">
      <c r="E454" s="20" t="n"/>
      <c r="F454" s="20" t="n"/>
      <c r="G454" s="20" t="n"/>
      <c r="H454" s="16" t="n"/>
      <c r="I454" s="16" t="n"/>
      <c r="J454" s="17" t="n"/>
      <c r="K454" s="17" t="n"/>
      <c r="L454" s="17" t="n"/>
      <c r="M454" s="16" t="n"/>
      <c r="N454" s="16" t="n"/>
      <c r="O454" s="18" t="n"/>
      <c r="P454" s="18" t="n"/>
      <c r="Q454" s="16" t="n"/>
    </row>
    <row r="455">
      <c r="E455" s="20" t="n"/>
      <c r="F455" s="20" t="n"/>
      <c r="G455" s="20" t="n"/>
      <c r="H455" s="16" t="n"/>
      <c r="I455" s="16" t="n"/>
      <c r="J455" s="17" t="n"/>
      <c r="K455" s="17" t="n"/>
      <c r="L455" s="17" t="n"/>
      <c r="M455" s="16" t="n"/>
      <c r="N455" s="16" t="n"/>
      <c r="O455" s="18" t="n"/>
      <c r="P455" s="18" t="n"/>
      <c r="Q455" s="16" t="n"/>
    </row>
    <row r="456">
      <c r="E456" s="20" t="n"/>
      <c r="F456" s="20" t="n"/>
      <c r="G456" s="20" t="n"/>
      <c r="H456" s="16" t="n"/>
      <c r="I456" s="16" t="n"/>
      <c r="J456" s="17" t="n"/>
      <c r="K456" s="17" t="n"/>
      <c r="L456" s="17" t="n"/>
      <c r="M456" s="16" t="n"/>
      <c r="N456" s="16" t="n"/>
      <c r="O456" s="18" t="n"/>
      <c r="P456" s="18" t="n"/>
      <c r="Q456" s="16" t="n"/>
    </row>
    <row r="457">
      <c r="E457" s="20" t="n"/>
      <c r="F457" s="20" t="n"/>
      <c r="G457" s="20" t="n"/>
      <c r="H457" s="16" t="n"/>
      <c r="I457" s="16" t="n"/>
      <c r="J457" s="17" t="n"/>
      <c r="K457" s="17" t="n"/>
      <c r="L457" s="17" t="n"/>
      <c r="M457" s="16" t="n"/>
      <c r="N457" s="16" t="n"/>
      <c r="O457" s="18" t="n"/>
      <c r="P457" s="18" t="n"/>
      <c r="Q457" s="16" t="n"/>
    </row>
    <row r="458">
      <c r="E458" s="20" t="n"/>
      <c r="F458" s="20" t="n"/>
      <c r="G458" s="20" t="n"/>
      <c r="H458" s="16" t="n"/>
      <c r="I458" s="16" t="n"/>
      <c r="J458" s="17" t="n"/>
      <c r="K458" s="17" t="n"/>
      <c r="L458" s="17" t="n"/>
      <c r="M458" s="16" t="n"/>
      <c r="N458" s="16" t="n"/>
      <c r="O458" s="18" t="n"/>
      <c r="P458" s="18" t="n"/>
      <c r="Q458" s="16" t="n"/>
    </row>
    <row r="459">
      <c r="E459" s="20" t="n"/>
      <c r="F459" s="20" t="n"/>
      <c r="G459" s="20" t="n"/>
      <c r="H459" s="16" t="n"/>
      <c r="I459" s="16" t="n"/>
      <c r="J459" s="17" t="n"/>
      <c r="K459" s="17" t="n"/>
      <c r="L459" s="17" t="n"/>
      <c r="M459" s="16" t="n"/>
      <c r="N459" s="16" t="n"/>
      <c r="O459" s="18" t="n"/>
      <c r="P459" s="18" t="n"/>
      <c r="Q459" s="16" t="n"/>
    </row>
    <row r="460">
      <c r="E460" s="20" t="n"/>
      <c r="F460" s="20" t="n"/>
      <c r="G460" s="20" t="n"/>
      <c r="H460" s="16" t="n"/>
      <c r="I460" s="16" t="n"/>
      <c r="J460" s="17" t="n"/>
      <c r="K460" s="17" t="n"/>
      <c r="L460" s="17" t="n"/>
      <c r="M460" s="16" t="n"/>
      <c r="N460" s="16" t="n"/>
      <c r="O460" s="18" t="n"/>
      <c r="P460" s="18" t="n"/>
      <c r="Q460" s="16" t="n"/>
    </row>
    <row r="461">
      <c r="E461" s="20" t="n"/>
      <c r="F461" s="20" t="n"/>
      <c r="G461" s="20" t="n"/>
      <c r="H461" s="16" t="n"/>
      <c r="I461" s="16" t="n"/>
      <c r="J461" s="17" t="n"/>
      <c r="K461" s="17" t="n"/>
      <c r="L461" s="17" t="n"/>
      <c r="M461" s="16" t="n"/>
      <c r="N461" s="16" t="n"/>
      <c r="O461" s="18" t="n"/>
      <c r="P461" s="18" t="n"/>
      <c r="Q461" s="16" t="n"/>
    </row>
    <row r="462">
      <c r="E462" s="20" t="n"/>
      <c r="F462" s="20" t="n"/>
      <c r="G462" s="20" t="n"/>
      <c r="H462" s="16" t="n"/>
      <c r="I462" s="16" t="n"/>
      <c r="J462" s="17" t="n"/>
      <c r="K462" s="17" t="n"/>
      <c r="L462" s="17" t="n"/>
      <c r="M462" s="16" t="n"/>
      <c r="N462" s="16" t="n"/>
      <c r="O462" s="18" t="n"/>
      <c r="P462" s="18" t="n"/>
      <c r="Q462" s="16" t="n"/>
    </row>
    <row r="463">
      <c r="E463" s="20" t="n"/>
      <c r="F463" s="20" t="n"/>
      <c r="G463" s="20" t="n"/>
      <c r="H463" s="16" t="n"/>
      <c r="I463" s="16" t="n"/>
      <c r="J463" s="17" t="n"/>
      <c r="K463" s="17" t="n"/>
      <c r="L463" s="17" t="n"/>
      <c r="M463" s="16" t="n"/>
      <c r="N463" s="16" t="n"/>
      <c r="O463" s="18" t="n"/>
      <c r="P463" s="18" t="n"/>
      <c r="Q463" s="16" t="n"/>
    </row>
    <row r="464">
      <c r="E464" s="20" t="n"/>
      <c r="F464" s="20" t="n"/>
      <c r="G464" s="20" t="n"/>
      <c r="H464" s="16" t="n"/>
      <c r="I464" s="16" t="n"/>
      <c r="J464" s="17" t="n"/>
      <c r="K464" s="17" t="n"/>
      <c r="L464" s="17" t="n"/>
      <c r="M464" s="16" t="n"/>
      <c r="N464" s="16" t="n"/>
      <c r="O464" s="18" t="n"/>
      <c r="P464" s="18" t="n"/>
      <c r="Q464" s="16" t="n"/>
    </row>
    <row r="465">
      <c r="E465" s="20" t="n"/>
      <c r="F465" s="20" t="n"/>
      <c r="G465" s="20" t="n"/>
      <c r="H465" s="16" t="n"/>
      <c r="I465" s="16" t="n"/>
      <c r="J465" s="17" t="n"/>
      <c r="K465" s="17" t="n"/>
      <c r="L465" s="17" t="n"/>
      <c r="M465" s="16" t="n"/>
      <c r="N465" s="16" t="n"/>
      <c r="O465" s="18" t="n"/>
      <c r="P465" s="18" t="n"/>
      <c r="Q465" s="16" t="n"/>
    </row>
    <row r="466">
      <c r="E466" s="20" t="n"/>
      <c r="F466" s="20" t="n"/>
      <c r="G466" s="20" t="n"/>
      <c r="H466" s="16" t="n"/>
      <c r="I466" s="16" t="n"/>
      <c r="J466" s="17" t="n"/>
      <c r="K466" s="17" t="n"/>
      <c r="L466" s="17" t="n"/>
      <c r="M466" s="16" t="n"/>
      <c r="N466" s="16" t="n"/>
      <c r="O466" s="18" t="n"/>
      <c r="P466" s="18" t="n"/>
      <c r="Q466" s="16" t="n"/>
    </row>
    <row r="467">
      <c r="E467" s="20" t="n"/>
      <c r="F467" s="20" t="n"/>
      <c r="G467" s="20" t="n"/>
      <c r="H467" s="16" t="n"/>
      <c r="I467" s="16" t="n"/>
      <c r="J467" s="17" t="n"/>
      <c r="K467" s="17" t="n"/>
      <c r="L467" s="17" t="n"/>
      <c r="M467" s="16" t="n"/>
      <c r="N467" s="16" t="n"/>
      <c r="O467" s="18" t="n"/>
      <c r="P467" s="18" t="n"/>
      <c r="Q467" s="16" t="n"/>
    </row>
    <row r="468">
      <c r="E468" s="20" t="n"/>
      <c r="F468" s="20" t="n"/>
      <c r="G468" s="20" t="n"/>
      <c r="H468" s="16" t="n"/>
      <c r="I468" s="16" t="n"/>
      <c r="J468" s="17" t="n"/>
      <c r="K468" s="17" t="n"/>
      <c r="L468" s="17" t="n"/>
      <c r="M468" s="16" t="n"/>
      <c r="N468" s="16" t="n"/>
      <c r="O468" s="18" t="n"/>
      <c r="P468" s="18" t="n"/>
      <c r="Q468" s="16" t="n"/>
    </row>
    <row r="469">
      <c r="E469" s="20" t="n"/>
      <c r="F469" s="20" t="n"/>
      <c r="G469" s="20" t="n"/>
      <c r="H469" s="16" t="n"/>
      <c r="I469" s="16" t="n"/>
      <c r="J469" s="17" t="n"/>
      <c r="K469" s="17" t="n"/>
      <c r="L469" s="17" t="n"/>
      <c r="M469" s="16" t="n"/>
      <c r="N469" s="16" t="n"/>
      <c r="O469" s="18" t="n"/>
      <c r="P469" s="18" t="n"/>
      <c r="Q469" s="16" t="n"/>
    </row>
    <row r="470">
      <c r="E470" s="20" t="n"/>
      <c r="F470" s="20" t="n"/>
      <c r="G470" s="20" t="n"/>
      <c r="H470" s="16" t="n"/>
      <c r="I470" s="16" t="n"/>
      <c r="J470" s="17" t="n"/>
      <c r="K470" s="17" t="n"/>
      <c r="L470" s="17" t="n"/>
      <c r="M470" s="16" t="n"/>
      <c r="N470" s="16" t="n"/>
      <c r="O470" s="18" t="n"/>
      <c r="P470" s="18" t="n"/>
      <c r="Q470" s="16" t="n"/>
    </row>
    <row r="471">
      <c r="E471" s="20" t="n"/>
      <c r="F471" s="20" t="n"/>
      <c r="G471" s="20" t="n"/>
      <c r="H471" s="16" t="n"/>
      <c r="I471" s="16" t="n"/>
      <c r="J471" s="17" t="n"/>
      <c r="K471" s="17" t="n"/>
      <c r="L471" s="17" t="n"/>
      <c r="M471" s="16" t="n"/>
      <c r="N471" s="16" t="n"/>
      <c r="O471" s="18" t="n"/>
      <c r="P471" s="18" t="n"/>
      <c r="Q471" s="16" t="n"/>
    </row>
    <row r="472">
      <c r="E472" s="20" t="n"/>
      <c r="F472" s="20" t="n"/>
      <c r="G472" s="20" t="n"/>
      <c r="H472" s="16" t="n"/>
      <c r="I472" s="16" t="n"/>
      <c r="J472" s="17" t="n"/>
      <c r="K472" s="17" t="n"/>
      <c r="L472" s="17" t="n"/>
      <c r="M472" s="16" t="n"/>
      <c r="N472" s="16" t="n"/>
      <c r="O472" s="18" t="n"/>
      <c r="P472" s="18" t="n"/>
      <c r="Q472" s="16" t="n"/>
    </row>
    <row r="473">
      <c r="E473" s="20" t="n"/>
      <c r="F473" s="20" t="n"/>
      <c r="G473" s="20" t="n"/>
      <c r="H473" s="16" t="n"/>
      <c r="I473" s="16" t="n"/>
      <c r="J473" s="17" t="n"/>
      <c r="K473" s="17" t="n"/>
      <c r="L473" s="17" t="n"/>
      <c r="M473" s="16" t="n"/>
      <c r="N473" s="16" t="n"/>
      <c r="O473" s="18" t="n"/>
      <c r="P473" s="18" t="n"/>
      <c r="Q473" s="16" t="n"/>
    </row>
    <row r="474">
      <c r="E474" s="20" t="n"/>
      <c r="F474" s="20" t="n"/>
      <c r="G474" s="20" t="n"/>
      <c r="H474" s="16" t="n"/>
      <c r="I474" s="16" t="n"/>
      <c r="J474" s="17" t="n"/>
      <c r="K474" s="17" t="n"/>
      <c r="L474" s="17" t="n"/>
      <c r="M474" s="16" t="n"/>
      <c r="N474" s="16" t="n"/>
      <c r="O474" s="18" t="n"/>
      <c r="P474" s="18" t="n"/>
      <c r="Q474" s="16" t="n"/>
    </row>
    <row r="475">
      <c r="E475" s="20" t="n"/>
      <c r="F475" s="20" t="n"/>
      <c r="G475" s="20" t="n"/>
      <c r="H475" s="16" t="n"/>
      <c r="I475" s="16" t="n"/>
      <c r="J475" s="17" t="n"/>
      <c r="K475" s="17" t="n"/>
      <c r="L475" s="17" t="n"/>
      <c r="M475" s="16" t="n"/>
      <c r="N475" s="16" t="n"/>
      <c r="O475" s="18" t="n"/>
      <c r="P475" s="18" t="n"/>
      <c r="Q475" s="16" t="n"/>
    </row>
    <row r="476">
      <c r="E476" s="20" t="n"/>
      <c r="F476" s="20" t="n"/>
      <c r="G476" s="20" t="n"/>
      <c r="H476" s="16" t="n"/>
      <c r="I476" s="16" t="n"/>
      <c r="J476" s="17" t="n"/>
      <c r="K476" s="17" t="n"/>
      <c r="L476" s="17" t="n"/>
      <c r="M476" s="16" t="n"/>
      <c r="N476" s="16" t="n"/>
      <c r="O476" s="18" t="n"/>
      <c r="P476" s="18" t="n"/>
      <c r="Q476" s="16" t="n"/>
    </row>
    <row r="477">
      <c r="E477" s="20" t="n"/>
      <c r="F477" s="20" t="n"/>
      <c r="G477" s="20" t="n"/>
      <c r="H477" s="16" t="n"/>
      <c r="I477" s="16" t="n"/>
      <c r="J477" s="17" t="n"/>
      <c r="K477" s="17" t="n"/>
      <c r="L477" s="17" t="n"/>
      <c r="M477" s="16" t="n"/>
      <c r="N477" s="16" t="n"/>
      <c r="O477" s="18" t="n"/>
      <c r="P477" s="18" t="n"/>
      <c r="Q477" s="16" t="n"/>
    </row>
    <row r="478">
      <c r="E478" s="20" t="n"/>
      <c r="F478" s="20" t="n"/>
      <c r="G478" s="20" t="n"/>
      <c r="H478" s="16" t="n"/>
      <c r="I478" s="16" t="n"/>
      <c r="J478" s="17" t="n"/>
      <c r="K478" s="17" t="n"/>
      <c r="L478" s="17" t="n"/>
      <c r="M478" s="16" t="n"/>
      <c r="N478" s="16" t="n"/>
      <c r="O478" s="18" t="n"/>
      <c r="P478" s="18" t="n"/>
      <c r="Q478" s="16" t="n"/>
    </row>
    <row r="479">
      <c r="E479" s="20" t="n"/>
      <c r="F479" s="20" t="n"/>
      <c r="G479" s="20" t="n"/>
      <c r="H479" s="16" t="n"/>
      <c r="I479" s="16" t="n"/>
      <c r="J479" s="17" t="n"/>
      <c r="K479" s="17" t="n"/>
      <c r="L479" s="17" t="n"/>
      <c r="M479" s="16" t="n"/>
      <c r="N479" s="16" t="n"/>
      <c r="O479" s="18" t="n"/>
      <c r="P479" s="18" t="n"/>
      <c r="Q479" s="16" t="n"/>
    </row>
    <row r="480">
      <c r="E480" s="20" t="n"/>
      <c r="F480" s="20" t="n"/>
      <c r="G480" s="20" t="n"/>
      <c r="H480" s="16" t="n"/>
      <c r="I480" s="16" t="n"/>
      <c r="J480" s="17" t="n"/>
      <c r="K480" s="17" t="n"/>
      <c r="L480" s="17" t="n"/>
      <c r="M480" s="16" t="n"/>
      <c r="N480" s="16" t="n"/>
      <c r="O480" s="18" t="n"/>
      <c r="P480" s="18" t="n"/>
      <c r="Q480" s="16" t="n"/>
    </row>
    <row r="481">
      <c r="E481" s="20" t="n"/>
      <c r="F481" s="20" t="n"/>
      <c r="G481" s="20" t="n"/>
      <c r="H481" s="16" t="n"/>
      <c r="I481" s="16" t="n"/>
      <c r="J481" s="17" t="n"/>
      <c r="K481" s="17" t="n"/>
      <c r="L481" s="17" t="n"/>
      <c r="M481" s="16" t="n"/>
      <c r="N481" s="16" t="n"/>
      <c r="O481" s="18" t="n"/>
      <c r="P481" s="18" t="n"/>
      <c r="Q481" s="16" t="n"/>
    </row>
    <row r="482">
      <c r="E482" s="20" t="n"/>
      <c r="F482" s="20" t="n"/>
      <c r="G482" s="20" t="n"/>
      <c r="H482" s="16" t="n"/>
      <c r="I482" s="16" t="n"/>
      <c r="J482" s="17" t="n"/>
      <c r="K482" s="17" t="n"/>
      <c r="L482" s="17" t="n"/>
      <c r="M482" s="16" t="n"/>
      <c r="N482" s="16" t="n"/>
      <c r="O482" s="18" t="n"/>
      <c r="P482" s="18" t="n"/>
      <c r="Q482" s="16" t="n"/>
    </row>
    <row r="483">
      <c r="E483" s="20" t="n"/>
      <c r="F483" s="20" t="n"/>
      <c r="G483" s="20" t="n"/>
      <c r="H483" s="16" t="n"/>
      <c r="I483" s="16" t="n"/>
      <c r="J483" s="17" t="n"/>
      <c r="K483" s="17" t="n"/>
      <c r="L483" s="17" t="n"/>
      <c r="M483" s="16" t="n"/>
      <c r="N483" s="16" t="n"/>
      <c r="O483" s="18" t="n"/>
      <c r="P483" s="18" t="n"/>
      <c r="Q483" s="16" t="n"/>
    </row>
    <row r="484">
      <c r="E484" s="20" t="n"/>
      <c r="F484" s="20" t="n"/>
      <c r="G484" s="20" t="n"/>
      <c r="H484" s="16" t="n"/>
      <c r="I484" s="16" t="n"/>
      <c r="J484" s="17" t="n"/>
      <c r="K484" s="17" t="n"/>
      <c r="L484" s="17" t="n"/>
      <c r="M484" s="16" t="n"/>
      <c r="N484" s="16" t="n"/>
      <c r="O484" s="18" t="n"/>
      <c r="P484" s="18" t="n"/>
      <c r="Q484" s="16" t="n"/>
    </row>
    <row r="485">
      <c r="E485" s="20" t="n"/>
      <c r="F485" s="20" t="n"/>
      <c r="G485" s="20" t="n"/>
      <c r="H485" s="16" t="n"/>
      <c r="I485" s="16" t="n"/>
      <c r="J485" s="17" t="n"/>
      <c r="K485" s="17" t="n"/>
      <c r="L485" s="17" t="n"/>
      <c r="M485" s="16" t="n"/>
      <c r="N485" s="16" t="n"/>
      <c r="O485" s="18" t="n"/>
      <c r="P485" s="18" t="n"/>
      <c r="Q485" s="16" t="n"/>
    </row>
    <row r="486">
      <c r="E486" s="20" t="n"/>
      <c r="F486" s="20" t="n"/>
      <c r="G486" s="20" t="n"/>
      <c r="H486" s="16" t="n"/>
      <c r="I486" s="16" t="n"/>
      <c r="J486" s="17" t="n"/>
      <c r="K486" s="17" t="n"/>
      <c r="L486" s="17" t="n"/>
      <c r="M486" s="16" t="n"/>
      <c r="N486" s="16" t="n"/>
      <c r="O486" s="18" t="n"/>
      <c r="P486" s="18" t="n"/>
      <c r="Q486" s="16" t="n"/>
    </row>
    <row r="487">
      <c r="E487" s="20" t="n"/>
      <c r="F487" s="20" t="n"/>
      <c r="G487" s="20" t="n"/>
      <c r="H487" s="16" t="n"/>
      <c r="I487" s="16" t="n"/>
      <c r="J487" s="17" t="n"/>
      <c r="K487" s="17" t="n"/>
      <c r="L487" s="17" t="n"/>
      <c r="M487" s="16" t="n"/>
      <c r="N487" s="16" t="n"/>
      <c r="O487" s="18" t="n"/>
      <c r="P487" s="18" t="n"/>
      <c r="Q487" s="16" t="n"/>
    </row>
    <row r="488">
      <c r="E488" s="20" t="n"/>
      <c r="F488" s="20" t="n"/>
      <c r="G488" s="20" t="n"/>
      <c r="H488" s="16" t="n"/>
      <c r="I488" s="16" t="n"/>
      <c r="J488" s="17" t="n"/>
      <c r="K488" s="17" t="n"/>
      <c r="L488" s="17" t="n"/>
      <c r="M488" s="16" t="n"/>
      <c r="N488" s="16" t="n"/>
      <c r="O488" s="18" t="n"/>
      <c r="P488" s="18" t="n"/>
      <c r="Q488" s="16" t="n"/>
    </row>
    <row r="489">
      <c r="E489" s="20" t="n"/>
      <c r="F489" s="20" t="n"/>
      <c r="G489" s="20" t="n"/>
      <c r="H489" s="16" t="n"/>
      <c r="I489" s="16" t="n"/>
      <c r="J489" s="17" t="n"/>
      <c r="K489" s="17" t="n"/>
      <c r="L489" s="17" t="n"/>
      <c r="M489" s="16" t="n"/>
      <c r="N489" s="16" t="n"/>
      <c r="O489" s="18" t="n"/>
      <c r="P489" s="18" t="n"/>
      <c r="Q489" s="16" t="n"/>
    </row>
    <row r="490">
      <c r="E490" s="20" t="n"/>
      <c r="F490" s="20" t="n"/>
      <c r="G490" s="20" t="n"/>
      <c r="H490" s="16" t="n"/>
      <c r="I490" s="16" t="n"/>
      <c r="J490" s="17" t="n"/>
      <c r="K490" s="17" t="n"/>
      <c r="L490" s="17" t="n"/>
      <c r="M490" s="16" t="n"/>
      <c r="N490" s="16" t="n"/>
      <c r="O490" s="18" t="n"/>
      <c r="P490" s="18" t="n"/>
      <c r="Q490" s="16" t="n"/>
    </row>
    <row r="491">
      <c r="E491" s="20" t="n"/>
      <c r="F491" s="20" t="n"/>
      <c r="G491" s="20" t="n"/>
      <c r="H491" s="16" t="n"/>
      <c r="I491" s="16" t="n"/>
      <c r="J491" s="17" t="n"/>
      <c r="K491" s="17" t="n"/>
      <c r="L491" s="17" t="n"/>
      <c r="M491" s="16" t="n"/>
      <c r="N491" s="16" t="n"/>
      <c r="O491" s="18" t="n"/>
      <c r="P491" s="18" t="n"/>
      <c r="Q491" s="16" t="n"/>
    </row>
    <row r="492">
      <c r="E492" s="20" t="n"/>
      <c r="F492" s="20" t="n"/>
      <c r="G492" s="20" t="n"/>
      <c r="H492" s="16" t="n"/>
      <c r="I492" s="16" t="n"/>
      <c r="J492" s="17" t="n"/>
      <c r="K492" s="17" t="n"/>
      <c r="L492" s="17" t="n"/>
      <c r="M492" s="16" t="n"/>
      <c r="N492" s="16" t="n"/>
      <c r="O492" s="18" t="n"/>
      <c r="P492" s="18" t="n"/>
      <c r="Q492" s="16" t="n"/>
    </row>
    <row r="493">
      <c r="E493" s="20" t="n"/>
      <c r="F493" s="20" t="n"/>
      <c r="G493" s="20" t="n"/>
      <c r="H493" s="16" t="n"/>
      <c r="I493" s="16" t="n"/>
      <c r="J493" s="17" t="n"/>
      <c r="K493" s="17" t="n"/>
      <c r="L493" s="17" t="n"/>
      <c r="M493" s="16" t="n"/>
      <c r="N493" s="16" t="n"/>
      <c r="O493" s="18" t="n"/>
      <c r="P493" s="18" t="n"/>
      <c r="Q493" s="16" t="n"/>
    </row>
    <row r="494">
      <c r="E494" s="20" t="n"/>
      <c r="F494" s="20" t="n"/>
      <c r="G494" s="20" t="n"/>
      <c r="H494" s="16" t="n"/>
      <c r="I494" s="16" t="n"/>
      <c r="J494" s="17" t="n"/>
      <c r="K494" s="17" t="n"/>
      <c r="L494" s="17" t="n"/>
      <c r="M494" s="16" t="n"/>
      <c r="N494" s="16" t="n"/>
      <c r="O494" s="18" t="n"/>
      <c r="P494" s="18" t="n"/>
      <c r="Q494" s="16" t="n"/>
    </row>
    <row r="495">
      <c r="E495" s="20" t="n"/>
      <c r="F495" s="20" t="n"/>
      <c r="G495" s="20" t="n"/>
      <c r="H495" s="16" t="n"/>
      <c r="I495" s="16" t="n"/>
      <c r="J495" s="17" t="n"/>
      <c r="K495" s="17" t="n"/>
      <c r="L495" s="17" t="n"/>
      <c r="M495" s="16" t="n"/>
      <c r="N495" s="16" t="n"/>
      <c r="O495" s="18" t="n"/>
      <c r="P495" s="18" t="n"/>
      <c r="Q495" s="16" t="n"/>
    </row>
    <row r="496">
      <c r="E496" s="20" t="n"/>
      <c r="F496" s="20" t="n"/>
      <c r="G496" s="20" t="n"/>
      <c r="H496" s="16" t="n"/>
      <c r="I496" s="16" t="n"/>
      <c r="J496" s="17" t="n"/>
      <c r="K496" s="17" t="n"/>
      <c r="L496" s="17" t="n"/>
      <c r="M496" s="16" t="n"/>
      <c r="N496" s="16" t="n"/>
      <c r="O496" s="18" t="n"/>
      <c r="P496" s="18" t="n"/>
      <c r="Q496" s="16" t="n"/>
    </row>
    <row r="497">
      <c r="E497" s="20" t="n"/>
      <c r="F497" s="20" t="n"/>
      <c r="G497" s="20" t="n"/>
      <c r="H497" s="16" t="n"/>
      <c r="I497" s="16" t="n"/>
      <c r="J497" s="17" t="n"/>
      <c r="K497" s="17" t="n"/>
      <c r="L497" s="17" t="n"/>
      <c r="M497" s="16" t="n"/>
      <c r="N497" s="16" t="n"/>
      <c r="O497" s="18" t="n"/>
      <c r="P497" s="18" t="n"/>
      <c r="Q497" s="16" t="n"/>
    </row>
    <row r="498">
      <c r="E498" s="20" t="n"/>
      <c r="F498" s="20" t="n"/>
      <c r="G498" s="20" t="n"/>
      <c r="H498" s="16" t="n"/>
      <c r="I498" s="16" t="n"/>
      <c r="J498" s="17" t="n"/>
      <c r="K498" s="17" t="n"/>
      <c r="L498" s="17" t="n"/>
      <c r="M498" s="16" t="n"/>
      <c r="N498" s="16" t="n"/>
      <c r="O498" s="18" t="n"/>
      <c r="P498" s="18" t="n"/>
      <c r="Q498" s="16" t="n"/>
    </row>
    <row r="499">
      <c r="E499" s="20" t="n"/>
      <c r="F499" s="20" t="n"/>
      <c r="G499" s="20" t="n"/>
      <c r="H499" s="16" t="n"/>
      <c r="I499" s="16" t="n"/>
      <c r="J499" s="17" t="n"/>
      <c r="K499" s="17" t="n"/>
      <c r="L499" s="17" t="n"/>
      <c r="M499" s="16" t="n"/>
      <c r="N499" s="16" t="n"/>
      <c r="O499" s="18" t="n"/>
      <c r="P499" s="18" t="n"/>
      <c r="Q499" s="16" t="n"/>
    </row>
    <row r="500">
      <c r="E500" s="20" t="n"/>
      <c r="F500" s="20" t="n"/>
      <c r="G500" s="20" t="n"/>
      <c r="H500" s="16" t="n"/>
      <c r="I500" s="16" t="n"/>
      <c r="J500" s="17" t="n"/>
      <c r="K500" s="17" t="n"/>
      <c r="L500" s="17" t="n"/>
      <c r="M500" s="16" t="n"/>
      <c r="N500" s="16" t="n"/>
      <c r="O500" s="18" t="n"/>
      <c r="P500" s="18" t="n"/>
      <c r="Q500" s="16" t="n"/>
    </row>
    <row r="501">
      <c r="E501" s="20" t="n"/>
      <c r="F501" s="20" t="n"/>
      <c r="G501" s="20" t="n"/>
      <c r="H501" s="16" t="n"/>
      <c r="I501" s="16" t="n"/>
      <c r="J501" s="17" t="n"/>
      <c r="K501" s="17" t="n"/>
      <c r="L501" s="17" t="n"/>
      <c r="M501" s="16" t="n"/>
      <c r="N501" s="16" t="n"/>
      <c r="O501" s="18" t="n"/>
      <c r="P501" s="18" t="n"/>
      <c r="Q501" s="16" t="n"/>
    </row>
    <row r="502">
      <c r="E502" s="20" t="n"/>
      <c r="F502" s="20" t="n"/>
      <c r="G502" s="20" t="n"/>
      <c r="H502" s="16" t="n"/>
      <c r="I502" s="16" t="n"/>
      <c r="J502" s="17" t="n"/>
      <c r="K502" s="17" t="n"/>
      <c r="L502" s="17" t="n"/>
      <c r="M502" s="16" t="n"/>
      <c r="N502" s="16" t="n"/>
      <c r="O502" s="18" t="n"/>
      <c r="P502" s="18" t="n"/>
      <c r="Q502" s="16" t="n"/>
    </row>
    <row r="503">
      <c r="E503" s="20" t="n"/>
      <c r="F503" s="20" t="n"/>
      <c r="G503" s="20" t="n"/>
      <c r="H503" s="16" t="n"/>
      <c r="I503" s="16" t="n"/>
      <c r="J503" s="17" t="n"/>
      <c r="K503" s="17" t="n"/>
      <c r="L503" s="17" t="n"/>
      <c r="M503" s="16" t="n"/>
      <c r="N503" s="16" t="n"/>
      <c r="O503" s="18" t="n"/>
      <c r="P503" s="18" t="n"/>
      <c r="Q503" s="16" t="n"/>
    </row>
    <row r="504">
      <c r="E504" s="20" t="n"/>
      <c r="F504" s="20" t="n"/>
      <c r="G504" s="20" t="n"/>
      <c r="H504" s="16" t="n"/>
      <c r="I504" s="16" t="n"/>
      <c r="J504" s="17" t="n"/>
      <c r="K504" s="17" t="n"/>
      <c r="L504" s="17" t="n"/>
      <c r="M504" s="16" t="n"/>
      <c r="N504" s="16" t="n"/>
      <c r="O504" s="18" t="n"/>
      <c r="P504" s="18" t="n"/>
      <c r="Q504" s="16" t="n"/>
    </row>
    <row r="505">
      <c r="E505" s="20" t="n"/>
      <c r="F505" s="20" t="n"/>
      <c r="G505" s="20" t="n"/>
      <c r="H505" s="16" t="n"/>
      <c r="I505" s="16" t="n"/>
      <c r="J505" s="17" t="n"/>
      <c r="K505" s="17" t="n"/>
      <c r="L505" s="17" t="n"/>
      <c r="M505" s="16" t="n"/>
      <c r="N505" s="16" t="n"/>
      <c r="O505" s="18" t="n"/>
      <c r="P505" s="18" t="n"/>
      <c r="Q505" s="16" t="n"/>
    </row>
    <row r="506">
      <c r="E506" s="20" t="n"/>
      <c r="F506" s="20" t="n"/>
      <c r="G506" s="20" t="n"/>
      <c r="H506" s="16" t="n"/>
      <c r="I506" s="16" t="n"/>
      <c r="J506" s="17" t="n"/>
      <c r="K506" s="17" t="n"/>
      <c r="L506" s="17" t="n"/>
      <c r="M506" s="16" t="n"/>
      <c r="N506" s="16" t="n"/>
      <c r="O506" s="18" t="n"/>
      <c r="P506" s="18" t="n"/>
      <c r="Q506" s="16" t="n"/>
    </row>
    <row r="507">
      <c r="E507" s="20" t="n"/>
      <c r="F507" s="20" t="n"/>
      <c r="G507" s="20" t="n"/>
      <c r="H507" s="16" t="n"/>
      <c r="I507" s="16" t="n"/>
      <c r="J507" s="17" t="n"/>
      <c r="K507" s="17" t="n"/>
      <c r="L507" s="17" t="n"/>
      <c r="M507" s="16" t="n"/>
      <c r="N507" s="16" t="n"/>
      <c r="O507" s="18" t="n"/>
      <c r="P507" s="18" t="n"/>
      <c r="Q507" s="16" t="n"/>
    </row>
    <row r="508">
      <c r="E508" s="20" t="n"/>
      <c r="F508" s="20" t="n"/>
      <c r="G508" s="20" t="n"/>
      <c r="H508" s="16" t="n"/>
      <c r="I508" s="16" t="n"/>
      <c r="J508" s="17" t="n"/>
      <c r="K508" s="17" t="n"/>
      <c r="L508" s="17" t="n"/>
      <c r="M508" s="16" t="n"/>
      <c r="N508" s="16" t="n"/>
      <c r="O508" s="18" t="n"/>
      <c r="P508" s="18" t="n"/>
      <c r="Q508" s="16" t="n"/>
    </row>
    <row r="509">
      <c r="E509" s="20" t="n"/>
      <c r="F509" s="20" t="n"/>
      <c r="G509" s="20" t="n"/>
      <c r="H509" s="16" t="n"/>
      <c r="I509" s="16" t="n"/>
      <c r="J509" s="17" t="n"/>
      <c r="K509" s="17" t="n"/>
      <c r="L509" s="17" t="n"/>
      <c r="M509" s="16" t="n"/>
      <c r="N509" s="16" t="n"/>
      <c r="O509" s="18" t="n"/>
      <c r="P509" s="18" t="n"/>
      <c r="Q509" s="16" t="n"/>
    </row>
    <row r="510">
      <c r="E510" s="20" t="n"/>
      <c r="F510" s="20" t="n"/>
      <c r="G510" s="20" t="n"/>
      <c r="H510" s="16" t="n"/>
      <c r="I510" s="16" t="n"/>
      <c r="J510" s="17" t="n"/>
      <c r="K510" s="17" t="n"/>
      <c r="L510" s="17" t="n"/>
      <c r="M510" s="16" t="n"/>
      <c r="N510" s="16" t="n"/>
      <c r="O510" s="18" t="n"/>
      <c r="P510" s="18" t="n"/>
      <c r="Q510" s="16" t="n"/>
    </row>
    <row r="511">
      <c r="E511" s="20" t="n"/>
      <c r="F511" s="20" t="n"/>
      <c r="G511" s="20" t="n"/>
      <c r="H511" s="16" t="n"/>
      <c r="I511" s="16" t="n"/>
      <c r="J511" s="17" t="n"/>
      <c r="K511" s="17" t="n"/>
      <c r="L511" s="17" t="n"/>
      <c r="M511" s="16" t="n"/>
      <c r="N511" s="16" t="n"/>
      <c r="O511" s="18" t="n"/>
      <c r="P511" s="18" t="n"/>
      <c r="Q511" s="16" t="n"/>
    </row>
    <row r="512">
      <c r="E512" s="20" t="n"/>
      <c r="F512" s="20" t="n"/>
      <c r="G512" s="20" t="n"/>
      <c r="H512" s="16" t="n"/>
      <c r="I512" s="16" t="n"/>
      <c r="J512" s="17" t="n"/>
      <c r="K512" s="17" t="n"/>
      <c r="L512" s="17" t="n"/>
      <c r="M512" s="16" t="n"/>
      <c r="N512" s="16" t="n"/>
      <c r="O512" s="18" t="n"/>
      <c r="P512" s="18" t="n"/>
      <c r="Q512" s="16" t="n"/>
    </row>
    <row r="513">
      <c r="E513" s="20" t="n"/>
      <c r="F513" s="20" t="n"/>
      <c r="G513" s="20" t="n"/>
      <c r="H513" s="16" t="n"/>
      <c r="I513" s="16" t="n"/>
      <c r="J513" s="17" t="n"/>
      <c r="K513" s="17" t="n"/>
      <c r="L513" s="17" t="n"/>
      <c r="M513" s="16" t="n"/>
      <c r="N513" s="16" t="n"/>
      <c r="O513" s="18" t="n"/>
      <c r="P513" s="18" t="n"/>
      <c r="Q513" s="16" t="n"/>
    </row>
    <row r="514">
      <c r="E514" s="20" t="n"/>
      <c r="F514" s="20" t="n"/>
      <c r="G514" s="20" t="n"/>
      <c r="H514" s="16" t="n"/>
      <c r="I514" s="16" t="n"/>
      <c r="J514" s="17" t="n"/>
      <c r="K514" s="17" t="n"/>
      <c r="L514" s="17" t="n"/>
      <c r="M514" s="16" t="n"/>
      <c r="N514" s="16" t="n"/>
      <c r="O514" s="18" t="n"/>
      <c r="P514" s="18" t="n"/>
      <c r="Q514" s="16" t="n"/>
    </row>
    <row r="515">
      <c r="E515" s="20" t="n"/>
      <c r="F515" s="20" t="n"/>
      <c r="G515" s="20" t="n"/>
      <c r="H515" s="16" t="n"/>
      <c r="I515" s="16" t="n"/>
      <c r="J515" s="17" t="n"/>
      <c r="K515" s="17" t="n"/>
      <c r="L515" s="17" t="n"/>
      <c r="M515" s="16" t="n"/>
      <c r="N515" s="16" t="n"/>
      <c r="O515" s="18" t="n"/>
      <c r="P515" s="18" t="n"/>
      <c r="Q515" s="16" t="n"/>
    </row>
    <row r="516">
      <c r="E516" s="20" t="n"/>
      <c r="F516" s="20" t="n"/>
      <c r="G516" s="20" t="n"/>
      <c r="H516" s="16" t="n"/>
      <c r="I516" s="16" t="n"/>
      <c r="J516" s="17" t="n"/>
      <c r="K516" s="17" t="n"/>
      <c r="L516" s="17" t="n"/>
      <c r="M516" s="16" t="n"/>
      <c r="N516" s="16" t="n"/>
      <c r="O516" s="18" t="n"/>
      <c r="P516" s="18" t="n"/>
      <c r="Q516" s="16" t="n"/>
    </row>
    <row r="517">
      <c r="E517" s="20" t="n"/>
      <c r="F517" s="20" t="n"/>
      <c r="G517" s="20" t="n"/>
      <c r="H517" s="16" t="n"/>
      <c r="I517" s="16" t="n"/>
      <c r="J517" s="17" t="n"/>
      <c r="K517" s="17" t="n"/>
      <c r="L517" s="17" t="n"/>
      <c r="M517" s="16" t="n"/>
      <c r="N517" s="16" t="n"/>
      <c r="O517" s="18" t="n"/>
      <c r="P517" s="18" t="n"/>
      <c r="Q517" s="16" t="n"/>
    </row>
    <row r="518">
      <c r="E518" s="20" t="n"/>
      <c r="F518" s="20" t="n"/>
      <c r="G518" s="20" t="n"/>
      <c r="H518" s="16" t="n"/>
      <c r="I518" s="16" t="n"/>
      <c r="J518" s="17" t="n"/>
      <c r="K518" s="17" t="n"/>
      <c r="L518" s="17" t="n"/>
      <c r="M518" s="16" t="n"/>
      <c r="N518" s="16" t="n"/>
      <c r="O518" s="18" t="n"/>
      <c r="P518" s="18" t="n"/>
      <c r="Q518" s="16" t="n"/>
    </row>
    <row r="519">
      <c r="E519" s="20" t="n"/>
      <c r="F519" s="20" t="n"/>
      <c r="G519" s="20" t="n"/>
      <c r="H519" s="16" t="n"/>
      <c r="I519" s="16" t="n"/>
      <c r="J519" s="17" t="n"/>
      <c r="K519" s="17" t="n"/>
      <c r="L519" s="17" t="n"/>
      <c r="M519" s="16" t="n"/>
      <c r="N519" s="16" t="n"/>
      <c r="O519" s="18" t="n"/>
      <c r="P519" s="18" t="n"/>
      <c r="Q519" s="16" t="n"/>
    </row>
    <row r="520">
      <c r="E520" s="20" t="n"/>
      <c r="F520" s="20" t="n"/>
      <c r="G520" s="20" t="n"/>
      <c r="H520" s="16" t="n"/>
      <c r="I520" s="16" t="n"/>
      <c r="J520" s="17" t="n"/>
      <c r="K520" s="17" t="n"/>
      <c r="L520" s="17" t="n"/>
      <c r="M520" s="16" t="n"/>
      <c r="N520" s="16" t="n"/>
      <c r="O520" s="18" t="n"/>
      <c r="P520" s="18" t="n"/>
      <c r="Q520" s="16" t="n"/>
    </row>
    <row r="521">
      <c r="E521" s="20" t="n"/>
      <c r="F521" s="20" t="n"/>
      <c r="G521" s="20" t="n"/>
      <c r="H521" s="16" t="n"/>
      <c r="I521" s="16" t="n"/>
      <c r="J521" s="17" t="n"/>
      <c r="K521" s="17" t="n"/>
      <c r="L521" s="17" t="n"/>
      <c r="M521" s="16" t="n"/>
      <c r="N521" s="16" t="n"/>
      <c r="O521" s="18" t="n"/>
      <c r="P521" s="18" t="n"/>
      <c r="Q521" s="16" t="n"/>
    </row>
    <row r="522">
      <c r="E522" s="20" t="n"/>
      <c r="F522" s="20" t="n"/>
      <c r="G522" s="20" t="n"/>
      <c r="H522" s="16" t="n"/>
      <c r="I522" s="16" t="n"/>
      <c r="J522" s="17" t="n"/>
      <c r="K522" s="17" t="n"/>
      <c r="L522" s="17" t="n"/>
      <c r="M522" s="16" t="n"/>
      <c r="N522" s="16" t="n"/>
      <c r="O522" s="18" t="n"/>
      <c r="P522" s="18" t="n"/>
      <c r="Q522" s="16" t="n"/>
    </row>
    <row r="523">
      <c r="E523" s="20" t="n"/>
      <c r="F523" s="20" t="n"/>
      <c r="G523" s="20" t="n"/>
      <c r="H523" s="16" t="n"/>
      <c r="I523" s="16" t="n"/>
      <c r="J523" s="17" t="n"/>
      <c r="K523" s="17" t="n"/>
      <c r="L523" s="17" t="n"/>
      <c r="M523" s="16" t="n"/>
      <c r="N523" s="16" t="n"/>
      <c r="O523" s="18" t="n"/>
      <c r="P523" s="18" t="n"/>
      <c r="Q523" s="16" t="n"/>
    </row>
    <row r="524">
      <c r="E524" s="20" t="n"/>
      <c r="F524" s="20" t="n"/>
      <c r="G524" s="20" t="n"/>
      <c r="H524" s="16" t="n"/>
      <c r="I524" s="16" t="n"/>
      <c r="J524" s="17" t="n"/>
      <c r="K524" s="17" t="n"/>
      <c r="L524" s="17" t="n"/>
      <c r="M524" s="16" t="n"/>
      <c r="N524" s="16" t="n"/>
      <c r="O524" s="18" t="n"/>
      <c r="P524" s="18" t="n"/>
      <c r="Q524" s="16" t="n"/>
    </row>
    <row r="525">
      <c r="E525" s="20" t="n"/>
      <c r="F525" s="20" t="n"/>
      <c r="G525" s="20" t="n"/>
      <c r="H525" s="16" t="n"/>
      <c r="I525" s="16" t="n"/>
      <c r="J525" s="17" t="n"/>
      <c r="K525" s="17" t="n"/>
      <c r="L525" s="17" t="n"/>
      <c r="M525" s="16" t="n"/>
      <c r="N525" s="16" t="n"/>
      <c r="O525" s="18" t="n"/>
      <c r="P525" s="18" t="n"/>
      <c r="Q525" s="16" t="n"/>
    </row>
    <row r="526">
      <c r="E526" s="20" t="n"/>
      <c r="F526" s="20" t="n"/>
      <c r="G526" s="20" t="n"/>
      <c r="H526" s="16" t="n"/>
      <c r="I526" s="16" t="n"/>
      <c r="J526" s="17" t="n"/>
      <c r="K526" s="17" t="n"/>
      <c r="L526" s="17" t="n"/>
      <c r="M526" s="16" t="n"/>
      <c r="N526" s="16" t="n"/>
      <c r="O526" s="18" t="n"/>
      <c r="P526" s="18" t="n"/>
      <c r="Q526" s="16" t="n"/>
    </row>
    <row r="527">
      <c r="E527" s="20" t="n"/>
      <c r="F527" s="20" t="n"/>
      <c r="G527" s="20" t="n"/>
      <c r="H527" s="16" t="n"/>
      <c r="I527" s="16" t="n"/>
      <c r="J527" s="17" t="n"/>
      <c r="K527" s="17" t="n"/>
      <c r="L527" s="17" t="n"/>
      <c r="M527" s="16" t="n"/>
      <c r="N527" s="16" t="n"/>
      <c r="O527" s="18" t="n"/>
      <c r="P527" s="18" t="n"/>
      <c r="Q527" s="16" t="n"/>
    </row>
    <row r="528">
      <c r="E528" s="20" t="n"/>
      <c r="F528" s="20" t="n"/>
      <c r="G528" s="20" t="n"/>
      <c r="H528" s="16" t="n"/>
      <c r="I528" s="16" t="n"/>
      <c r="J528" s="17" t="n"/>
      <c r="K528" s="17" t="n"/>
      <c r="L528" s="17" t="n"/>
      <c r="M528" s="16" t="n"/>
      <c r="N528" s="16" t="n"/>
      <c r="O528" s="18" t="n"/>
      <c r="P528" s="18" t="n"/>
      <c r="Q528" s="16" t="n"/>
    </row>
    <row r="529">
      <c r="E529" s="20" t="n"/>
      <c r="F529" s="20" t="n"/>
      <c r="G529" s="20" t="n"/>
      <c r="H529" s="16" t="n"/>
      <c r="I529" s="16" t="n"/>
      <c r="J529" s="17" t="n"/>
      <c r="K529" s="17" t="n"/>
      <c r="L529" s="17" t="n"/>
      <c r="M529" s="16" t="n"/>
      <c r="N529" s="16" t="n"/>
      <c r="O529" s="18" t="n"/>
      <c r="P529" s="18" t="n"/>
      <c r="Q529" s="16" t="n"/>
    </row>
    <row r="530">
      <c r="E530" s="20" t="n"/>
      <c r="F530" s="20" t="n"/>
      <c r="G530" s="20" t="n"/>
      <c r="H530" s="16" t="n"/>
      <c r="I530" s="16" t="n"/>
      <c r="J530" s="17" t="n"/>
      <c r="K530" s="17" t="n"/>
      <c r="L530" s="17" t="n"/>
      <c r="M530" s="16" t="n"/>
      <c r="N530" s="16" t="n"/>
      <c r="O530" s="18" t="n"/>
      <c r="P530" s="18" t="n"/>
      <c r="Q530" s="16" t="n"/>
    </row>
    <row r="531">
      <c r="E531" s="20" t="n"/>
      <c r="F531" s="20" t="n"/>
      <c r="G531" s="20" t="n"/>
      <c r="H531" s="16" t="n"/>
      <c r="I531" s="16" t="n"/>
      <c r="J531" s="17" t="n"/>
      <c r="K531" s="17" t="n"/>
      <c r="L531" s="17" t="n"/>
      <c r="M531" s="16" t="n"/>
      <c r="N531" s="16" t="n"/>
      <c r="O531" s="18" t="n"/>
      <c r="P531" s="18" t="n"/>
      <c r="Q531" s="16" t="n"/>
    </row>
    <row r="532">
      <c r="E532" s="20" t="n"/>
      <c r="F532" s="20" t="n"/>
      <c r="G532" s="20" t="n"/>
      <c r="H532" s="16" t="n"/>
      <c r="I532" s="16" t="n"/>
      <c r="J532" s="17" t="n"/>
      <c r="K532" s="17" t="n"/>
      <c r="L532" s="17" t="n"/>
      <c r="M532" s="16" t="n"/>
      <c r="N532" s="16" t="n"/>
      <c r="O532" s="18" t="n"/>
      <c r="P532" s="18" t="n"/>
      <c r="Q532" s="16" t="n"/>
    </row>
    <row r="533">
      <c r="E533" s="20" t="n"/>
      <c r="F533" s="20" t="n"/>
      <c r="G533" s="20" t="n"/>
      <c r="H533" s="16" t="n"/>
      <c r="I533" s="16" t="n"/>
      <c r="J533" s="17" t="n"/>
      <c r="K533" s="17" t="n"/>
      <c r="L533" s="17" t="n"/>
      <c r="M533" s="16" t="n"/>
      <c r="N533" s="16" t="n"/>
      <c r="O533" s="18" t="n"/>
      <c r="P533" s="18" t="n"/>
      <c r="Q533" s="16" t="n"/>
    </row>
    <row r="534">
      <c r="E534" s="20" t="n"/>
      <c r="F534" s="20" t="n"/>
      <c r="G534" s="20" t="n"/>
      <c r="H534" s="16" t="n"/>
      <c r="I534" s="16" t="n"/>
      <c r="J534" s="17" t="n"/>
      <c r="K534" s="17" t="n"/>
      <c r="L534" s="17" t="n"/>
      <c r="M534" s="16" t="n"/>
      <c r="N534" s="16" t="n"/>
      <c r="O534" s="18" t="n"/>
      <c r="P534" s="18" t="n"/>
      <c r="Q534" s="16" t="n"/>
    </row>
    <row r="535">
      <c r="E535" s="20" t="n"/>
      <c r="F535" s="20" t="n"/>
      <c r="G535" s="20" t="n"/>
      <c r="H535" s="16" t="n"/>
      <c r="I535" s="16" t="n"/>
      <c r="J535" s="17" t="n"/>
      <c r="K535" s="17" t="n"/>
      <c r="L535" s="17" t="n"/>
      <c r="M535" s="16" t="n"/>
      <c r="N535" s="16" t="n"/>
      <c r="O535" s="18" t="n"/>
      <c r="P535" s="18" t="n"/>
      <c r="Q535" s="16" t="n"/>
    </row>
    <row r="536">
      <c r="E536" s="20" t="n"/>
      <c r="F536" s="20" t="n"/>
      <c r="G536" s="20" t="n"/>
      <c r="H536" s="16" t="n"/>
      <c r="I536" s="16" t="n"/>
      <c r="J536" s="17" t="n"/>
      <c r="K536" s="17" t="n"/>
      <c r="L536" s="17" t="n"/>
      <c r="M536" s="16" t="n"/>
      <c r="N536" s="16" t="n"/>
      <c r="O536" s="18" t="n"/>
      <c r="P536" s="18" t="n"/>
      <c r="Q536" s="16" t="n"/>
    </row>
    <row r="537">
      <c r="E537" s="20" t="n"/>
      <c r="F537" s="20" t="n"/>
      <c r="G537" s="20" t="n"/>
      <c r="H537" s="16" t="n"/>
      <c r="I537" s="16" t="n"/>
      <c r="J537" s="17" t="n"/>
      <c r="K537" s="17" t="n"/>
      <c r="L537" s="17" t="n"/>
      <c r="M537" s="16" t="n"/>
      <c r="N537" s="16" t="n"/>
      <c r="O537" s="18" t="n"/>
      <c r="P537" s="18" t="n"/>
      <c r="Q537" s="16" t="n"/>
    </row>
    <row r="538">
      <c r="E538" s="20" t="n"/>
      <c r="F538" s="20" t="n"/>
      <c r="G538" s="20" t="n"/>
      <c r="H538" s="16" t="n"/>
      <c r="I538" s="16" t="n"/>
      <c r="J538" s="17" t="n"/>
      <c r="K538" s="17" t="n"/>
      <c r="L538" s="17" t="n"/>
      <c r="M538" s="16" t="n"/>
      <c r="N538" s="16" t="n"/>
      <c r="O538" s="18" t="n"/>
      <c r="P538" s="18" t="n"/>
      <c r="Q538" s="16" t="n"/>
    </row>
    <row r="539">
      <c r="E539" s="20" t="n"/>
      <c r="F539" s="20" t="n"/>
      <c r="G539" s="20" t="n"/>
      <c r="H539" s="16" t="n"/>
      <c r="I539" s="16" t="n"/>
      <c r="J539" s="17" t="n"/>
      <c r="K539" s="17" t="n"/>
      <c r="L539" s="17" t="n"/>
      <c r="M539" s="16" t="n"/>
      <c r="N539" s="16" t="n"/>
      <c r="O539" s="18" t="n"/>
      <c r="P539" s="18" t="n"/>
      <c r="Q539" s="16" t="n"/>
    </row>
    <row r="540">
      <c r="E540" s="20" t="n"/>
      <c r="F540" s="20" t="n"/>
      <c r="G540" s="20" t="n"/>
      <c r="H540" s="16" t="n"/>
      <c r="I540" s="16" t="n"/>
      <c r="J540" s="17" t="n"/>
      <c r="K540" s="17" t="n"/>
      <c r="L540" s="17" t="n"/>
      <c r="M540" s="16" t="n"/>
      <c r="N540" s="16" t="n"/>
      <c r="O540" s="18" t="n"/>
      <c r="P540" s="18" t="n"/>
      <c r="Q540" s="16" t="n"/>
    </row>
    <row r="541">
      <c r="E541" s="20" t="n"/>
      <c r="F541" s="20" t="n"/>
      <c r="G541" s="20" t="n"/>
      <c r="H541" s="16" t="n"/>
      <c r="I541" s="16" t="n"/>
      <c r="J541" s="17" t="n"/>
      <c r="K541" s="17" t="n"/>
      <c r="L541" s="17" t="n"/>
      <c r="M541" s="16" t="n"/>
      <c r="N541" s="16" t="n"/>
      <c r="O541" s="18" t="n"/>
      <c r="P541" s="18" t="n"/>
      <c r="Q541" s="16" t="n"/>
    </row>
    <row r="542">
      <c r="E542" s="20" t="n"/>
      <c r="F542" s="20" t="n"/>
      <c r="G542" s="20" t="n"/>
      <c r="H542" s="16" t="n"/>
      <c r="I542" s="16" t="n"/>
      <c r="J542" s="17" t="n"/>
      <c r="K542" s="17" t="n"/>
      <c r="L542" s="17" t="n"/>
      <c r="M542" s="16" t="n"/>
      <c r="N542" s="16" t="n"/>
      <c r="O542" s="18" t="n"/>
      <c r="P542" s="18" t="n"/>
      <c r="Q542" s="16" t="n"/>
    </row>
    <row r="543">
      <c r="E543" s="20" t="n"/>
      <c r="F543" s="20" t="n"/>
      <c r="G543" s="20" t="n"/>
      <c r="H543" s="16" t="n"/>
      <c r="I543" s="16" t="n"/>
      <c r="J543" s="17" t="n"/>
      <c r="K543" s="17" t="n"/>
      <c r="L543" s="17" t="n"/>
      <c r="M543" s="16" t="n"/>
      <c r="N543" s="16" t="n"/>
      <c r="O543" s="18" t="n"/>
      <c r="P543" s="18" t="n"/>
      <c r="Q543" s="16" t="n"/>
    </row>
    <row r="544">
      <c r="E544" s="20" t="n"/>
      <c r="F544" s="20" t="n"/>
      <c r="G544" s="20" t="n"/>
      <c r="H544" s="16" t="n"/>
      <c r="I544" s="16" t="n"/>
      <c r="J544" s="17" t="n"/>
      <c r="K544" s="17" t="n"/>
      <c r="L544" s="17" t="n"/>
      <c r="M544" s="16" t="n"/>
      <c r="N544" s="16" t="n"/>
      <c r="O544" s="18" t="n"/>
      <c r="P544" s="18" t="n"/>
      <c r="Q544" s="16" t="n"/>
    </row>
    <row r="545">
      <c r="E545" s="20" t="n"/>
      <c r="F545" s="20" t="n"/>
      <c r="G545" s="20" t="n"/>
      <c r="H545" s="16" t="n"/>
      <c r="I545" s="16" t="n"/>
      <c r="J545" s="17" t="n"/>
      <c r="K545" s="17" t="n"/>
      <c r="L545" s="17" t="n"/>
      <c r="M545" s="16" t="n"/>
      <c r="N545" s="16" t="n"/>
      <c r="O545" s="18" t="n"/>
      <c r="P545" s="18" t="n"/>
      <c r="Q545" s="16" t="n"/>
    </row>
    <row r="546">
      <c r="E546" s="20" t="n"/>
      <c r="F546" s="20" t="n"/>
      <c r="G546" s="20" t="n"/>
      <c r="H546" s="16" t="n"/>
      <c r="I546" s="16" t="n"/>
      <c r="J546" s="17" t="n"/>
      <c r="K546" s="17" t="n"/>
      <c r="L546" s="17" t="n"/>
      <c r="M546" s="16" t="n"/>
      <c r="N546" s="16" t="n"/>
      <c r="O546" s="18" t="n"/>
      <c r="P546" s="18" t="n"/>
      <c r="Q546" s="16" t="n"/>
    </row>
    <row r="547">
      <c r="E547" s="20" t="n"/>
      <c r="F547" s="20" t="n"/>
      <c r="G547" s="20" t="n"/>
      <c r="H547" s="16" t="n"/>
      <c r="I547" s="16" t="n"/>
      <c r="J547" s="17" t="n"/>
      <c r="K547" s="17" t="n"/>
      <c r="L547" s="17" t="n"/>
      <c r="M547" s="16" t="n"/>
      <c r="N547" s="16" t="n"/>
      <c r="O547" s="18" t="n"/>
      <c r="P547" s="18" t="n"/>
      <c r="Q547" s="16" t="n"/>
    </row>
    <row r="548">
      <c r="E548" s="20" t="n"/>
      <c r="F548" s="20" t="n"/>
      <c r="G548" s="20" t="n"/>
      <c r="H548" s="16" t="n"/>
      <c r="I548" s="16" t="n"/>
      <c r="J548" s="17" t="n"/>
      <c r="K548" s="17" t="n"/>
      <c r="L548" s="17" t="n"/>
      <c r="M548" s="16" t="n"/>
      <c r="N548" s="16" t="n"/>
      <c r="O548" s="18" t="n"/>
      <c r="P548" s="18" t="n"/>
      <c r="Q548" s="16" t="n"/>
    </row>
    <row r="549">
      <c r="E549" s="20" t="n"/>
      <c r="F549" s="20" t="n"/>
      <c r="G549" s="20" t="n"/>
      <c r="H549" s="16" t="n"/>
      <c r="I549" s="16" t="n"/>
      <c r="J549" s="17" t="n"/>
      <c r="K549" s="17" t="n"/>
      <c r="L549" s="17" t="n"/>
      <c r="M549" s="16" t="n"/>
      <c r="N549" s="16" t="n"/>
      <c r="O549" s="18" t="n"/>
      <c r="P549" s="18" t="n"/>
      <c r="Q549" s="16" t="n"/>
    </row>
    <row r="550">
      <c r="E550" s="20" t="n"/>
      <c r="F550" s="20" t="n"/>
      <c r="G550" s="20" t="n"/>
      <c r="H550" s="16" t="n"/>
      <c r="I550" s="16" t="n"/>
      <c r="J550" s="17" t="n"/>
      <c r="K550" s="17" t="n"/>
      <c r="L550" s="17" t="n"/>
      <c r="M550" s="16" t="n"/>
      <c r="N550" s="16" t="n"/>
      <c r="O550" s="18" t="n"/>
      <c r="P550" s="18" t="n"/>
      <c r="Q550" s="16" t="n"/>
    </row>
    <row r="551">
      <c r="E551" s="20" t="n"/>
      <c r="F551" s="20" t="n"/>
      <c r="G551" s="20" t="n"/>
      <c r="H551" s="16" t="n"/>
      <c r="I551" s="16" t="n"/>
      <c r="J551" s="17" t="n"/>
      <c r="K551" s="17" t="n"/>
      <c r="L551" s="17" t="n"/>
      <c r="M551" s="16" t="n"/>
      <c r="N551" s="16" t="n"/>
      <c r="O551" s="18" t="n"/>
      <c r="P551" s="18" t="n"/>
      <c r="Q551" s="16" t="n"/>
    </row>
    <row r="552">
      <c r="E552" s="20" t="n"/>
      <c r="F552" s="20" t="n"/>
      <c r="G552" s="20" t="n"/>
      <c r="H552" s="16" t="n"/>
      <c r="I552" s="16" t="n"/>
      <c r="J552" s="17" t="n"/>
      <c r="K552" s="17" t="n"/>
      <c r="L552" s="17" t="n"/>
      <c r="M552" s="16" t="n"/>
      <c r="N552" s="16" t="n"/>
      <c r="O552" s="18" t="n"/>
      <c r="P552" s="18" t="n"/>
      <c r="Q552" s="16" t="n"/>
    </row>
    <row r="553">
      <c r="E553" s="20" t="n"/>
      <c r="F553" s="20" t="n"/>
      <c r="G553" s="20" t="n"/>
      <c r="H553" s="16" t="n"/>
      <c r="I553" s="16" t="n"/>
      <c r="J553" s="17" t="n"/>
      <c r="K553" s="17" t="n"/>
      <c r="L553" s="17" t="n"/>
      <c r="M553" s="16" t="n"/>
      <c r="N553" s="16" t="n"/>
      <c r="O553" s="18" t="n"/>
      <c r="P553" s="18" t="n"/>
      <c r="Q553" s="16" t="n"/>
    </row>
    <row r="554">
      <c r="E554" s="20" t="n"/>
      <c r="F554" s="20" t="n"/>
      <c r="G554" s="20" t="n"/>
      <c r="H554" s="16" t="n"/>
      <c r="I554" s="16" t="n"/>
      <c r="J554" s="17" t="n"/>
      <c r="K554" s="17" t="n"/>
      <c r="L554" s="17" t="n"/>
      <c r="M554" s="16" t="n"/>
      <c r="N554" s="16" t="n"/>
      <c r="O554" s="18" t="n"/>
      <c r="P554" s="18" t="n"/>
      <c r="Q554" s="16" t="n"/>
    </row>
    <row r="555">
      <c r="E555" s="20" t="n"/>
      <c r="F555" s="20" t="n"/>
      <c r="G555" s="20" t="n"/>
      <c r="H555" s="16" t="n"/>
      <c r="I555" s="16" t="n"/>
      <c r="J555" s="17" t="n"/>
      <c r="K555" s="17" t="n"/>
      <c r="L555" s="17" t="n"/>
      <c r="M555" s="16" t="n"/>
      <c r="N555" s="16" t="n"/>
      <c r="O555" s="18" t="n"/>
      <c r="P555" s="18" t="n"/>
      <c r="Q555" s="16" t="n"/>
    </row>
    <row r="556">
      <c r="E556" s="20" t="n"/>
      <c r="F556" s="20" t="n"/>
      <c r="G556" s="20" t="n"/>
      <c r="H556" s="16" t="n"/>
      <c r="I556" s="16" t="n"/>
      <c r="J556" s="17" t="n"/>
      <c r="K556" s="17" t="n"/>
      <c r="L556" s="17" t="n"/>
      <c r="M556" s="16" t="n"/>
      <c r="N556" s="16" t="n"/>
      <c r="O556" s="18" t="n"/>
      <c r="P556" s="18" t="n"/>
      <c r="Q556" s="16" t="n"/>
    </row>
    <row r="557">
      <c r="E557" s="20" t="n"/>
      <c r="F557" s="20" t="n"/>
      <c r="G557" s="20" t="n"/>
      <c r="H557" s="16" t="n"/>
      <c r="I557" s="16" t="n"/>
      <c r="J557" s="17" t="n"/>
      <c r="K557" s="17" t="n"/>
      <c r="L557" s="17" t="n"/>
      <c r="M557" s="16" t="n"/>
      <c r="N557" s="16" t="n"/>
      <c r="O557" s="18" t="n"/>
      <c r="P557" s="18" t="n"/>
      <c r="Q557" s="16" t="n"/>
    </row>
    <row r="558">
      <c r="E558" s="20" t="n"/>
      <c r="F558" s="20" t="n"/>
      <c r="G558" s="20" t="n"/>
      <c r="H558" s="16" t="n"/>
      <c r="I558" s="16" t="n"/>
      <c r="J558" s="17" t="n"/>
      <c r="K558" s="17" t="n"/>
      <c r="L558" s="17" t="n"/>
      <c r="M558" s="16" t="n"/>
      <c r="N558" s="16" t="n"/>
      <c r="O558" s="18" t="n"/>
      <c r="P558" s="18" t="n"/>
      <c r="Q558" s="16" t="n"/>
    </row>
    <row r="559">
      <c r="E559" s="20" t="n"/>
      <c r="F559" s="20" t="n"/>
      <c r="G559" s="20" t="n"/>
      <c r="H559" s="16" t="n"/>
      <c r="I559" s="16" t="n"/>
      <c r="J559" s="17" t="n"/>
      <c r="K559" s="17" t="n"/>
      <c r="L559" s="17" t="n"/>
      <c r="M559" s="16" t="n"/>
      <c r="N559" s="16" t="n"/>
      <c r="O559" s="18" t="n"/>
      <c r="P559" s="18" t="n"/>
      <c r="Q559" s="16" t="n"/>
    </row>
    <row r="560">
      <c r="E560" s="20" t="n"/>
      <c r="F560" s="20" t="n"/>
      <c r="G560" s="20" t="n"/>
      <c r="H560" s="16" t="n"/>
      <c r="I560" s="16" t="n"/>
      <c r="J560" s="17" t="n"/>
      <c r="K560" s="17" t="n"/>
      <c r="L560" s="17" t="n"/>
      <c r="M560" s="16" t="n"/>
      <c r="N560" s="16" t="n"/>
      <c r="O560" s="18" t="n"/>
      <c r="P560" s="18" t="n"/>
      <c r="Q560" s="16" t="n"/>
    </row>
    <row r="561">
      <c r="E561" s="20" t="n"/>
      <c r="F561" s="20" t="n"/>
      <c r="G561" s="20" t="n"/>
      <c r="H561" s="16" t="n"/>
      <c r="I561" s="16" t="n"/>
      <c r="J561" s="17" t="n"/>
      <c r="K561" s="17" t="n"/>
      <c r="L561" s="17" t="n"/>
      <c r="M561" s="16" t="n"/>
      <c r="N561" s="16" t="n"/>
      <c r="O561" s="18" t="n"/>
      <c r="P561" s="18" t="n"/>
      <c r="Q561" s="16" t="n"/>
    </row>
    <row r="562">
      <c r="E562" s="20" t="n"/>
      <c r="F562" s="20" t="n"/>
      <c r="G562" s="20" t="n"/>
      <c r="H562" s="16" t="n"/>
      <c r="I562" s="16" t="n"/>
      <c r="J562" s="17" t="n"/>
      <c r="K562" s="17" t="n"/>
      <c r="L562" s="17" t="n"/>
      <c r="M562" s="16" t="n"/>
      <c r="N562" s="16" t="n"/>
      <c r="O562" s="18" t="n"/>
      <c r="P562" s="18" t="n"/>
      <c r="Q562" s="16" t="n"/>
    </row>
    <row r="563">
      <c r="E563" s="20" t="n"/>
      <c r="F563" s="20" t="n"/>
      <c r="G563" s="20" t="n"/>
      <c r="H563" s="16" t="n"/>
      <c r="I563" s="16" t="n"/>
      <c r="J563" s="17" t="n"/>
      <c r="K563" s="17" t="n"/>
      <c r="L563" s="17" t="n"/>
      <c r="M563" s="16" t="n"/>
      <c r="N563" s="16" t="n"/>
      <c r="O563" s="18" t="n"/>
      <c r="P563" s="18" t="n"/>
      <c r="Q563" s="16" t="n"/>
    </row>
    <row r="564">
      <c r="E564" s="20" t="n"/>
      <c r="F564" s="20" t="n"/>
      <c r="G564" s="20" t="n"/>
      <c r="H564" s="16" t="n"/>
      <c r="I564" s="16" t="n"/>
      <c r="J564" s="17" t="n"/>
      <c r="K564" s="17" t="n"/>
      <c r="L564" s="17" t="n"/>
      <c r="M564" s="16" t="n"/>
      <c r="N564" s="16" t="n"/>
      <c r="O564" s="18" t="n"/>
      <c r="P564" s="18" t="n"/>
      <c r="Q564" s="16" t="n"/>
    </row>
    <row r="565">
      <c r="E565" s="20" t="n"/>
      <c r="F565" s="20" t="n"/>
      <c r="G565" s="20" t="n"/>
      <c r="H565" s="16" t="n"/>
      <c r="I565" s="16" t="n"/>
      <c r="J565" s="17" t="n"/>
      <c r="K565" s="17" t="n"/>
      <c r="L565" s="17" t="n"/>
      <c r="M565" s="16" t="n"/>
      <c r="N565" s="16" t="n"/>
      <c r="O565" s="18" t="n"/>
      <c r="P565" s="18" t="n"/>
      <c r="Q565" s="16" t="n"/>
    </row>
    <row r="566">
      <c r="E566" s="20" t="n"/>
      <c r="F566" s="20" t="n"/>
      <c r="G566" s="20" t="n"/>
      <c r="H566" s="16" t="n"/>
      <c r="I566" s="16" t="n"/>
      <c r="J566" s="17" t="n"/>
      <c r="K566" s="17" t="n"/>
      <c r="L566" s="17" t="n"/>
      <c r="M566" s="16" t="n"/>
      <c r="N566" s="16" t="n"/>
      <c r="O566" s="18" t="n"/>
      <c r="P566" s="18" t="n"/>
      <c r="Q566" s="16" t="n"/>
    </row>
    <row r="567">
      <c r="E567" s="20" t="n"/>
      <c r="F567" s="20" t="n"/>
      <c r="G567" s="20" t="n"/>
      <c r="H567" s="16" t="n"/>
      <c r="I567" s="16" t="n"/>
      <c r="J567" s="17" t="n"/>
      <c r="K567" s="17" t="n"/>
      <c r="L567" s="17" t="n"/>
      <c r="M567" s="16" t="n"/>
      <c r="N567" s="16" t="n"/>
      <c r="O567" s="18" t="n"/>
      <c r="P567" s="18" t="n"/>
      <c r="Q567" s="16" t="n"/>
    </row>
    <row r="568">
      <c r="E568" s="20" t="n"/>
      <c r="F568" s="20" t="n"/>
      <c r="G568" s="20" t="n"/>
      <c r="H568" s="16" t="n"/>
      <c r="I568" s="16" t="n"/>
      <c r="J568" s="17" t="n"/>
      <c r="K568" s="17" t="n"/>
      <c r="L568" s="17" t="n"/>
      <c r="M568" s="16" t="n"/>
      <c r="N568" s="16" t="n"/>
      <c r="O568" s="18" t="n"/>
      <c r="P568" s="18" t="n"/>
      <c r="Q568" s="16" t="n"/>
    </row>
    <row r="569">
      <c r="E569" s="20" t="n"/>
      <c r="F569" s="20" t="n"/>
      <c r="G569" s="20" t="n"/>
      <c r="H569" s="16" t="n"/>
      <c r="I569" s="16" t="n"/>
      <c r="J569" s="17" t="n"/>
      <c r="K569" s="17" t="n"/>
      <c r="L569" s="17" t="n"/>
      <c r="M569" s="16" t="n"/>
      <c r="N569" s="16" t="n"/>
      <c r="O569" s="18" t="n"/>
      <c r="P569" s="18" t="n"/>
      <c r="Q569" s="16" t="n"/>
    </row>
    <row r="570">
      <c r="E570" s="20" t="n"/>
      <c r="F570" s="20" t="n"/>
      <c r="G570" s="20" t="n"/>
      <c r="H570" s="16" t="n"/>
      <c r="I570" s="16" t="n"/>
      <c r="J570" s="17" t="n"/>
      <c r="K570" s="17" t="n"/>
      <c r="L570" s="17" t="n"/>
      <c r="M570" s="16" t="n"/>
      <c r="N570" s="16" t="n"/>
      <c r="O570" s="18" t="n"/>
      <c r="P570" s="18" t="n"/>
      <c r="Q570" s="16" t="n"/>
    </row>
    <row r="571">
      <c r="E571" s="20" t="n"/>
      <c r="F571" s="20" t="n"/>
      <c r="G571" s="20" t="n"/>
      <c r="H571" s="16" t="n"/>
      <c r="I571" s="16" t="n"/>
      <c r="J571" s="17" t="n"/>
      <c r="K571" s="17" t="n"/>
      <c r="L571" s="17" t="n"/>
      <c r="M571" s="16" t="n"/>
      <c r="N571" s="16" t="n"/>
      <c r="O571" s="18" t="n"/>
      <c r="P571" s="18" t="n"/>
      <c r="Q571" s="16" t="n"/>
    </row>
    <row r="572">
      <c r="E572" s="20" t="n"/>
      <c r="F572" s="20" t="n"/>
      <c r="G572" s="20" t="n"/>
      <c r="H572" s="16" t="n"/>
      <c r="I572" s="16" t="n"/>
      <c r="J572" s="17" t="n"/>
      <c r="K572" s="17" t="n"/>
      <c r="L572" s="17" t="n"/>
      <c r="M572" s="16" t="n"/>
      <c r="N572" s="16" t="n"/>
      <c r="O572" s="18" t="n"/>
      <c r="P572" s="18" t="n"/>
      <c r="Q572" s="16" t="n"/>
    </row>
    <row r="573">
      <c r="E573" s="20" t="n"/>
      <c r="F573" s="20" t="n"/>
      <c r="G573" s="20" t="n"/>
      <c r="H573" s="16" t="n"/>
      <c r="I573" s="16" t="n"/>
      <c r="J573" s="17" t="n"/>
      <c r="K573" s="17" t="n"/>
      <c r="L573" s="17" t="n"/>
      <c r="M573" s="16" t="n"/>
      <c r="N573" s="16" t="n"/>
      <c r="O573" s="18" t="n"/>
      <c r="P573" s="18" t="n"/>
      <c r="Q573" s="16" t="n"/>
    </row>
    <row r="574">
      <c r="E574" s="20" t="n"/>
      <c r="F574" s="20" t="n"/>
      <c r="G574" s="20" t="n"/>
      <c r="H574" s="16" t="n"/>
      <c r="I574" s="16" t="n"/>
      <c r="J574" s="17" t="n"/>
      <c r="K574" s="17" t="n"/>
      <c r="L574" s="17" t="n"/>
      <c r="M574" s="16" t="n"/>
      <c r="N574" s="16" t="n"/>
      <c r="O574" s="18" t="n"/>
      <c r="P574" s="18" t="n"/>
      <c r="Q574" s="16" t="n"/>
    </row>
    <row r="575">
      <c r="E575" s="20" t="n"/>
      <c r="F575" s="20" t="n"/>
      <c r="G575" s="20" t="n"/>
      <c r="H575" s="16" t="n"/>
      <c r="I575" s="16" t="n"/>
      <c r="J575" s="17" t="n"/>
      <c r="K575" s="17" t="n"/>
      <c r="L575" s="17" t="n"/>
      <c r="M575" s="16" t="n"/>
      <c r="N575" s="16" t="n"/>
      <c r="O575" s="18" t="n"/>
      <c r="P575" s="18" t="n"/>
      <c r="Q575" s="16" t="n"/>
    </row>
    <row r="576">
      <c r="E576" s="20" t="n"/>
      <c r="F576" s="20" t="n"/>
      <c r="G576" s="20" t="n"/>
      <c r="H576" s="16" t="n"/>
      <c r="I576" s="16" t="n"/>
      <c r="J576" s="17" t="n"/>
      <c r="K576" s="17" t="n"/>
      <c r="L576" s="17" t="n"/>
      <c r="M576" s="16" t="n"/>
      <c r="N576" s="16" t="n"/>
      <c r="O576" s="18" t="n"/>
      <c r="P576" s="18" t="n"/>
      <c r="Q576" s="16" t="n"/>
    </row>
    <row r="577">
      <c r="E577" s="20" t="n"/>
      <c r="F577" s="20" t="n"/>
      <c r="G577" s="20" t="n"/>
      <c r="H577" s="16" t="n"/>
      <c r="I577" s="16" t="n"/>
      <c r="J577" s="17" t="n"/>
      <c r="K577" s="17" t="n"/>
      <c r="L577" s="17" t="n"/>
      <c r="M577" s="16" t="n"/>
      <c r="N577" s="16" t="n"/>
      <c r="O577" s="18" t="n"/>
      <c r="P577" s="18" t="n"/>
      <c r="Q577" s="16" t="n"/>
    </row>
    <row r="578">
      <c r="E578" s="20" t="n"/>
      <c r="F578" s="20" t="n"/>
      <c r="G578" s="20" t="n"/>
      <c r="H578" s="16" t="n"/>
      <c r="I578" s="16" t="n"/>
      <c r="J578" s="17" t="n"/>
      <c r="K578" s="17" t="n"/>
      <c r="L578" s="17" t="n"/>
      <c r="M578" s="16" t="n"/>
      <c r="N578" s="16" t="n"/>
      <c r="O578" s="18" t="n"/>
      <c r="P578" s="18" t="n"/>
      <c r="Q578" s="16" t="n"/>
    </row>
    <row r="579">
      <c r="E579" s="20" t="n"/>
      <c r="F579" s="20" t="n"/>
      <c r="G579" s="20" t="n"/>
      <c r="H579" s="16" t="n"/>
      <c r="I579" s="16" t="n"/>
      <c r="J579" s="17" t="n"/>
      <c r="K579" s="17" t="n"/>
      <c r="L579" s="17" t="n"/>
      <c r="M579" s="16" t="n"/>
      <c r="N579" s="16" t="n"/>
      <c r="O579" s="18" t="n"/>
      <c r="P579" s="18" t="n"/>
      <c r="Q579" s="16" t="n"/>
    </row>
    <row r="580">
      <c r="E580" s="20" t="n"/>
      <c r="F580" s="20" t="n"/>
      <c r="G580" s="20" t="n"/>
      <c r="H580" s="16" t="n"/>
      <c r="I580" s="16" t="n"/>
      <c r="J580" s="17" t="n"/>
      <c r="K580" s="17" t="n"/>
      <c r="L580" s="17" t="n"/>
      <c r="M580" s="16" t="n"/>
      <c r="N580" s="16" t="n"/>
      <c r="O580" s="18" t="n"/>
      <c r="P580" s="18" t="n"/>
      <c r="Q580" s="16" t="n"/>
    </row>
    <row r="581">
      <c r="E581" s="20" t="n"/>
      <c r="F581" s="20" t="n"/>
      <c r="G581" s="20" t="n"/>
      <c r="H581" s="16" t="n"/>
      <c r="I581" s="16" t="n"/>
      <c r="J581" s="17" t="n"/>
      <c r="K581" s="17" t="n"/>
      <c r="L581" s="17" t="n"/>
      <c r="M581" s="16" t="n"/>
      <c r="N581" s="16" t="n"/>
      <c r="O581" s="18" t="n"/>
      <c r="P581" s="18" t="n"/>
      <c r="Q581" s="16" t="n"/>
    </row>
    <row r="582">
      <c r="E582" s="20" t="n"/>
      <c r="F582" s="20" t="n"/>
      <c r="G582" s="20" t="n"/>
      <c r="H582" s="16" t="n"/>
      <c r="I582" s="16" t="n"/>
      <c r="J582" s="17" t="n"/>
      <c r="K582" s="17" t="n"/>
      <c r="L582" s="17" t="n"/>
      <c r="M582" s="16" t="n"/>
      <c r="N582" s="16" t="n"/>
      <c r="O582" s="18" t="n"/>
      <c r="P582" s="18" t="n"/>
      <c r="Q582" s="16" t="n"/>
    </row>
    <row r="583">
      <c r="E583" s="20" t="n"/>
      <c r="F583" s="20" t="n"/>
      <c r="G583" s="20" t="n"/>
      <c r="H583" s="16" t="n"/>
      <c r="I583" s="16" t="n"/>
      <c r="J583" s="17" t="n"/>
      <c r="K583" s="17" t="n"/>
      <c r="L583" s="17" t="n"/>
      <c r="M583" s="16" t="n"/>
      <c r="N583" s="16" t="n"/>
      <c r="O583" s="18" t="n"/>
      <c r="P583" s="18" t="n"/>
      <c r="Q583" s="16" t="n"/>
    </row>
    <row r="584">
      <c r="E584" s="20" t="n"/>
      <c r="F584" s="20" t="n"/>
      <c r="G584" s="20" t="n"/>
      <c r="H584" s="16" t="n"/>
      <c r="I584" s="16" t="n"/>
      <c r="J584" s="17" t="n"/>
      <c r="K584" s="17" t="n"/>
      <c r="L584" s="17" t="n"/>
      <c r="M584" s="16" t="n"/>
      <c r="N584" s="16" t="n"/>
      <c r="O584" s="18" t="n"/>
      <c r="P584" s="18" t="n"/>
      <c r="Q584" s="16" t="n"/>
    </row>
    <row r="585">
      <c r="E585" s="20" t="n"/>
      <c r="F585" s="20" t="n"/>
      <c r="G585" s="20" t="n"/>
      <c r="H585" s="16" t="n"/>
      <c r="I585" s="16" t="n"/>
      <c r="J585" s="17" t="n"/>
      <c r="K585" s="17" t="n"/>
      <c r="L585" s="17" t="n"/>
      <c r="M585" s="16" t="n"/>
      <c r="N585" s="16" t="n"/>
      <c r="O585" s="18" t="n"/>
      <c r="P585" s="18" t="n"/>
      <c r="Q585" s="16" t="n"/>
    </row>
    <row r="586">
      <c r="E586" s="20" t="n"/>
      <c r="F586" s="20" t="n"/>
      <c r="G586" s="20" t="n"/>
      <c r="H586" s="16" t="n"/>
      <c r="I586" s="16" t="n"/>
      <c r="J586" s="17" t="n"/>
      <c r="K586" s="17" t="n"/>
      <c r="L586" s="17" t="n"/>
      <c r="M586" s="16" t="n"/>
      <c r="N586" s="16" t="n"/>
      <c r="O586" s="18" t="n"/>
      <c r="P586" s="18" t="n"/>
      <c r="Q586" s="16" t="n"/>
    </row>
    <row r="587">
      <c r="E587" s="20" t="n"/>
      <c r="F587" s="20" t="n"/>
      <c r="G587" s="20" t="n"/>
      <c r="H587" s="16" t="n"/>
      <c r="I587" s="16" t="n"/>
      <c r="J587" s="17" t="n"/>
      <c r="K587" s="17" t="n"/>
      <c r="L587" s="17" t="n"/>
      <c r="M587" s="16" t="n"/>
      <c r="N587" s="16" t="n"/>
      <c r="O587" s="18" t="n"/>
      <c r="P587" s="18" t="n"/>
      <c r="Q587" s="16" t="n"/>
    </row>
    <row r="588">
      <c r="E588" s="20" t="n"/>
      <c r="F588" s="20" t="n"/>
      <c r="G588" s="20" t="n"/>
      <c r="H588" s="16" t="n"/>
      <c r="I588" s="16" t="n"/>
      <c r="J588" s="17" t="n"/>
      <c r="K588" s="17" t="n"/>
      <c r="L588" s="17" t="n"/>
      <c r="M588" s="16" t="n"/>
      <c r="N588" s="16" t="n"/>
      <c r="O588" s="18" t="n"/>
      <c r="P588" s="18" t="n"/>
      <c r="Q588" s="16" t="n"/>
    </row>
    <row r="589">
      <c r="E589" s="20" t="n"/>
      <c r="F589" s="20" t="n"/>
      <c r="G589" s="20" t="n"/>
      <c r="H589" s="16" t="n"/>
      <c r="I589" s="16" t="n"/>
      <c r="J589" s="17" t="n"/>
      <c r="K589" s="17" t="n"/>
      <c r="L589" s="17" t="n"/>
      <c r="M589" s="16" t="n"/>
      <c r="N589" s="16" t="n"/>
      <c r="O589" s="18" t="n"/>
      <c r="P589" s="18" t="n"/>
      <c r="Q589" s="16" t="n"/>
    </row>
    <row r="590">
      <c r="E590" s="20" t="n"/>
      <c r="F590" s="20" t="n"/>
      <c r="G590" s="20" t="n"/>
      <c r="H590" s="16" t="n"/>
      <c r="I590" s="16" t="n"/>
      <c r="J590" s="17" t="n"/>
      <c r="K590" s="17" t="n"/>
      <c r="L590" s="17" t="n"/>
      <c r="M590" s="16" t="n"/>
      <c r="N590" s="16" t="n"/>
      <c r="O590" s="18" t="n"/>
      <c r="P590" s="18" t="n"/>
      <c r="Q590" s="16" t="n"/>
    </row>
    <row r="591">
      <c r="E591" s="20" t="n"/>
      <c r="F591" s="20" t="n"/>
      <c r="G591" s="20" t="n"/>
      <c r="H591" s="16" t="n"/>
      <c r="I591" s="16" t="n"/>
      <c r="J591" s="17" t="n"/>
      <c r="K591" s="17" t="n"/>
      <c r="L591" s="17" t="n"/>
      <c r="M591" s="16" t="n"/>
      <c r="N591" s="16" t="n"/>
      <c r="O591" s="18" t="n"/>
      <c r="P591" s="18" t="n"/>
      <c r="Q591" s="16" t="n"/>
    </row>
    <row r="592">
      <c r="E592" s="20" t="n"/>
      <c r="F592" s="20" t="n"/>
      <c r="G592" s="20" t="n"/>
      <c r="H592" s="16" t="n"/>
      <c r="I592" s="16" t="n"/>
      <c r="J592" s="17" t="n"/>
      <c r="K592" s="17" t="n"/>
      <c r="L592" s="17" t="n"/>
      <c r="M592" s="16" t="n"/>
      <c r="N592" s="16" t="n"/>
      <c r="O592" s="18" t="n"/>
      <c r="P592" s="18" t="n"/>
      <c r="Q592" s="16" t="n"/>
    </row>
    <row r="593">
      <c r="E593" s="20" t="n"/>
      <c r="F593" s="20" t="n"/>
      <c r="G593" s="20" t="n"/>
      <c r="H593" s="16" t="n"/>
      <c r="I593" s="16" t="n"/>
      <c r="J593" s="17" t="n"/>
      <c r="K593" s="17" t="n"/>
      <c r="L593" s="17" t="n"/>
      <c r="M593" s="16" t="n"/>
      <c r="N593" s="16" t="n"/>
      <c r="O593" s="18" t="n"/>
      <c r="P593" s="18" t="n"/>
      <c r="Q593" s="16" t="n"/>
    </row>
    <row r="594">
      <c r="E594" s="20" t="n"/>
      <c r="F594" s="20" t="n"/>
      <c r="G594" s="20" t="n"/>
      <c r="H594" s="16" t="n"/>
      <c r="I594" s="16" t="n"/>
      <c r="J594" s="17" t="n"/>
      <c r="K594" s="17" t="n"/>
      <c r="L594" s="17" t="n"/>
      <c r="M594" s="16" t="n"/>
      <c r="N594" s="16" t="n"/>
      <c r="O594" s="18" t="n"/>
      <c r="P594" s="18" t="n"/>
      <c r="Q594" s="16" t="n"/>
    </row>
    <row r="595">
      <c r="E595" s="20" t="n"/>
      <c r="F595" s="20" t="n"/>
      <c r="G595" s="20" t="n"/>
      <c r="H595" s="16" t="n"/>
      <c r="I595" s="16" t="n"/>
      <c r="J595" s="17" t="n"/>
      <c r="K595" s="17" t="n"/>
      <c r="L595" s="17" t="n"/>
      <c r="M595" s="16" t="n"/>
      <c r="N595" s="16" t="n"/>
      <c r="O595" s="18" t="n"/>
      <c r="P595" s="18" t="n"/>
      <c r="Q595" s="16" t="n"/>
    </row>
    <row r="596">
      <c r="E596" s="20" t="n"/>
      <c r="F596" s="20" t="n"/>
      <c r="G596" s="20" t="n"/>
      <c r="H596" s="16" t="n"/>
      <c r="I596" s="16" t="n"/>
      <c r="J596" s="17" t="n"/>
      <c r="K596" s="17" t="n"/>
      <c r="L596" s="17" t="n"/>
      <c r="M596" s="16" t="n"/>
      <c r="N596" s="16" t="n"/>
      <c r="O596" s="18" t="n"/>
      <c r="P596" s="18" t="n"/>
      <c r="Q596" s="16" t="n"/>
    </row>
    <row r="597">
      <c r="E597" s="20" t="n"/>
      <c r="F597" s="20" t="n"/>
      <c r="G597" s="20" t="n"/>
      <c r="H597" s="16" t="n"/>
      <c r="I597" s="16" t="n"/>
      <c r="J597" s="17" t="n"/>
      <c r="K597" s="17" t="n"/>
      <c r="L597" s="17" t="n"/>
      <c r="M597" s="16" t="n"/>
      <c r="N597" s="16" t="n"/>
      <c r="O597" s="18" t="n"/>
      <c r="P597" s="18" t="n"/>
      <c r="Q597" s="16" t="n"/>
    </row>
    <row r="598">
      <c r="E598" s="20" t="n"/>
      <c r="F598" s="20" t="n"/>
      <c r="G598" s="20" t="n"/>
      <c r="H598" s="16" t="n"/>
      <c r="I598" s="16" t="n"/>
      <c r="J598" s="17" t="n"/>
      <c r="K598" s="17" t="n"/>
      <c r="L598" s="17" t="n"/>
      <c r="M598" s="16" t="n"/>
      <c r="N598" s="16" t="n"/>
      <c r="O598" s="18" t="n"/>
      <c r="P598" s="18" t="n"/>
      <c r="Q598" s="16" t="n"/>
    </row>
    <row r="599">
      <c r="E599" s="20" t="n"/>
      <c r="F599" s="20" t="n"/>
      <c r="G599" s="20" t="n"/>
      <c r="H599" s="16" t="n"/>
      <c r="I599" s="16" t="n"/>
      <c r="J599" s="17" t="n"/>
      <c r="K599" s="17" t="n"/>
      <c r="L599" s="17" t="n"/>
      <c r="M599" s="16" t="n"/>
      <c r="N599" s="16" t="n"/>
      <c r="O599" s="18" t="n"/>
      <c r="P599" s="18" t="n"/>
      <c r="Q599" s="16" t="n"/>
    </row>
    <row r="600">
      <c r="E600" s="20" t="n"/>
      <c r="F600" s="20" t="n"/>
      <c r="G600" s="20" t="n"/>
      <c r="H600" s="16" t="n"/>
      <c r="I600" s="16" t="n"/>
      <c r="J600" s="17" t="n"/>
      <c r="K600" s="17" t="n"/>
      <c r="L600" s="17" t="n"/>
      <c r="M600" s="16" t="n"/>
      <c r="N600" s="16" t="n"/>
      <c r="O600" s="18" t="n"/>
      <c r="P600" s="18" t="n"/>
      <c r="Q600" s="16" t="n"/>
    </row>
    <row r="601">
      <c r="E601" s="20" t="n"/>
      <c r="F601" s="20" t="n"/>
      <c r="G601" s="20" t="n"/>
      <c r="H601" s="16" t="n"/>
      <c r="I601" s="16" t="n"/>
      <c r="J601" s="17" t="n"/>
      <c r="K601" s="17" t="n"/>
      <c r="L601" s="17" t="n"/>
      <c r="M601" s="16" t="n"/>
      <c r="N601" s="16" t="n"/>
      <c r="O601" s="18" t="n"/>
      <c r="P601" s="18" t="n"/>
      <c r="Q601" s="16" t="n"/>
    </row>
    <row r="602">
      <c r="E602" s="20" t="n"/>
      <c r="F602" s="20" t="n"/>
      <c r="G602" s="20" t="n"/>
      <c r="H602" s="16" t="n"/>
      <c r="I602" s="16" t="n"/>
      <c r="J602" s="17" t="n"/>
      <c r="K602" s="17" t="n"/>
      <c r="L602" s="17" t="n"/>
      <c r="M602" s="16" t="n"/>
      <c r="N602" s="16" t="n"/>
      <c r="O602" s="18" t="n"/>
      <c r="P602" s="18" t="n"/>
      <c r="Q602" s="16" t="n"/>
    </row>
    <row r="603">
      <c r="E603" s="20" t="n"/>
      <c r="F603" s="20" t="n"/>
      <c r="G603" s="20" t="n"/>
      <c r="H603" s="16" t="n"/>
      <c r="I603" s="16" t="n"/>
      <c r="J603" s="17" t="n"/>
      <c r="K603" s="17" t="n"/>
      <c r="L603" s="17" t="n"/>
      <c r="M603" s="16" t="n"/>
      <c r="N603" s="16" t="n"/>
      <c r="O603" s="18" t="n"/>
      <c r="P603" s="18" t="n"/>
      <c r="Q603" s="16" t="n"/>
    </row>
    <row r="604">
      <c r="E604" s="20" t="n"/>
      <c r="F604" s="20" t="n"/>
      <c r="G604" s="20" t="n"/>
      <c r="H604" s="16" t="n"/>
      <c r="I604" s="16" t="n"/>
      <c r="J604" s="17" t="n"/>
      <c r="K604" s="17" t="n"/>
      <c r="L604" s="17" t="n"/>
      <c r="M604" s="16" t="n"/>
      <c r="N604" s="16" t="n"/>
      <c r="O604" s="18" t="n"/>
      <c r="P604" s="18" t="n"/>
      <c r="Q604" s="16" t="n"/>
    </row>
    <row r="605">
      <c r="E605" s="20" t="n"/>
      <c r="F605" s="20" t="n"/>
      <c r="G605" s="20" t="n"/>
      <c r="H605" s="16" t="n"/>
      <c r="I605" s="16" t="n"/>
      <c r="J605" s="17" t="n"/>
      <c r="K605" s="17" t="n"/>
      <c r="L605" s="17" t="n"/>
      <c r="M605" s="16" t="n"/>
      <c r="N605" s="16" t="n"/>
      <c r="O605" s="18" t="n"/>
      <c r="P605" s="18" t="n"/>
      <c r="Q605" s="16" t="n"/>
    </row>
    <row r="606">
      <c r="E606" s="20" t="n"/>
      <c r="F606" s="20" t="n"/>
      <c r="G606" s="20" t="n"/>
      <c r="H606" s="16" t="n"/>
      <c r="I606" s="16" t="n"/>
      <c r="J606" s="17" t="n"/>
      <c r="K606" s="17" t="n"/>
      <c r="L606" s="17" t="n"/>
      <c r="M606" s="16" t="n"/>
      <c r="N606" s="16" t="n"/>
      <c r="O606" s="18" t="n"/>
      <c r="P606" s="18" t="n"/>
      <c r="Q606" s="16" t="n"/>
    </row>
    <row r="607">
      <c r="E607" s="20" t="n"/>
      <c r="F607" s="20" t="n"/>
      <c r="G607" s="20" t="n"/>
      <c r="H607" s="16" t="n"/>
      <c r="I607" s="16" t="n"/>
      <c r="J607" s="17" t="n"/>
      <c r="K607" s="17" t="n"/>
      <c r="L607" s="17" t="n"/>
      <c r="M607" s="16" t="n"/>
      <c r="N607" s="16" t="n"/>
      <c r="O607" s="18" t="n"/>
      <c r="P607" s="18" t="n"/>
      <c r="Q607" s="16" t="n"/>
    </row>
    <row r="608">
      <c r="E608" s="20" t="n"/>
      <c r="F608" s="20" t="n"/>
      <c r="G608" s="20" t="n"/>
      <c r="H608" s="16" t="n"/>
      <c r="I608" s="16" t="n"/>
      <c r="J608" s="17" t="n"/>
      <c r="K608" s="17" t="n"/>
      <c r="L608" s="17" t="n"/>
      <c r="M608" s="16" t="n"/>
      <c r="N608" s="16" t="n"/>
      <c r="O608" s="18" t="n"/>
      <c r="P608" s="18" t="n"/>
      <c r="Q608" s="16" t="n"/>
    </row>
    <row r="609">
      <c r="E609" s="20" t="n"/>
      <c r="F609" s="20" t="n"/>
      <c r="G609" s="20" t="n"/>
      <c r="H609" s="16" t="n"/>
      <c r="I609" s="16" t="n"/>
      <c r="J609" s="17" t="n"/>
      <c r="K609" s="17" t="n"/>
      <c r="L609" s="17" t="n"/>
      <c r="M609" s="16" t="n"/>
      <c r="N609" s="16" t="n"/>
      <c r="O609" s="18" t="n"/>
      <c r="P609" s="18" t="n"/>
      <c r="Q609" s="16" t="n"/>
    </row>
    <row r="610">
      <c r="E610" s="20" t="n"/>
      <c r="F610" s="20" t="n"/>
      <c r="G610" s="20" t="n"/>
      <c r="H610" s="16" t="n"/>
      <c r="I610" s="16" t="n"/>
      <c r="J610" s="17" t="n"/>
      <c r="K610" s="17" t="n"/>
      <c r="L610" s="17" t="n"/>
      <c r="M610" s="16" t="n"/>
      <c r="N610" s="16" t="n"/>
      <c r="O610" s="18" t="n"/>
      <c r="P610" s="18" t="n"/>
      <c r="Q610" s="16" t="n"/>
    </row>
    <row r="611">
      <c r="E611" s="20" t="n"/>
      <c r="F611" s="20" t="n"/>
      <c r="G611" s="20" t="n"/>
      <c r="H611" s="16" t="n"/>
      <c r="I611" s="16" t="n"/>
      <c r="J611" s="17" t="n"/>
      <c r="K611" s="17" t="n"/>
      <c r="L611" s="17" t="n"/>
      <c r="M611" s="16" t="n"/>
      <c r="N611" s="16" t="n"/>
      <c r="O611" s="18" t="n"/>
      <c r="P611" s="18" t="n"/>
      <c r="Q611" s="16" t="n"/>
    </row>
    <row r="612">
      <c r="E612" s="20" t="n"/>
      <c r="F612" s="20" t="n"/>
      <c r="G612" s="20" t="n"/>
      <c r="H612" s="16" t="n"/>
      <c r="I612" s="16" t="n"/>
      <c r="J612" s="17" t="n"/>
      <c r="K612" s="17" t="n"/>
      <c r="L612" s="17" t="n"/>
      <c r="M612" s="16" t="n"/>
      <c r="N612" s="16" t="n"/>
      <c r="O612" s="18" t="n"/>
      <c r="P612" s="18" t="n"/>
      <c r="Q612" s="16" t="n"/>
    </row>
    <row r="613">
      <c r="E613" s="20" t="n"/>
      <c r="F613" s="20" t="n"/>
      <c r="G613" s="20" t="n"/>
      <c r="H613" s="16" t="n"/>
      <c r="I613" s="16" t="n"/>
      <c r="J613" s="17" t="n"/>
      <c r="K613" s="17" t="n"/>
      <c r="L613" s="17" t="n"/>
      <c r="M613" s="16" t="n"/>
      <c r="N613" s="16" t="n"/>
      <c r="O613" s="18" t="n"/>
      <c r="P613" s="18" t="n"/>
      <c r="Q613" s="16" t="n"/>
    </row>
    <row r="614">
      <c r="E614" s="20" t="n"/>
      <c r="F614" s="20" t="n"/>
      <c r="G614" s="20" t="n"/>
      <c r="H614" s="16" t="n"/>
      <c r="I614" s="16" t="n"/>
      <c r="J614" s="17" t="n"/>
      <c r="K614" s="17" t="n"/>
      <c r="L614" s="17" t="n"/>
      <c r="M614" s="16" t="n"/>
      <c r="N614" s="16" t="n"/>
      <c r="O614" s="18" t="n"/>
      <c r="P614" s="18" t="n"/>
      <c r="Q614" s="16" t="n"/>
    </row>
    <row r="615">
      <c r="E615" s="20" t="n"/>
      <c r="F615" s="20" t="n"/>
      <c r="G615" s="20" t="n"/>
      <c r="H615" s="16" t="n"/>
      <c r="I615" s="16" t="n"/>
      <c r="J615" s="17" t="n"/>
      <c r="K615" s="17" t="n"/>
      <c r="L615" s="17" t="n"/>
      <c r="M615" s="16" t="n"/>
      <c r="N615" s="16" t="n"/>
      <c r="O615" s="18" t="n"/>
      <c r="P615" s="18" t="n"/>
      <c r="Q615" s="16" t="n"/>
    </row>
    <row r="616">
      <c r="E616" s="20" t="n"/>
      <c r="F616" s="20" t="n"/>
      <c r="G616" s="20" t="n"/>
      <c r="H616" s="16" t="n"/>
      <c r="I616" s="16" t="n"/>
      <c r="J616" s="17" t="n"/>
      <c r="K616" s="17" t="n"/>
      <c r="L616" s="17" t="n"/>
      <c r="M616" s="16" t="n"/>
      <c r="N616" s="16" t="n"/>
      <c r="O616" s="18" t="n"/>
      <c r="P616" s="18" t="n"/>
      <c r="Q616" s="16" t="n"/>
    </row>
    <row r="617">
      <c r="E617" s="20" t="n"/>
      <c r="F617" s="20" t="n"/>
      <c r="G617" s="20" t="n"/>
      <c r="H617" s="16" t="n"/>
      <c r="I617" s="16" t="n"/>
      <c r="J617" s="17" t="n"/>
      <c r="K617" s="17" t="n"/>
      <c r="L617" s="17" t="n"/>
      <c r="M617" s="16" t="n"/>
      <c r="N617" s="16" t="n"/>
      <c r="O617" s="18" t="n"/>
      <c r="P617" s="18" t="n"/>
      <c r="Q617" s="16" t="n"/>
    </row>
    <row r="618">
      <c r="E618" s="20" t="n"/>
      <c r="F618" s="20" t="n"/>
      <c r="G618" s="20" t="n"/>
      <c r="H618" s="16" t="n"/>
      <c r="I618" s="16" t="n"/>
      <c r="J618" s="17" t="n"/>
      <c r="K618" s="17" t="n"/>
      <c r="L618" s="17" t="n"/>
      <c r="M618" s="16" t="n"/>
      <c r="N618" s="16" t="n"/>
      <c r="O618" s="18" t="n"/>
      <c r="P618" s="18" t="n"/>
      <c r="Q618" s="16" t="n"/>
    </row>
    <row r="619">
      <c r="E619" s="20" t="n"/>
      <c r="F619" s="20" t="n"/>
      <c r="G619" s="20" t="n"/>
      <c r="H619" s="16" t="n"/>
      <c r="I619" s="16" t="n"/>
      <c r="J619" s="17" t="n"/>
      <c r="K619" s="17" t="n"/>
      <c r="L619" s="17" t="n"/>
      <c r="M619" s="16" t="n"/>
      <c r="N619" s="16" t="n"/>
      <c r="O619" s="18" t="n"/>
      <c r="P619" s="18" t="n"/>
      <c r="Q619" s="16" t="n"/>
    </row>
    <row r="620">
      <c r="E620" s="20" t="n"/>
      <c r="F620" s="20" t="n"/>
      <c r="G620" s="20" t="n"/>
      <c r="H620" s="16" t="n"/>
      <c r="I620" s="16" t="n"/>
      <c r="J620" s="17" t="n"/>
      <c r="K620" s="17" t="n"/>
      <c r="L620" s="17" t="n"/>
      <c r="M620" s="16" t="n"/>
      <c r="N620" s="16" t="n"/>
      <c r="O620" s="18" t="n"/>
      <c r="P620" s="18" t="n"/>
      <c r="Q620" s="16" t="n"/>
    </row>
    <row r="621">
      <c r="E621" s="20" t="n"/>
      <c r="F621" s="20" t="n"/>
      <c r="G621" s="20" t="n"/>
      <c r="H621" s="16" t="n"/>
      <c r="I621" s="16" t="n"/>
      <c r="J621" s="17" t="n"/>
      <c r="K621" s="17" t="n"/>
      <c r="L621" s="17" t="n"/>
      <c r="M621" s="16" t="n"/>
      <c r="N621" s="16" t="n"/>
      <c r="O621" s="18" t="n"/>
      <c r="P621" s="18" t="n"/>
      <c r="Q621" s="16" t="n"/>
    </row>
    <row r="622">
      <c r="E622" s="20" t="n"/>
      <c r="F622" s="20" t="n"/>
      <c r="G622" s="20" t="n"/>
      <c r="H622" s="16" t="n"/>
      <c r="I622" s="16" t="n"/>
      <c r="J622" s="17" t="n"/>
      <c r="K622" s="17" t="n"/>
      <c r="L622" s="17" t="n"/>
      <c r="M622" s="16" t="n"/>
      <c r="N622" s="16" t="n"/>
      <c r="O622" s="18" t="n"/>
      <c r="P622" s="18" t="n"/>
      <c r="Q622" s="16" t="n"/>
    </row>
    <row r="623">
      <c r="E623" s="20" t="n"/>
      <c r="F623" s="20" t="n"/>
      <c r="G623" s="20" t="n"/>
      <c r="H623" s="16" t="n"/>
      <c r="I623" s="16" t="n"/>
      <c r="J623" s="17" t="n"/>
      <c r="K623" s="17" t="n"/>
      <c r="L623" s="17" t="n"/>
      <c r="M623" s="16" t="n"/>
      <c r="N623" s="16" t="n"/>
      <c r="O623" s="18" t="n"/>
      <c r="P623" s="18" t="n"/>
      <c r="Q623" s="16" t="n"/>
    </row>
    <row r="624">
      <c r="E624" s="20" t="n"/>
      <c r="F624" s="20" t="n"/>
      <c r="G624" s="20" t="n"/>
      <c r="H624" s="16" t="n"/>
      <c r="I624" s="16" t="n"/>
      <c r="J624" s="17" t="n"/>
      <c r="K624" s="17" t="n"/>
      <c r="L624" s="17" t="n"/>
      <c r="M624" s="16" t="n"/>
      <c r="N624" s="16" t="n"/>
      <c r="O624" s="18" t="n"/>
      <c r="P624" s="18" t="n"/>
      <c r="Q624" s="16" t="n"/>
    </row>
    <row r="625">
      <c r="E625" s="20" t="n"/>
      <c r="F625" s="20" t="n"/>
      <c r="G625" s="20" t="n"/>
      <c r="H625" s="16" t="n"/>
      <c r="I625" s="16" t="n"/>
      <c r="J625" s="17" t="n"/>
      <c r="K625" s="17" t="n"/>
      <c r="L625" s="17" t="n"/>
      <c r="M625" s="16" t="n"/>
      <c r="N625" s="16" t="n"/>
      <c r="O625" s="18" t="n"/>
      <c r="P625" s="18" t="n"/>
      <c r="Q625" s="16" t="n"/>
    </row>
    <row r="626">
      <c r="E626" s="20" t="n"/>
      <c r="F626" s="20" t="n"/>
      <c r="G626" s="20" t="n"/>
      <c r="H626" s="16" t="n"/>
      <c r="I626" s="16" t="n"/>
      <c r="J626" s="17" t="n"/>
      <c r="K626" s="17" t="n"/>
      <c r="L626" s="17" t="n"/>
      <c r="M626" s="16" t="n"/>
      <c r="N626" s="16" t="n"/>
      <c r="O626" s="18" t="n"/>
      <c r="P626" s="18" t="n"/>
      <c r="Q626" s="16" t="n"/>
    </row>
    <row r="627">
      <c r="E627" s="20" t="n"/>
      <c r="F627" s="20" t="n"/>
      <c r="G627" s="20" t="n"/>
      <c r="H627" s="16" t="n"/>
      <c r="I627" s="16" t="n"/>
      <c r="J627" s="17" t="n"/>
      <c r="K627" s="17" t="n"/>
      <c r="L627" s="17" t="n"/>
      <c r="M627" s="16" t="n"/>
      <c r="N627" s="16" t="n"/>
      <c r="O627" s="18" t="n"/>
      <c r="P627" s="18" t="n"/>
      <c r="Q627" s="16" t="n"/>
    </row>
    <row r="628">
      <c r="E628" s="20" t="n"/>
      <c r="F628" s="20" t="n"/>
      <c r="G628" s="20" t="n"/>
      <c r="H628" s="16" t="n"/>
      <c r="I628" s="16" t="n"/>
      <c r="J628" s="17" t="n"/>
      <c r="K628" s="17" t="n"/>
      <c r="L628" s="17" t="n"/>
      <c r="M628" s="16" t="n"/>
      <c r="N628" s="16" t="n"/>
      <c r="O628" s="18" t="n"/>
      <c r="P628" s="18" t="n"/>
      <c r="Q628" s="16" t="n"/>
    </row>
    <row r="629">
      <c r="E629" s="20" t="n"/>
      <c r="F629" s="20" t="n"/>
      <c r="G629" s="20" t="n"/>
      <c r="H629" s="16" t="n"/>
      <c r="I629" s="16" t="n"/>
      <c r="J629" s="17" t="n"/>
      <c r="K629" s="17" t="n"/>
      <c r="L629" s="17" t="n"/>
      <c r="M629" s="16" t="n"/>
      <c r="N629" s="16" t="n"/>
      <c r="O629" s="18" t="n"/>
      <c r="P629" s="18" t="n"/>
      <c r="Q629" s="16" t="n"/>
    </row>
    <row r="630">
      <c r="E630" s="20" t="n"/>
      <c r="F630" s="20" t="n"/>
      <c r="G630" s="20" t="n"/>
      <c r="H630" s="16" t="n"/>
      <c r="I630" s="16" t="n"/>
      <c r="J630" s="17" t="n"/>
      <c r="K630" s="17" t="n"/>
      <c r="L630" s="17" t="n"/>
      <c r="M630" s="16" t="n"/>
      <c r="N630" s="16" t="n"/>
      <c r="O630" s="18" t="n"/>
      <c r="P630" s="18" t="n"/>
      <c r="Q630" s="16" t="n"/>
    </row>
    <row r="631">
      <c r="E631" s="20" t="n"/>
      <c r="F631" s="20" t="n"/>
      <c r="G631" s="20" t="n"/>
      <c r="H631" s="16" t="n"/>
      <c r="I631" s="16" t="n"/>
      <c r="J631" s="17" t="n"/>
      <c r="K631" s="17" t="n"/>
      <c r="L631" s="17" t="n"/>
      <c r="M631" s="16" t="n"/>
      <c r="N631" s="16" t="n"/>
      <c r="O631" s="18" t="n"/>
      <c r="P631" s="18" t="n"/>
      <c r="Q631" s="16" t="n"/>
    </row>
    <row r="632">
      <c r="E632" s="20" t="n"/>
      <c r="F632" s="20" t="n"/>
      <c r="G632" s="20" t="n"/>
      <c r="H632" s="16" t="n"/>
      <c r="I632" s="16" t="n"/>
      <c r="J632" s="17" t="n"/>
      <c r="K632" s="17" t="n"/>
      <c r="L632" s="17" t="n"/>
      <c r="M632" s="16" t="n"/>
      <c r="N632" s="16" t="n"/>
      <c r="O632" s="18" t="n"/>
      <c r="P632" s="18" t="n"/>
      <c r="Q632" s="16" t="n"/>
    </row>
    <row r="633">
      <c r="E633" s="20" t="n"/>
      <c r="F633" s="20" t="n"/>
      <c r="G633" s="20" t="n"/>
      <c r="H633" s="16" t="n"/>
      <c r="I633" s="16" t="n"/>
      <c r="J633" s="17" t="n"/>
      <c r="K633" s="17" t="n"/>
      <c r="L633" s="17" t="n"/>
      <c r="M633" s="16" t="n"/>
      <c r="N633" s="16" t="n"/>
      <c r="O633" s="18" t="n"/>
      <c r="P633" s="18" t="n"/>
      <c r="Q633" s="16" t="n"/>
    </row>
    <row r="634">
      <c r="E634" s="20" t="n"/>
      <c r="F634" s="20" t="n"/>
      <c r="G634" s="20" t="n"/>
      <c r="H634" s="16" t="n"/>
      <c r="I634" s="16" t="n"/>
      <c r="J634" s="17" t="n"/>
      <c r="K634" s="17" t="n"/>
      <c r="L634" s="17" t="n"/>
      <c r="M634" s="16" t="n"/>
      <c r="N634" s="16" t="n"/>
      <c r="O634" s="18" t="n"/>
      <c r="P634" s="18" t="n"/>
      <c r="Q634" s="16" t="n"/>
    </row>
    <row r="635">
      <c r="E635" s="20" t="n"/>
      <c r="F635" s="20" t="n"/>
      <c r="G635" s="20" t="n"/>
      <c r="H635" s="16" t="n"/>
      <c r="I635" s="16" t="n"/>
      <c r="J635" s="17" t="n"/>
      <c r="K635" s="17" t="n"/>
      <c r="L635" s="17" t="n"/>
      <c r="M635" s="16" t="n"/>
      <c r="N635" s="16" t="n"/>
      <c r="O635" s="18" t="n"/>
      <c r="P635" s="18" t="n"/>
      <c r="Q635" s="16" t="n"/>
    </row>
    <row r="636">
      <c r="E636" s="20" t="n"/>
      <c r="F636" s="20" t="n"/>
      <c r="G636" s="20" t="n"/>
      <c r="H636" s="16" t="n"/>
      <c r="I636" s="16" t="n"/>
      <c r="J636" s="17" t="n"/>
      <c r="K636" s="17" t="n"/>
      <c r="L636" s="17" t="n"/>
      <c r="M636" s="16" t="n"/>
      <c r="N636" s="16" t="n"/>
      <c r="O636" s="18" t="n"/>
      <c r="P636" s="18" t="n"/>
      <c r="Q636" s="16" t="n"/>
    </row>
    <row r="637">
      <c r="E637" s="20" t="n"/>
      <c r="F637" s="20" t="n"/>
      <c r="G637" s="20" t="n"/>
      <c r="H637" s="16" t="n"/>
      <c r="I637" s="16" t="n"/>
      <c r="J637" s="17" t="n"/>
      <c r="K637" s="17" t="n"/>
      <c r="L637" s="17" t="n"/>
      <c r="M637" s="16" t="n"/>
      <c r="N637" s="16" t="n"/>
      <c r="O637" s="18" t="n"/>
      <c r="P637" s="18" t="n"/>
      <c r="Q637" s="16" t="n"/>
    </row>
    <row r="638">
      <c r="E638" s="20" t="n"/>
      <c r="F638" s="20" t="n"/>
      <c r="G638" s="20" t="n"/>
      <c r="H638" s="16" t="n"/>
      <c r="I638" s="16" t="n"/>
      <c r="J638" s="17" t="n"/>
      <c r="K638" s="17" t="n"/>
      <c r="L638" s="17" t="n"/>
      <c r="M638" s="16" t="n"/>
      <c r="N638" s="16" t="n"/>
      <c r="O638" s="18" t="n"/>
      <c r="P638" s="18" t="n"/>
      <c r="Q638" s="16" t="n"/>
    </row>
    <row r="639">
      <c r="E639" s="20" t="n"/>
      <c r="F639" s="20" t="n"/>
      <c r="G639" s="20" t="n"/>
      <c r="H639" s="16" t="n"/>
      <c r="I639" s="16" t="n"/>
      <c r="J639" s="17" t="n"/>
      <c r="K639" s="17" t="n"/>
      <c r="L639" s="17" t="n"/>
      <c r="M639" s="16" t="n"/>
      <c r="N639" s="16" t="n"/>
      <c r="O639" s="18" t="n"/>
      <c r="P639" s="18" t="n"/>
      <c r="Q639" s="16" t="n"/>
    </row>
    <row r="640">
      <c r="E640" s="20" t="n"/>
      <c r="F640" s="20" t="n"/>
      <c r="G640" s="20" t="n"/>
      <c r="H640" s="16" t="n"/>
      <c r="I640" s="16" t="n"/>
      <c r="J640" s="17" t="n"/>
      <c r="K640" s="17" t="n"/>
      <c r="L640" s="17" t="n"/>
      <c r="M640" s="16" t="n"/>
      <c r="N640" s="16" t="n"/>
      <c r="O640" s="18" t="n"/>
      <c r="P640" s="18" t="n"/>
      <c r="Q640" s="16" t="n"/>
    </row>
    <row r="641">
      <c r="E641" s="20" t="n"/>
      <c r="F641" s="20" t="n"/>
      <c r="G641" s="20" t="n"/>
      <c r="H641" s="16" t="n"/>
      <c r="I641" s="16" t="n"/>
      <c r="J641" s="17" t="n"/>
      <c r="K641" s="17" t="n"/>
      <c r="L641" s="17" t="n"/>
      <c r="M641" s="16" t="n"/>
      <c r="N641" s="16" t="n"/>
      <c r="O641" s="18" t="n"/>
      <c r="P641" s="18" t="n"/>
      <c r="Q641" s="16" t="n"/>
    </row>
    <row r="642">
      <c r="E642" s="20" t="n"/>
      <c r="F642" s="20" t="n"/>
      <c r="G642" s="20" t="n"/>
      <c r="H642" s="16" t="n"/>
      <c r="I642" s="16" t="n"/>
      <c r="J642" s="17" t="n"/>
      <c r="K642" s="17" t="n"/>
      <c r="L642" s="17" t="n"/>
      <c r="M642" s="16" t="n"/>
      <c r="N642" s="16" t="n"/>
      <c r="O642" s="18" t="n"/>
      <c r="P642" s="18" t="n"/>
      <c r="Q642" s="16" t="n"/>
    </row>
    <row r="643">
      <c r="E643" s="20" t="n"/>
      <c r="F643" s="20" t="n"/>
      <c r="G643" s="20" t="n"/>
      <c r="H643" s="16" t="n"/>
      <c r="I643" s="16" t="n"/>
      <c r="J643" s="17" t="n"/>
      <c r="K643" s="17" t="n"/>
      <c r="L643" s="17" t="n"/>
      <c r="M643" s="16" t="n"/>
      <c r="N643" s="16" t="n"/>
      <c r="O643" s="18" t="n"/>
      <c r="P643" s="18" t="n"/>
      <c r="Q643" s="16" t="n"/>
    </row>
    <row r="644">
      <c r="E644" s="20" t="n"/>
      <c r="F644" s="20" t="n"/>
      <c r="G644" s="20" t="n"/>
      <c r="H644" s="16" t="n"/>
      <c r="I644" s="16" t="n"/>
      <c r="J644" s="17" t="n"/>
      <c r="K644" s="17" t="n"/>
      <c r="L644" s="17" t="n"/>
      <c r="M644" s="16" t="n"/>
      <c r="N644" s="16" t="n"/>
      <c r="O644" s="18" t="n"/>
      <c r="P644" s="18" t="n"/>
      <c r="Q644" s="16" t="n"/>
    </row>
    <row r="645">
      <c r="E645" s="20" t="n"/>
      <c r="F645" s="20" t="n"/>
      <c r="G645" s="20" t="n"/>
      <c r="H645" s="16" t="n"/>
      <c r="I645" s="16" t="n"/>
      <c r="J645" s="17" t="n"/>
      <c r="K645" s="17" t="n"/>
      <c r="L645" s="17" t="n"/>
      <c r="M645" s="16" t="n"/>
      <c r="N645" s="16" t="n"/>
      <c r="O645" s="18" t="n"/>
      <c r="P645" s="18" t="n"/>
      <c r="Q645" s="16" t="n"/>
    </row>
    <row r="646">
      <c r="E646" s="20" t="n"/>
      <c r="F646" s="20" t="n"/>
      <c r="G646" s="20" t="n"/>
      <c r="H646" s="16" t="n"/>
      <c r="I646" s="16" t="n"/>
      <c r="J646" s="17" t="n"/>
      <c r="K646" s="17" t="n"/>
      <c r="L646" s="17" t="n"/>
      <c r="M646" s="16" t="n"/>
      <c r="N646" s="16" t="n"/>
      <c r="O646" s="18" t="n"/>
      <c r="P646" s="18" t="n"/>
      <c r="Q646" s="16" t="n"/>
    </row>
    <row r="647">
      <c r="E647" s="20" t="n"/>
      <c r="F647" s="20" t="n"/>
      <c r="G647" s="20" t="n"/>
      <c r="H647" s="16" t="n"/>
      <c r="I647" s="16" t="n"/>
      <c r="J647" s="17" t="n"/>
      <c r="K647" s="17" t="n"/>
      <c r="L647" s="17" t="n"/>
      <c r="M647" s="16" t="n"/>
      <c r="N647" s="16" t="n"/>
      <c r="O647" s="18" t="n"/>
      <c r="P647" s="18" t="n"/>
      <c r="Q647" s="16" t="n"/>
    </row>
    <row r="648">
      <c r="E648" s="20" t="n"/>
      <c r="F648" s="20" t="n"/>
      <c r="G648" s="20" t="n"/>
      <c r="H648" s="16" t="n"/>
      <c r="I648" s="16" t="n"/>
      <c r="J648" s="17" t="n"/>
      <c r="K648" s="17" t="n"/>
      <c r="L648" s="17" t="n"/>
      <c r="M648" s="16" t="n"/>
      <c r="N648" s="16" t="n"/>
      <c r="O648" s="18" t="n"/>
      <c r="P648" s="18" t="n"/>
      <c r="Q648" s="16" t="n"/>
    </row>
    <row r="649">
      <c r="E649" s="20" t="n"/>
      <c r="F649" s="20" t="n"/>
      <c r="G649" s="20" t="n"/>
      <c r="H649" s="16" t="n"/>
      <c r="I649" s="16" t="n"/>
      <c r="J649" s="17" t="n"/>
      <c r="K649" s="17" t="n"/>
      <c r="L649" s="17" t="n"/>
      <c r="M649" s="16" t="n"/>
      <c r="N649" s="16" t="n"/>
      <c r="O649" s="18" t="n"/>
      <c r="P649" s="18" t="n"/>
      <c r="Q649" s="16" t="n"/>
    </row>
    <row r="650">
      <c r="E650" s="20" t="n"/>
      <c r="F650" s="20" t="n"/>
      <c r="G650" s="20" t="n"/>
      <c r="H650" s="16" t="n"/>
      <c r="I650" s="16" t="n"/>
      <c r="J650" s="17" t="n"/>
      <c r="K650" s="17" t="n"/>
      <c r="L650" s="17" t="n"/>
      <c r="M650" s="16" t="n"/>
      <c r="N650" s="16" t="n"/>
      <c r="O650" s="18" t="n"/>
      <c r="P650" s="18" t="n"/>
      <c r="Q650" s="16" t="n"/>
    </row>
    <row r="651">
      <c r="E651" s="20" t="n"/>
      <c r="F651" s="20" t="n"/>
      <c r="G651" s="20" t="n"/>
      <c r="H651" s="16" t="n"/>
      <c r="I651" s="16" t="n"/>
      <c r="J651" s="17" t="n"/>
      <c r="K651" s="17" t="n"/>
      <c r="L651" s="17" t="n"/>
      <c r="M651" s="16" t="n"/>
      <c r="N651" s="16" t="n"/>
      <c r="O651" s="18" t="n"/>
      <c r="P651" s="18" t="n"/>
      <c r="Q651" s="16" t="n"/>
    </row>
    <row r="652">
      <c r="E652" s="20" t="n"/>
      <c r="F652" s="20" t="n"/>
      <c r="G652" s="20" t="n"/>
      <c r="H652" s="16" t="n"/>
      <c r="I652" s="16" t="n"/>
      <c r="J652" s="17" t="n"/>
      <c r="K652" s="17" t="n"/>
      <c r="L652" s="17" t="n"/>
      <c r="M652" s="16" t="n"/>
      <c r="N652" s="16" t="n"/>
      <c r="O652" s="18" t="n"/>
      <c r="P652" s="18" t="n"/>
      <c r="Q652" s="16" t="n"/>
    </row>
    <row r="653">
      <c r="E653" s="20" t="n"/>
      <c r="F653" s="20" t="n"/>
      <c r="G653" s="20" t="n"/>
      <c r="H653" s="16" t="n"/>
      <c r="I653" s="16" t="n"/>
      <c r="J653" s="17" t="n"/>
      <c r="K653" s="17" t="n"/>
      <c r="L653" s="17" t="n"/>
      <c r="M653" s="16" t="n"/>
      <c r="N653" s="16" t="n"/>
      <c r="O653" s="18" t="n"/>
      <c r="P653" s="18" t="n"/>
      <c r="Q653" s="16" t="n"/>
    </row>
    <row r="654">
      <c r="E654" s="20" t="n"/>
      <c r="F654" s="20" t="n"/>
      <c r="G654" s="20" t="n"/>
      <c r="H654" s="16" t="n"/>
      <c r="I654" s="16" t="n"/>
      <c r="J654" s="17" t="n"/>
      <c r="K654" s="17" t="n"/>
      <c r="L654" s="17" t="n"/>
      <c r="M654" s="16" t="n"/>
      <c r="N654" s="16" t="n"/>
      <c r="O654" s="18" t="n"/>
      <c r="P654" s="18" t="n"/>
      <c r="Q654" s="16" t="n"/>
    </row>
    <row r="655">
      <c r="E655" s="20" t="n"/>
      <c r="F655" s="20" t="n"/>
      <c r="G655" s="20" t="n"/>
      <c r="H655" s="16" t="n"/>
      <c r="I655" s="16" t="n"/>
      <c r="J655" s="17" t="n"/>
      <c r="K655" s="17" t="n"/>
      <c r="L655" s="17" t="n"/>
      <c r="M655" s="16" t="n"/>
      <c r="N655" s="16" t="n"/>
      <c r="O655" s="18" t="n"/>
      <c r="P655" s="18" t="n"/>
      <c r="Q655" s="16" t="n"/>
    </row>
    <row r="656">
      <c r="E656" s="20" t="n"/>
      <c r="F656" s="20" t="n"/>
      <c r="G656" s="20" t="n"/>
      <c r="H656" s="16" t="n"/>
      <c r="I656" s="16" t="n"/>
      <c r="J656" s="17" t="n"/>
      <c r="K656" s="17" t="n"/>
      <c r="L656" s="17" t="n"/>
      <c r="M656" s="16" t="n"/>
      <c r="N656" s="16" t="n"/>
      <c r="O656" s="18" t="n"/>
      <c r="P656" s="18" t="n"/>
      <c r="Q656" s="16" t="n"/>
    </row>
    <row r="657">
      <c r="E657" s="20" t="n"/>
      <c r="F657" s="20" t="n"/>
      <c r="G657" s="20" t="n"/>
      <c r="H657" s="16" t="n"/>
      <c r="I657" s="16" t="n"/>
      <c r="J657" s="17" t="n"/>
      <c r="K657" s="17" t="n"/>
      <c r="L657" s="17" t="n"/>
      <c r="M657" s="16" t="n"/>
      <c r="N657" s="16" t="n"/>
      <c r="O657" s="18" t="n"/>
      <c r="P657" s="18" t="n"/>
      <c r="Q657" s="16" t="n"/>
    </row>
    <row r="658">
      <c r="E658" s="20" t="n"/>
      <c r="F658" s="20" t="n"/>
      <c r="G658" s="20" t="n"/>
      <c r="H658" s="16" t="n"/>
      <c r="I658" s="16" t="n"/>
      <c r="J658" s="17" t="n"/>
      <c r="K658" s="17" t="n"/>
      <c r="L658" s="17" t="n"/>
      <c r="M658" s="16" t="n"/>
      <c r="N658" s="16" t="n"/>
      <c r="O658" s="18" t="n"/>
      <c r="P658" s="18" t="n"/>
      <c r="Q658" s="16" t="n"/>
    </row>
    <row r="659">
      <c r="E659" s="20" t="n"/>
      <c r="F659" s="20" t="n"/>
      <c r="G659" s="20" t="n"/>
      <c r="H659" s="16" t="n"/>
      <c r="I659" s="16" t="n"/>
      <c r="J659" s="17" t="n"/>
      <c r="K659" s="17" t="n"/>
      <c r="L659" s="17" t="n"/>
      <c r="M659" s="16" t="n"/>
      <c r="N659" s="16" t="n"/>
      <c r="O659" s="18" t="n"/>
      <c r="P659" s="18" t="n"/>
      <c r="Q659" s="16" t="n"/>
    </row>
    <row r="660">
      <c r="E660" s="20" t="n"/>
      <c r="F660" s="20" t="n"/>
      <c r="G660" s="20" t="n"/>
      <c r="H660" s="16" t="n"/>
      <c r="I660" s="16" t="n"/>
      <c r="J660" s="17" t="n"/>
      <c r="K660" s="17" t="n"/>
      <c r="L660" s="17" t="n"/>
      <c r="M660" s="16" t="n"/>
      <c r="N660" s="16" t="n"/>
      <c r="O660" s="18" t="n"/>
      <c r="P660" s="18" t="n"/>
      <c r="Q660" s="16" t="n"/>
    </row>
    <row r="661">
      <c r="E661" s="20" t="n"/>
      <c r="F661" s="20" t="n"/>
      <c r="G661" s="20" t="n"/>
      <c r="H661" s="16" t="n"/>
      <c r="I661" s="16" t="n"/>
      <c r="J661" s="17" t="n"/>
      <c r="K661" s="17" t="n"/>
      <c r="L661" s="17" t="n"/>
      <c r="M661" s="16" t="n"/>
      <c r="N661" s="16" t="n"/>
      <c r="O661" s="18" t="n"/>
      <c r="P661" s="18" t="n"/>
      <c r="Q661" s="16" t="n"/>
    </row>
    <row r="662">
      <c r="E662" s="20" t="n"/>
      <c r="F662" s="20" t="n"/>
      <c r="G662" s="20" t="n"/>
      <c r="H662" s="16" t="n"/>
      <c r="I662" s="16" t="n"/>
      <c r="J662" s="17" t="n"/>
      <c r="K662" s="17" t="n"/>
      <c r="L662" s="17" t="n"/>
      <c r="M662" s="16" t="n"/>
      <c r="N662" s="16" t="n"/>
      <c r="O662" s="18" t="n"/>
      <c r="P662" s="18" t="n"/>
      <c r="Q662" s="16" t="n"/>
    </row>
    <row r="663">
      <c r="E663" s="20" t="n"/>
      <c r="F663" s="20" t="n"/>
      <c r="G663" s="20" t="n"/>
      <c r="H663" s="16" t="n"/>
      <c r="I663" s="16" t="n"/>
      <c r="J663" s="17" t="n"/>
      <c r="K663" s="17" t="n"/>
      <c r="L663" s="17" t="n"/>
      <c r="M663" s="16" t="n"/>
      <c r="N663" s="16" t="n"/>
      <c r="O663" s="18" t="n"/>
      <c r="P663" s="18" t="n"/>
      <c r="Q663" s="16" t="n"/>
    </row>
    <row r="664">
      <c r="E664" s="20" t="n"/>
      <c r="F664" s="20" t="n"/>
      <c r="G664" s="20" t="n"/>
      <c r="H664" s="16" t="n"/>
      <c r="I664" s="16" t="n"/>
      <c r="J664" s="17" t="n"/>
      <c r="K664" s="17" t="n"/>
      <c r="L664" s="17" t="n"/>
      <c r="M664" s="16" t="n"/>
      <c r="N664" s="16" t="n"/>
      <c r="O664" s="18" t="n"/>
      <c r="P664" s="18" t="n"/>
      <c r="Q664" s="16" t="n"/>
    </row>
    <row r="665">
      <c r="E665" s="20" t="n"/>
      <c r="F665" s="20" t="n"/>
      <c r="G665" s="20" t="n"/>
      <c r="H665" s="16" t="n"/>
      <c r="I665" s="16" t="n"/>
      <c r="J665" s="17" t="n"/>
      <c r="K665" s="17" t="n"/>
      <c r="L665" s="17" t="n"/>
      <c r="M665" s="16" t="n"/>
      <c r="N665" s="16" t="n"/>
      <c r="O665" s="18" t="n"/>
      <c r="P665" s="18" t="n"/>
      <c r="Q665" s="16" t="n"/>
    </row>
    <row r="666">
      <c r="E666" s="20" t="n"/>
      <c r="F666" s="20" t="n"/>
      <c r="G666" s="20" t="n"/>
      <c r="H666" s="16" t="n"/>
      <c r="I666" s="16" t="n"/>
      <c r="J666" s="17" t="n"/>
      <c r="K666" s="17" t="n"/>
      <c r="L666" s="17" t="n"/>
      <c r="M666" s="16" t="n"/>
      <c r="N666" s="16" t="n"/>
      <c r="O666" s="18" t="n"/>
      <c r="P666" s="18" t="n"/>
      <c r="Q666" s="16" t="n"/>
    </row>
    <row r="667">
      <c r="E667" s="20" t="n"/>
      <c r="F667" s="20" t="n"/>
      <c r="G667" s="20" t="n"/>
      <c r="H667" s="16" t="n"/>
      <c r="I667" s="16" t="n"/>
      <c r="J667" s="17" t="n"/>
      <c r="K667" s="17" t="n"/>
      <c r="L667" s="17" t="n"/>
      <c r="M667" s="16" t="n"/>
      <c r="N667" s="16" t="n"/>
      <c r="O667" s="18" t="n"/>
      <c r="P667" s="18" t="n"/>
      <c r="Q667" s="16" t="n"/>
    </row>
    <row r="668">
      <c r="E668" s="20" t="n"/>
      <c r="F668" s="20" t="n"/>
      <c r="G668" s="20" t="n"/>
      <c r="H668" s="16" t="n"/>
      <c r="I668" s="16" t="n"/>
      <c r="J668" s="17" t="n"/>
      <c r="K668" s="17" t="n"/>
      <c r="L668" s="17" t="n"/>
      <c r="M668" s="16" t="n"/>
      <c r="N668" s="16" t="n"/>
      <c r="O668" s="18" t="n"/>
      <c r="P668" s="18" t="n"/>
      <c r="Q668" s="16" t="n"/>
    </row>
    <row r="669">
      <c r="E669" s="20" t="n"/>
      <c r="F669" s="20" t="n"/>
      <c r="G669" s="20" t="n"/>
      <c r="H669" s="16" t="n"/>
      <c r="I669" s="16" t="n"/>
      <c r="J669" s="17" t="n"/>
      <c r="K669" s="17" t="n"/>
      <c r="L669" s="17" t="n"/>
      <c r="M669" s="16" t="n"/>
      <c r="N669" s="16" t="n"/>
      <c r="O669" s="18" t="n"/>
      <c r="P669" s="18" t="n"/>
      <c r="Q669" s="16" t="n"/>
    </row>
    <row r="670">
      <c r="E670" s="20" t="n"/>
      <c r="F670" s="20" t="n"/>
      <c r="G670" s="20" t="n"/>
      <c r="H670" s="16" t="n"/>
      <c r="I670" s="16" t="n"/>
      <c r="J670" s="17" t="n"/>
      <c r="K670" s="17" t="n"/>
      <c r="L670" s="17" t="n"/>
      <c r="M670" s="16" t="n"/>
      <c r="N670" s="16" t="n"/>
      <c r="O670" s="18" t="n"/>
      <c r="P670" s="18" t="n"/>
      <c r="Q670" s="16" t="n"/>
    </row>
    <row r="671">
      <c r="E671" s="20" t="n"/>
      <c r="F671" s="20" t="n"/>
      <c r="G671" s="20" t="n"/>
      <c r="H671" s="16" t="n"/>
      <c r="I671" s="16" t="n"/>
      <c r="J671" s="17" t="n"/>
      <c r="K671" s="17" t="n"/>
      <c r="L671" s="17" t="n"/>
      <c r="M671" s="16" t="n"/>
      <c r="N671" s="16" t="n"/>
      <c r="O671" s="18" t="n"/>
      <c r="P671" s="18" t="n"/>
      <c r="Q671" s="16" t="n"/>
    </row>
    <row r="672">
      <c r="E672" s="20" t="n"/>
      <c r="F672" s="20" t="n"/>
      <c r="G672" s="20" t="n"/>
      <c r="H672" s="16" t="n"/>
      <c r="I672" s="16" t="n"/>
      <c r="J672" s="17" t="n"/>
      <c r="K672" s="17" t="n"/>
      <c r="L672" s="17" t="n"/>
      <c r="M672" s="16" t="n"/>
      <c r="N672" s="16" t="n"/>
      <c r="O672" s="18" t="n"/>
      <c r="P672" s="18" t="n"/>
      <c r="Q672" s="16" t="n"/>
    </row>
    <row r="673">
      <c r="E673" s="20" t="n"/>
      <c r="F673" s="20" t="n"/>
      <c r="G673" s="20" t="n"/>
      <c r="H673" s="16" t="n"/>
      <c r="I673" s="16" t="n"/>
      <c r="J673" s="17" t="n"/>
      <c r="K673" s="17" t="n"/>
      <c r="L673" s="17" t="n"/>
      <c r="M673" s="16" t="n"/>
      <c r="N673" s="16" t="n"/>
      <c r="O673" s="18" t="n"/>
      <c r="P673" s="18" t="n"/>
      <c r="Q673" s="16" t="n"/>
    </row>
    <row r="674">
      <c r="E674" s="20" t="n"/>
      <c r="F674" s="20" t="n"/>
      <c r="G674" s="20" t="n"/>
      <c r="H674" s="16" t="n"/>
      <c r="I674" s="16" t="n"/>
      <c r="J674" s="17" t="n"/>
      <c r="K674" s="17" t="n"/>
      <c r="L674" s="17" t="n"/>
      <c r="M674" s="16" t="n"/>
      <c r="N674" s="16" t="n"/>
      <c r="O674" s="18" t="n"/>
      <c r="P674" s="18" t="n"/>
      <c r="Q674" s="16" t="n"/>
    </row>
    <row r="675">
      <c r="E675" s="20" t="n"/>
      <c r="F675" s="20" t="n"/>
      <c r="G675" s="20" t="n"/>
      <c r="H675" s="16" t="n"/>
      <c r="I675" s="16" t="n"/>
      <c r="J675" s="17" t="n"/>
      <c r="K675" s="17" t="n"/>
      <c r="L675" s="17" t="n"/>
      <c r="M675" s="16" t="n"/>
      <c r="N675" s="16" t="n"/>
      <c r="O675" s="18" t="n"/>
      <c r="P675" s="18" t="n"/>
      <c r="Q675" s="16" t="n"/>
    </row>
    <row r="676">
      <c r="E676" s="20" t="n"/>
      <c r="F676" s="20" t="n"/>
      <c r="G676" s="20" t="n"/>
      <c r="H676" s="16" t="n"/>
      <c r="I676" s="16" t="n"/>
      <c r="J676" s="17" t="n"/>
      <c r="K676" s="17" t="n"/>
      <c r="L676" s="17" t="n"/>
      <c r="M676" s="16" t="n"/>
      <c r="N676" s="16" t="n"/>
      <c r="O676" s="18" t="n"/>
      <c r="P676" s="18" t="n"/>
      <c r="Q676" s="16" t="n"/>
    </row>
    <row r="677">
      <c r="E677" s="20" t="n"/>
      <c r="F677" s="20" t="n"/>
      <c r="G677" s="20" t="n"/>
      <c r="H677" s="16" t="n"/>
      <c r="I677" s="16" t="n"/>
      <c r="J677" s="17" t="n"/>
      <c r="K677" s="17" t="n"/>
      <c r="L677" s="17" t="n"/>
      <c r="M677" s="16" t="n"/>
      <c r="N677" s="16" t="n"/>
      <c r="O677" s="18" t="n"/>
      <c r="P677" s="18" t="n"/>
      <c r="Q677" s="16" t="n"/>
    </row>
    <row r="678">
      <c r="E678" s="20" t="n"/>
      <c r="F678" s="20" t="n"/>
      <c r="G678" s="20" t="n"/>
      <c r="H678" s="16" t="n"/>
      <c r="I678" s="16" t="n"/>
      <c r="J678" s="17" t="n"/>
      <c r="K678" s="17" t="n"/>
      <c r="L678" s="17" t="n"/>
      <c r="M678" s="16" t="n"/>
      <c r="N678" s="16" t="n"/>
      <c r="O678" s="18" t="n"/>
      <c r="P678" s="18" t="n"/>
      <c r="Q678" s="16" t="n"/>
    </row>
    <row r="679">
      <c r="E679" s="20" t="n"/>
      <c r="F679" s="20" t="n"/>
      <c r="G679" s="20" t="n"/>
      <c r="H679" s="16" t="n"/>
      <c r="I679" s="16" t="n"/>
      <c r="J679" s="17" t="n"/>
      <c r="K679" s="17" t="n"/>
      <c r="L679" s="17" t="n"/>
      <c r="M679" s="16" t="n"/>
      <c r="N679" s="16" t="n"/>
      <c r="O679" s="18" t="n"/>
      <c r="P679" s="18" t="n"/>
      <c r="Q679" s="16" t="n"/>
    </row>
    <row r="680">
      <c r="E680" s="20" t="n"/>
      <c r="F680" s="20" t="n"/>
      <c r="G680" s="20" t="n"/>
      <c r="H680" s="16" t="n"/>
      <c r="I680" s="16" t="n"/>
      <c r="J680" s="17" t="n"/>
      <c r="K680" s="17" t="n"/>
      <c r="L680" s="17" t="n"/>
      <c r="M680" s="16" t="n"/>
      <c r="N680" s="16" t="n"/>
      <c r="O680" s="18" t="n"/>
      <c r="P680" s="18" t="n"/>
      <c r="Q680" s="16" t="n"/>
    </row>
    <row r="681">
      <c r="E681" s="20" t="n"/>
      <c r="F681" s="20" t="n"/>
      <c r="G681" s="20" t="n"/>
      <c r="H681" s="16" t="n"/>
      <c r="I681" s="16" t="n"/>
      <c r="J681" s="17" t="n"/>
      <c r="K681" s="17" t="n"/>
      <c r="L681" s="17" t="n"/>
      <c r="M681" s="16" t="n"/>
      <c r="N681" s="16" t="n"/>
      <c r="O681" s="18" t="n"/>
      <c r="P681" s="18" t="n"/>
      <c r="Q681" s="16" t="n"/>
    </row>
    <row r="682">
      <c r="E682" s="20" t="n"/>
      <c r="F682" s="20" t="n"/>
      <c r="G682" s="20" t="n"/>
      <c r="H682" s="16" t="n"/>
      <c r="I682" s="16" t="n"/>
      <c r="J682" s="17" t="n"/>
      <c r="K682" s="17" t="n"/>
      <c r="L682" s="17" t="n"/>
      <c r="M682" s="16" t="n"/>
      <c r="N682" s="16" t="n"/>
      <c r="O682" s="18" t="n"/>
      <c r="P682" s="18" t="n"/>
      <c r="Q682" s="16" t="n"/>
    </row>
    <row r="683">
      <c r="E683" s="20" t="n"/>
      <c r="F683" s="20" t="n"/>
      <c r="G683" s="20" t="n"/>
      <c r="H683" s="16" t="n"/>
      <c r="I683" s="16" t="n"/>
      <c r="J683" s="17" t="n"/>
      <c r="K683" s="17" t="n"/>
      <c r="L683" s="17" t="n"/>
      <c r="M683" s="16" t="n"/>
      <c r="N683" s="16" t="n"/>
      <c r="O683" s="18" t="n"/>
      <c r="P683" s="18" t="n"/>
      <c r="Q683" s="16" t="n"/>
    </row>
    <row r="684">
      <c r="E684" s="20" t="n"/>
      <c r="F684" s="20" t="n"/>
      <c r="G684" s="20" t="n"/>
      <c r="H684" s="16" t="n"/>
      <c r="I684" s="16" t="n"/>
      <c r="J684" s="17" t="n"/>
      <c r="K684" s="17" t="n"/>
      <c r="L684" s="17" t="n"/>
      <c r="M684" s="16" t="n"/>
      <c r="N684" s="16" t="n"/>
      <c r="O684" s="18" t="n"/>
      <c r="P684" s="18" t="n"/>
      <c r="Q684" s="16" t="n"/>
    </row>
    <row r="685">
      <c r="E685" s="20" t="n"/>
      <c r="F685" s="20" t="n"/>
      <c r="G685" s="20" t="n"/>
      <c r="H685" s="16" t="n"/>
      <c r="I685" s="16" t="n"/>
      <c r="J685" s="17" t="n"/>
      <c r="K685" s="17" t="n"/>
      <c r="L685" s="17" t="n"/>
      <c r="M685" s="16" t="n"/>
      <c r="N685" s="16" t="n"/>
      <c r="O685" s="18" t="n"/>
      <c r="P685" s="18" t="n"/>
      <c r="Q685" s="16" t="n"/>
    </row>
    <row r="686">
      <c r="E686" s="20" t="n"/>
      <c r="F686" s="20" t="n"/>
      <c r="G686" s="20" t="n"/>
      <c r="H686" s="16" t="n"/>
      <c r="I686" s="16" t="n"/>
      <c r="J686" s="17" t="n"/>
      <c r="K686" s="17" t="n"/>
      <c r="L686" s="17" t="n"/>
      <c r="M686" s="16" t="n"/>
      <c r="N686" s="16" t="n"/>
      <c r="O686" s="18" t="n"/>
      <c r="P686" s="18" t="n"/>
      <c r="Q686" s="16" t="n"/>
    </row>
    <row r="687">
      <c r="E687" s="20" t="n"/>
      <c r="F687" s="20" t="n"/>
      <c r="G687" s="20" t="n"/>
      <c r="H687" s="16" t="n"/>
      <c r="I687" s="16" t="n"/>
      <c r="J687" s="17" t="n"/>
      <c r="K687" s="17" t="n"/>
      <c r="L687" s="17" t="n"/>
      <c r="M687" s="16" t="n"/>
      <c r="N687" s="16" t="n"/>
      <c r="O687" s="18" t="n"/>
      <c r="P687" s="18" t="n"/>
      <c r="Q687" s="16" t="n"/>
    </row>
    <row r="688">
      <c r="E688" s="20" t="n"/>
      <c r="F688" s="20" t="n"/>
      <c r="G688" s="20" t="n"/>
      <c r="H688" s="16" t="n"/>
      <c r="I688" s="16" t="n"/>
      <c r="J688" s="17" t="n"/>
      <c r="K688" s="17" t="n"/>
      <c r="L688" s="17" t="n"/>
      <c r="M688" s="16" t="n"/>
      <c r="N688" s="16" t="n"/>
      <c r="O688" s="18" t="n"/>
      <c r="P688" s="18" t="n"/>
      <c r="Q688" s="16" t="n"/>
    </row>
    <row r="689">
      <c r="E689" s="20" t="n"/>
      <c r="F689" s="20" t="n"/>
      <c r="G689" s="20" t="n"/>
      <c r="H689" s="16" t="n"/>
      <c r="I689" s="16" t="n"/>
      <c r="J689" s="17" t="n"/>
      <c r="K689" s="17" t="n"/>
      <c r="L689" s="17" t="n"/>
      <c r="M689" s="16" t="n"/>
      <c r="N689" s="16" t="n"/>
      <c r="O689" s="18" t="n"/>
      <c r="P689" s="18" t="n"/>
      <c r="Q689" s="16" t="n"/>
    </row>
    <row r="690">
      <c r="E690" s="20" t="n"/>
      <c r="F690" s="20" t="n"/>
      <c r="G690" s="20" t="n"/>
      <c r="H690" s="16" t="n"/>
      <c r="I690" s="16" t="n"/>
      <c r="J690" s="17" t="n"/>
      <c r="K690" s="17" t="n"/>
      <c r="L690" s="17" t="n"/>
      <c r="M690" s="16" t="n"/>
      <c r="N690" s="16" t="n"/>
      <c r="O690" s="18" t="n"/>
      <c r="P690" s="18" t="n"/>
      <c r="Q690" s="16" t="n"/>
    </row>
    <row r="691">
      <c r="E691" s="20" t="n"/>
      <c r="F691" s="20" t="n"/>
      <c r="G691" s="20" t="n"/>
      <c r="H691" s="16" t="n"/>
      <c r="I691" s="16" t="n"/>
      <c r="J691" s="17" t="n"/>
      <c r="K691" s="17" t="n"/>
      <c r="L691" s="17" t="n"/>
      <c r="M691" s="16" t="n"/>
      <c r="N691" s="16" t="n"/>
      <c r="O691" s="18" t="n"/>
      <c r="P691" s="18" t="n"/>
      <c r="Q691" s="16" t="n"/>
    </row>
    <row r="692">
      <c r="E692" s="20" t="n"/>
      <c r="F692" s="20" t="n"/>
      <c r="G692" s="20" t="n"/>
      <c r="H692" s="16" t="n"/>
      <c r="I692" s="16" t="n"/>
      <c r="J692" s="17" t="n"/>
      <c r="K692" s="17" t="n"/>
      <c r="L692" s="17" t="n"/>
      <c r="M692" s="16" t="n"/>
      <c r="N692" s="16" t="n"/>
      <c r="O692" s="18" t="n"/>
      <c r="P692" s="18" t="n"/>
      <c r="Q692" s="16" t="n"/>
    </row>
    <row r="693">
      <c r="E693" s="20" t="n"/>
      <c r="F693" s="20" t="n"/>
      <c r="G693" s="20" t="n"/>
      <c r="H693" s="16" t="n"/>
      <c r="I693" s="16" t="n"/>
      <c r="J693" s="17" t="n"/>
      <c r="K693" s="17" t="n"/>
      <c r="L693" s="17" t="n"/>
      <c r="M693" s="16" t="n"/>
      <c r="N693" s="16" t="n"/>
      <c r="O693" s="18" t="n"/>
      <c r="P693" s="18" t="n"/>
      <c r="Q693" s="16" t="n"/>
    </row>
    <row r="694">
      <c r="E694" s="20" t="n"/>
      <c r="F694" s="20" t="n"/>
      <c r="G694" s="20" t="n"/>
      <c r="H694" s="16" t="n"/>
      <c r="I694" s="16" t="n"/>
      <c r="J694" s="17" t="n"/>
      <c r="K694" s="17" t="n"/>
      <c r="L694" s="17" t="n"/>
      <c r="M694" s="16" t="n"/>
      <c r="N694" s="16" t="n"/>
      <c r="O694" s="18" t="n"/>
      <c r="P694" s="18" t="n"/>
      <c r="Q694" s="16" t="n"/>
    </row>
    <row r="695">
      <c r="E695" s="20" t="n"/>
      <c r="F695" s="20" t="n"/>
      <c r="G695" s="20" t="n"/>
      <c r="H695" s="16" t="n"/>
      <c r="I695" s="16" t="n"/>
      <c r="J695" s="17" t="n"/>
      <c r="K695" s="17" t="n"/>
      <c r="L695" s="17" t="n"/>
      <c r="M695" s="16" t="n"/>
      <c r="N695" s="16" t="n"/>
      <c r="O695" s="18" t="n"/>
      <c r="P695" s="18" t="n"/>
      <c r="Q695" s="16" t="n"/>
    </row>
    <row r="696">
      <c r="E696" s="20" t="n"/>
      <c r="F696" s="20" t="n"/>
      <c r="G696" s="20" t="n"/>
      <c r="H696" s="16" t="n"/>
      <c r="I696" s="16" t="n"/>
      <c r="J696" s="17" t="n"/>
      <c r="K696" s="17" t="n"/>
      <c r="L696" s="17" t="n"/>
      <c r="M696" s="16" t="n"/>
      <c r="N696" s="16" t="n"/>
      <c r="O696" s="18" t="n"/>
      <c r="P696" s="18" t="n"/>
      <c r="Q696" s="16" t="n"/>
    </row>
    <row r="697">
      <c r="E697" s="20" t="n"/>
      <c r="F697" s="20" t="n"/>
      <c r="G697" s="20" t="n"/>
      <c r="H697" s="16" t="n"/>
      <c r="I697" s="16" t="n"/>
      <c r="J697" s="17" t="n"/>
      <c r="K697" s="17" t="n"/>
      <c r="L697" s="17" t="n"/>
      <c r="M697" s="16" t="n"/>
      <c r="N697" s="16" t="n"/>
      <c r="O697" s="18" t="n"/>
      <c r="P697" s="18" t="n"/>
      <c r="Q697" s="16" t="n"/>
    </row>
    <row r="698">
      <c r="E698" s="20" t="n"/>
      <c r="F698" s="20" t="n"/>
      <c r="G698" s="20" t="n"/>
      <c r="H698" s="16" t="n"/>
      <c r="I698" s="16" t="n"/>
      <c r="J698" s="17" t="n"/>
      <c r="K698" s="17" t="n"/>
      <c r="L698" s="17" t="n"/>
      <c r="M698" s="16" t="n"/>
      <c r="N698" s="16" t="n"/>
      <c r="O698" s="18" t="n"/>
      <c r="P698" s="18" t="n"/>
      <c r="Q698" s="16" t="n"/>
    </row>
    <row r="699">
      <c r="E699" s="20" t="n"/>
      <c r="F699" s="20" t="n"/>
      <c r="G699" s="20" t="n"/>
      <c r="H699" s="16" t="n"/>
      <c r="I699" s="16" t="n"/>
      <c r="J699" s="17" t="n"/>
      <c r="K699" s="17" t="n"/>
      <c r="L699" s="17" t="n"/>
      <c r="M699" s="16" t="n"/>
      <c r="N699" s="16" t="n"/>
      <c r="O699" s="18" t="n"/>
      <c r="P699" s="18" t="n"/>
      <c r="Q699" s="16" t="n"/>
    </row>
    <row r="700">
      <c r="E700" s="20" t="n"/>
      <c r="F700" s="20" t="n"/>
      <c r="G700" s="20" t="n"/>
      <c r="H700" s="16" t="n"/>
      <c r="I700" s="16" t="n"/>
      <c r="J700" s="17" t="n"/>
      <c r="K700" s="17" t="n"/>
      <c r="L700" s="17" t="n"/>
      <c r="M700" s="16" t="n"/>
      <c r="N700" s="16" t="n"/>
      <c r="O700" s="18" t="n"/>
      <c r="P700" s="18" t="n"/>
      <c r="Q700" s="16" t="n"/>
    </row>
    <row r="701">
      <c r="E701" s="20" t="n"/>
      <c r="F701" s="20" t="n"/>
      <c r="G701" s="20" t="n"/>
      <c r="H701" s="16" t="n"/>
      <c r="I701" s="16" t="n"/>
      <c r="J701" s="17" t="n"/>
      <c r="K701" s="17" t="n"/>
      <c r="L701" s="17" t="n"/>
      <c r="M701" s="16" t="n"/>
      <c r="N701" s="16" t="n"/>
      <c r="O701" s="18" t="n"/>
      <c r="P701" s="18" t="n"/>
      <c r="Q701" s="16" t="n"/>
    </row>
    <row r="702">
      <c r="E702" s="20" t="n"/>
      <c r="F702" s="20" t="n"/>
      <c r="G702" s="20" t="n"/>
      <c r="H702" s="16" t="n"/>
      <c r="I702" s="16" t="n"/>
      <c r="J702" s="17" t="n"/>
      <c r="K702" s="17" t="n"/>
      <c r="L702" s="17" t="n"/>
      <c r="M702" s="16" t="n"/>
      <c r="N702" s="16" t="n"/>
      <c r="O702" s="18" t="n"/>
      <c r="P702" s="18" t="n"/>
      <c r="Q702" s="16" t="n"/>
    </row>
    <row r="703">
      <c r="E703" s="20" t="n"/>
      <c r="F703" s="20" t="n"/>
      <c r="G703" s="20" t="n"/>
      <c r="H703" s="16" t="n"/>
      <c r="I703" s="16" t="n"/>
      <c r="J703" s="17" t="n"/>
      <c r="K703" s="17" t="n"/>
      <c r="L703" s="17" t="n"/>
      <c r="M703" s="16" t="n"/>
      <c r="N703" s="16" t="n"/>
      <c r="O703" s="18" t="n"/>
      <c r="P703" s="18" t="n"/>
      <c r="Q703" s="16" t="n"/>
    </row>
    <row r="704">
      <c r="E704" s="20" t="n"/>
      <c r="F704" s="20" t="n"/>
      <c r="G704" s="20" t="n"/>
      <c r="H704" s="16" t="n"/>
      <c r="I704" s="16" t="n"/>
      <c r="J704" s="17" t="n"/>
      <c r="K704" s="17" t="n"/>
      <c r="L704" s="17" t="n"/>
      <c r="M704" s="16" t="n"/>
      <c r="N704" s="16" t="n"/>
      <c r="O704" s="18" t="n"/>
      <c r="P704" s="18" t="n"/>
      <c r="Q704" s="16" t="n"/>
    </row>
    <row r="705">
      <c r="E705" s="20" t="n"/>
      <c r="F705" s="20" t="n"/>
      <c r="G705" s="20" t="n"/>
      <c r="H705" s="16" t="n"/>
      <c r="I705" s="16" t="n"/>
      <c r="J705" s="17" t="n"/>
      <c r="K705" s="17" t="n"/>
      <c r="L705" s="17" t="n"/>
      <c r="M705" s="16" t="n"/>
      <c r="N705" s="16" t="n"/>
      <c r="O705" s="18" t="n"/>
      <c r="P705" s="18" t="n"/>
      <c r="Q705" s="16" t="n"/>
    </row>
    <row r="706">
      <c r="E706" s="20" t="n"/>
      <c r="F706" s="20" t="n"/>
      <c r="G706" s="20" t="n"/>
      <c r="H706" s="16" t="n"/>
      <c r="I706" s="16" t="n"/>
      <c r="J706" s="17" t="n"/>
      <c r="K706" s="17" t="n"/>
      <c r="L706" s="17" t="n"/>
      <c r="M706" s="16" t="n"/>
      <c r="N706" s="16" t="n"/>
      <c r="O706" s="18" t="n"/>
      <c r="P706" s="18" t="n"/>
      <c r="Q706" s="16" t="n"/>
    </row>
    <row r="707">
      <c r="E707" s="20" t="n"/>
      <c r="F707" s="20" t="n"/>
      <c r="G707" s="20" t="n"/>
      <c r="H707" s="16" t="n"/>
      <c r="I707" s="16" t="n"/>
      <c r="J707" s="17" t="n"/>
      <c r="K707" s="17" t="n"/>
      <c r="L707" s="17" t="n"/>
      <c r="M707" s="16" t="n"/>
      <c r="N707" s="16" t="n"/>
      <c r="O707" s="18" t="n"/>
      <c r="P707" s="18" t="n"/>
      <c r="Q707" s="16" t="n"/>
    </row>
    <row r="708">
      <c r="E708" s="20" t="n"/>
      <c r="F708" s="20" t="n"/>
      <c r="G708" s="20" t="n"/>
      <c r="H708" s="16" t="n"/>
      <c r="I708" s="16" t="n"/>
      <c r="J708" s="17" t="n"/>
      <c r="K708" s="17" t="n"/>
      <c r="L708" s="17" t="n"/>
      <c r="M708" s="16" t="n"/>
      <c r="N708" s="16" t="n"/>
      <c r="O708" s="18" t="n"/>
      <c r="P708" s="18" t="n"/>
      <c r="Q708" s="16" t="n"/>
    </row>
    <row r="709">
      <c r="E709" s="20" t="n"/>
      <c r="F709" s="20" t="n"/>
      <c r="G709" s="20" t="n"/>
      <c r="H709" s="16" t="n"/>
      <c r="I709" s="16" t="n"/>
      <c r="J709" s="17" t="n"/>
      <c r="K709" s="17" t="n"/>
      <c r="L709" s="17" t="n"/>
      <c r="M709" s="16" t="n"/>
      <c r="N709" s="16" t="n"/>
      <c r="O709" s="18" t="n"/>
      <c r="P709" s="18" t="n"/>
      <c r="Q709" s="16" t="n"/>
    </row>
    <row r="710">
      <c r="E710" s="20" t="n"/>
      <c r="F710" s="20" t="n"/>
      <c r="G710" s="20" t="n"/>
      <c r="H710" s="16" t="n"/>
      <c r="I710" s="16" t="n"/>
      <c r="J710" s="17" t="n"/>
      <c r="K710" s="17" t="n"/>
      <c r="L710" s="17" t="n"/>
      <c r="M710" s="16" t="n"/>
      <c r="N710" s="16" t="n"/>
      <c r="O710" s="18" t="n"/>
      <c r="P710" s="18" t="n"/>
      <c r="Q710" s="16" t="n"/>
    </row>
    <row r="711">
      <c r="E711" s="20" t="n"/>
      <c r="F711" s="20" t="n"/>
      <c r="G711" s="20" t="n"/>
      <c r="H711" s="16" t="n"/>
      <c r="I711" s="16" t="n"/>
      <c r="J711" s="17" t="n"/>
      <c r="K711" s="17" t="n"/>
      <c r="L711" s="17" t="n"/>
      <c r="M711" s="16" t="n"/>
      <c r="N711" s="16" t="n"/>
      <c r="O711" s="18" t="n"/>
      <c r="P711" s="18" t="n"/>
      <c r="Q711" s="16" t="n"/>
    </row>
    <row r="712">
      <c r="E712" s="20" t="n"/>
      <c r="F712" s="20" t="n"/>
      <c r="G712" s="20" t="n"/>
      <c r="H712" s="16" t="n"/>
      <c r="I712" s="16" t="n"/>
      <c r="J712" s="17" t="n"/>
      <c r="K712" s="17" t="n"/>
      <c r="L712" s="17" t="n"/>
      <c r="M712" s="16" t="n"/>
      <c r="N712" s="16" t="n"/>
      <c r="O712" s="18" t="n"/>
      <c r="P712" s="18" t="n"/>
      <c r="Q712" s="16" t="n"/>
    </row>
    <row r="713">
      <c r="E713" s="20" t="n"/>
      <c r="F713" s="20" t="n"/>
      <c r="G713" s="20" t="n"/>
      <c r="H713" s="16" t="n"/>
      <c r="I713" s="16" t="n"/>
      <c r="J713" s="17" t="n"/>
      <c r="K713" s="17" t="n"/>
      <c r="L713" s="17" t="n"/>
      <c r="M713" s="16" t="n"/>
      <c r="N713" s="16" t="n"/>
      <c r="O713" s="18" t="n"/>
      <c r="P713" s="18" t="n"/>
      <c r="Q713" s="16" t="n"/>
    </row>
    <row r="714">
      <c r="E714" s="20" t="n"/>
      <c r="F714" s="20" t="n"/>
      <c r="G714" s="20" t="n"/>
      <c r="H714" s="16" t="n"/>
      <c r="I714" s="16" t="n"/>
      <c r="J714" s="17" t="n"/>
      <c r="K714" s="17" t="n"/>
      <c r="L714" s="17" t="n"/>
      <c r="M714" s="16" t="n"/>
      <c r="N714" s="16" t="n"/>
      <c r="O714" s="18" t="n"/>
      <c r="P714" s="18" t="n"/>
      <c r="Q714" s="16" t="n"/>
    </row>
    <row r="715">
      <c r="E715" s="20" t="n"/>
      <c r="F715" s="20" t="n"/>
      <c r="G715" s="20" t="n"/>
      <c r="H715" s="16" t="n"/>
      <c r="I715" s="16" t="n"/>
      <c r="J715" s="17" t="n"/>
      <c r="K715" s="17" t="n"/>
      <c r="L715" s="17" t="n"/>
      <c r="M715" s="16" t="n"/>
      <c r="N715" s="16" t="n"/>
      <c r="O715" s="18" t="n"/>
      <c r="P715" s="18" t="n"/>
      <c r="Q715" s="16" t="n"/>
    </row>
    <row r="716">
      <c r="E716" s="20" t="n"/>
      <c r="F716" s="20" t="n"/>
      <c r="G716" s="20" t="n"/>
      <c r="H716" s="16" t="n"/>
      <c r="I716" s="16" t="n"/>
      <c r="J716" s="17" t="n"/>
      <c r="K716" s="17" t="n"/>
      <c r="L716" s="17" t="n"/>
      <c r="M716" s="16" t="n"/>
      <c r="N716" s="16" t="n"/>
      <c r="O716" s="18" t="n"/>
      <c r="P716" s="18" t="n"/>
      <c r="Q716" s="16" t="n"/>
    </row>
    <row r="717">
      <c r="E717" s="20" t="n"/>
      <c r="F717" s="20" t="n"/>
      <c r="G717" s="20" t="n"/>
      <c r="H717" s="16" t="n"/>
      <c r="I717" s="16" t="n"/>
      <c r="J717" s="17" t="n"/>
      <c r="K717" s="17" t="n"/>
      <c r="L717" s="17" t="n"/>
      <c r="M717" s="16" t="n"/>
      <c r="N717" s="16" t="n"/>
      <c r="O717" s="18" t="n"/>
      <c r="P717" s="18" t="n"/>
      <c r="Q717" s="16" t="n"/>
    </row>
    <row r="718">
      <c r="E718" s="20" t="n"/>
      <c r="F718" s="20" t="n"/>
      <c r="G718" s="20" t="n"/>
      <c r="H718" s="16" t="n"/>
      <c r="I718" s="16" t="n"/>
      <c r="J718" s="17" t="n"/>
      <c r="K718" s="17" t="n"/>
      <c r="L718" s="17" t="n"/>
      <c r="M718" s="16" t="n"/>
      <c r="N718" s="16" t="n"/>
      <c r="O718" s="18" t="n"/>
      <c r="P718" s="18" t="n"/>
      <c r="Q718" s="16" t="n"/>
    </row>
    <row r="719">
      <c r="E719" s="20" t="n"/>
      <c r="F719" s="20" t="n"/>
      <c r="G719" s="20" t="n"/>
      <c r="H719" s="16" t="n"/>
      <c r="I719" s="16" t="n"/>
      <c r="J719" s="17" t="n"/>
      <c r="K719" s="17" t="n"/>
      <c r="L719" s="17" t="n"/>
      <c r="M719" s="16" t="n"/>
      <c r="N719" s="16" t="n"/>
      <c r="O719" s="18" t="n"/>
      <c r="P719" s="18" t="n"/>
      <c r="Q719" s="16" t="n"/>
    </row>
    <row r="720">
      <c r="E720" s="20" t="n"/>
      <c r="F720" s="20" t="n"/>
      <c r="G720" s="20" t="n"/>
      <c r="H720" s="16" t="n"/>
      <c r="I720" s="16" t="n"/>
      <c r="J720" s="17" t="n"/>
      <c r="K720" s="17" t="n"/>
      <c r="L720" s="17" t="n"/>
      <c r="M720" s="16" t="n"/>
      <c r="N720" s="16" t="n"/>
      <c r="O720" s="18" t="n"/>
      <c r="P720" s="18" t="n"/>
      <c r="Q720" s="16" t="n"/>
    </row>
    <row r="721">
      <c r="E721" s="20" t="n"/>
      <c r="F721" s="20" t="n"/>
      <c r="G721" s="20" t="n"/>
      <c r="H721" s="16" t="n"/>
      <c r="I721" s="16" t="n"/>
      <c r="J721" s="17" t="n"/>
      <c r="K721" s="17" t="n"/>
      <c r="L721" s="17" t="n"/>
      <c r="M721" s="16" t="n"/>
      <c r="N721" s="16" t="n"/>
      <c r="O721" s="18" t="n"/>
      <c r="P721" s="18" t="n"/>
      <c r="Q721" s="16" t="n"/>
    </row>
    <row r="722">
      <c r="E722" s="20" t="n"/>
      <c r="F722" s="20" t="n"/>
      <c r="G722" s="20" t="n"/>
      <c r="H722" s="16" t="n"/>
      <c r="I722" s="16" t="n"/>
      <c r="J722" s="17" t="n"/>
      <c r="K722" s="17" t="n"/>
      <c r="L722" s="17" t="n"/>
      <c r="M722" s="16" t="n"/>
      <c r="N722" s="16" t="n"/>
      <c r="O722" s="18" t="n"/>
      <c r="P722" s="18" t="n"/>
      <c r="Q722" s="16" t="n"/>
    </row>
    <row r="723">
      <c r="E723" s="20" t="n"/>
      <c r="F723" s="20" t="n"/>
      <c r="G723" s="20" t="n"/>
      <c r="H723" s="16" t="n"/>
      <c r="I723" s="16" t="n"/>
      <c r="J723" s="17" t="n"/>
      <c r="K723" s="17" t="n"/>
      <c r="L723" s="17" t="n"/>
      <c r="M723" s="16" t="n"/>
      <c r="N723" s="16" t="n"/>
      <c r="O723" s="18" t="n"/>
      <c r="P723" s="18" t="n"/>
      <c r="Q723" s="16" t="n"/>
    </row>
    <row r="724">
      <c r="E724" s="20" t="n"/>
      <c r="F724" s="20" t="n"/>
      <c r="G724" s="20" t="n"/>
      <c r="H724" s="16" t="n"/>
      <c r="I724" s="16" t="n"/>
      <c r="J724" s="17" t="n"/>
      <c r="K724" s="17" t="n"/>
      <c r="L724" s="17" t="n"/>
      <c r="M724" s="16" t="n"/>
      <c r="N724" s="16" t="n"/>
      <c r="O724" s="18" t="n"/>
      <c r="P724" s="18" t="n"/>
      <c r="Q724" s="16" t="n"/>
    </row>
    <row r="725">
      <c r="E725" s="20" t="n"/>
      <c r="F725" s="20" t="n"/>
      <c r="G725" s="20" t="n"/>
      <c r="H725" s="16" t="n"/>
      <c r="I725" s="16" t="n"/>
      <c r="J725" s="17" t="n"/>
      <c r="K725" s="17" t="n"/>
      <c r="L725" s="17" t="n"/>
      <c r="M725" s="16" t="n"/>
      <c r="N725" s="16" t="n"/>
      <c r="O725" s="18" t="n"/>
      <c r="P725" s="18" t="n"/>
      <c r="Q725" s="16" t="n"/>
    </row>
    <row r="726">
      <c r="E726" s="20" t="n"/>
      <c r="F726" s="20" t="n"/>
      <c r="G726" s="20" t="n"/>
      <c r="H726" s="16" t="n"/>
      <c r="I726" s="16" t="n"/>
      <c r="J726" s="17" t="n"/>
      <c r="K726" s="17" t="n"/>
      <c r="L726" s="17" t="n"/>
      <c r="M726" s="16" t="n"/>
      <c r="N726" s="16" t="n"/>
      <c r="O726" s="18" t="n"/>
      <c r="P726" s="18" t="n"/>
      <c r="Q726" s="16" t="n"/>
    </row>
    <row r="727">
      <c r="E727" s="20" t="n"/>
      <c r="F727" s="20" t="n"/>
      <c r="G727" s="20" t="n"/>
      <c r="H727" s="16" t="n"/>
      <c r="I727" s="16" t="n"/>
      <c r="J727" s="17" t="n"/>
      <c r="K727" s="17" t="n"/>
      <c r="L727" s="17" t="n"/>
      <c r="M727" s="16" t="n"/>
      <c r="N727" s="16" t="n"/>
      <c r="O727" s="18" t="n"/>
      <c r="P727" s="18" t="n"/>
      <c r="Q727" s="16" t="n"/>
    </row>
    <row r="728">
      <c r="E728" s="20" t="n"/>
      <c r="F728" s="20" t="n"/>
      <c r="G728" s="20" t="n"/>
      <c r="H728" s="16" t="n"/>
      <c r="I728" s="16" t="n"/>
      <c r="J728" s="17" t="n"/>
      <c r="K728" s="17" t="n"/>
      <c r="L728" s="17" t="n"/>
      <c r="M728" s="16" t="n"/>
      <c r="N728" s="16" t="n"/>
      <c r="O728" s="18" t="n"/>
      <c r="P728" s="18" t="n"/>
      <c r="Q728" s="16" t="n"/>
    </row>
    <row r="729">
      <c r="E729" s="20" t="n"/>
      <c r="F729" s="20" t="n"/>
      <c r="G729" s="20" t="n"/>
      <c r="H729" s="16" t="n"/>
      <c r="I729" s="16" t="n"/>
      <c r="J729" s="17" t="n"/>
      <c r="K729" s="17" t="n"/>
      <c r="L729" s="17" t="n"/>
      <c r="M729" s="16" t="n"/>
      <c r="N729" s="16" t="n"/>
      <c r="O729" s="18" t="n"/>
      <c r="P729" s="18" t="n"/>
      <c r="Q729" s="16" t="n"/>
    </row>
    <row r="730">
      <c r="E730" s="20" t="n"/>
      <c r="F730" s="20" t="n"/>
      <c r="G730" s="20" t="n"/>
      <c r="H730" s="16" t="n"/>
      <c r="I730" s="16" t="n"/>
      <c r="J730" s="17" t="n"/>
      <c r="K730" s="17" t="n"/>
      <c r="L730" s="17" t="n"/>
      <c r="M730" s="16" t="n"/>
      <c r="N730" s="16" t="n"/>
      <c r="O730" s="18" t="n"/>
      <c r="P730" s="18" t="n"/>
      <c r="Q730" s="16" t="n"/>
    </row>
    <row r="731">
      <c r="E731" s="20" t="n"/>
      <c r="F731" s="20" t="n"/>
      <c r="G731" s="20" t="n"/>
      <c r="H731" s="16" t="n"/>
      <c r="I731" s="16" t="n"/>
      <c r="J731" s="17" t="n"/>
      <c r="K731" s="17" t="n"/>
      <c r="L731" s="17" t="n"/>
      <c r="M731" s="16" t="n"/>
      <c r="N731" s="16" t="n"/>
      <c r="O731" s="18" t="n"/>
      <c r="P731" s="18" t="n"/>
      <c r="Q731" s="16" t="n"/>
    </row>
    <row r="732">
      <c r="E732" s="20" t="n"/>
      <c r="F732" s="20" t="n"/>
      <c r="G732" s="20" t="n"/>
      <c r="H732" s="16" t="n"/>
      <c r="I732" s="16" t="n"/>
      <c r="J732" s="17" t="n"/>
      <c r="K732" s="17" t="n"/>
      <c r="L732" s="17" t="n"/>
      <c r="M732" s="16" t="n"/>
      <c r="N732" s="16" t="n"/>
      <c r="O732" s="18" t="n"/>
      <c r="P732" s="18" t="n"/>
      <c r="Q732" s="16" t="n"/>
    </row>
    <row r="733">
      <c r="E733" s="20" t="n"/>
      <c r="F733" s="20" t="n"/>
      <c r="G733" s="20" t="n"/>
      <c r="H733" s="16" t="n"/>
      <c r="I733" s="16" t="n"/>
      <c r="J733" s="17" t="n"/>
      <c r="K733" s="17" t="n"/>
      <c r="L733" s="17" t="n"/>
      <c r="M733" s="16" t="n"/>
      <c r="N733" s="16" t="n"/>
      <c r="O733" s="18" t="n"/>
      <c r="P733" s="18" t="n"/>
      <c r="Q733" s="16" t="n"/>
    </row>
    <row r="734">
      <c r="E734" s="20" t="n"/>
      <c r="F734" s="20" t="n"/>
      <c r="G734" s="20" t="n"/>
      <c r="H734" s="16" t="n"/>
      <c r="I734" s="16" t="n"/>
      <c r="J734" s="17" t="n"/>
      <c r="K734" s="17" t="n"/>
      <c r="L734" s="17" t="n"/>
      <c r="M734" s="16" t="n"/>
      <c r="N734" s="16" t="n"/>
      <c r="O734" s="18" t="n"/>
      <c r="P734" s="18" t="n"/>
      <c r="Q734" s="16" t="n"/>
    </row>
    <row r="735">
      <c r="E735" s="20" t="n"/>
      <c r="F735" s="20" t="n"/>
      <c r="G735" s="20" t="n"/>
      <c r="H735" s="16" t="n"/>
      <c r="I735" s="16" t="n"/>
      <c r="J735" s="17" t="n"/>
      <c r="K735" s="17" t="n"/>
      <c r="L735" s="17" t="n"/>
      <c r="M735" s="16" t="n"/>
      <c r="N735" s="16" t="n"/>
      <c r="O735" s="18" t="n"/>
      <c r="P735" s="18" t="n"/>
      <c r="Q735" s="16" t="n"/>
    </row>
    <row r="736">
      <c r="E736" s="20" t="n"/>
      <c r="F736" s="20" t="n"/>
      <c r="G736" s="20" t="n"/>
      <c r="H736" s="16" t="n"/>
      <c r="I736" s="16" t="n"/>
      <c r="J736" s="17" t="n"/>
      <c r="K736" s="17" t="n"/>
      <c r="L736" s="17" t="n"/>
      <c r="M736" s="16" t="n"/>
      <c r="N736" s="16" t="n"/>
      <c r="O736" s="18" t="n"/>
      <c r="P736" s="18" t="n"/>
      <c r="Q736" s="16" t="n"/>
    </row>
    <row r="737">
      <c r="E737" s="20" t="n"/>
      <c r="F737" s="20" t="n"/>
      <c r="G737" s="20" t="n"/>
      <c r="H737" s="16" t="n"/>
      <c r="I737" s="16" t="n"/>
      <c r="J737" s="17" t="n"/>
      <c r="K737" s="17" t="n"/>
      <c r="L737" s="17" t="n"/>
      <c r="M737" s="16" t="n"/>
      <c r="N737" s="16" t="n"/>
      <c r="O737" s="18" t="n"/>
      <c r="P737" s="18" t="n"/>
      <c r="Q737" s="16" t="n"/>
    </row>
    <row r="738">
      <c r="E738" s="20" t="n"/>
      <c r="F738" s="20" t="n"/>
      <c r="G738" s="20" t="n"/>
      <c r="H738" s="16" t="n"/>
      <c r="I738" s="16" t="n"/>
      <c r="J738" s="17" t="n"/>
      <c r="K738" s="17" t="n"/>
      <c r="L738" s="17" t="n"/>
      <c r="M738" s="16" t="n"/>
      <c r="N738" s="16" t="n"/>
      <c r="O738" s="18" t="n"/>
      <c r="P738" s="18" t="n"/>
      <c r="Q738" s="16" t="n"/>
    </row>
    <row r="739">
      <c r="E739" s="20" t="n"/>
      <c r="F739" s="20" t="n"/>
      <c r="G739" s="20" t="n"/>
      <c r="H739" s="16" t="n"/>
      <c r="I739" s="16" t="n"/>
      <c r="J739" s="17" t="n"/>
      <c r="K739" s="17" t="n"/>
      <c r="L739" s="17" t="n"/>
      <c r="M739" s="16" t="n"/>
      <c r="N739" s="16" t="n"/>
      <c r="O739" s="18" t="n"/>
      <c r="P739" s="18" t="n"/>
      <c r="Q739" s="16" t="n"/>
    </row>
    <row r="740">
      <c r="E740" s="20" t="n"/>
      <c r="F740" s="20" t="n"/>
      <c r="G740" s="20" t="n"/>
      <c r="H740" s="16" t="n"/>
      <c r="I740" s="16" t="n"/>
      <c r="J740" s="17" t="n"/>
      <c r="K740" s="17" t="n"/>
      <c r="L740" s="17" t="n"/>
      <c r="M740" s="16" t="n"/>
      <c r="N740" s="16" t="n"/>
      <c r="O740" s="18" t="n"/>
      <c r="P740" s="18" t="n"/>
      <c r="Q740" s="16" t="n"/>
    </row>
    <row r="741">
      <c r="E741" s="20" t="n"/>
      <c r="F741" s="20" t="n"/>
      <c r="G741" s="20" t="n"/>
      <c r="H741" s="16" t="n"/>
      <c r="I741" s="16" t="n"/>
      <c r="J741" s="17" t="n"/>
      <c r="K741" s="17" t="n"/>
      <c r="L741" s="17" t="n"/>
      <c r="M741" s="16" t="n"/>
      <c r="N741" s="16" t="n"/>
      <c r="O741" s="18" t="n"/>
      <c r="P741" s="18" t="n"/>
      <c r="Q741" s="16" t="n"/>
    </row>
    <row r="742">
      <c r="E742" s="20" t="n"/>
      <c r="F742" s="20" t="n"/>
      <c r="G742" s="20" t="n"/>
      <c r="H742" s="16" t="n"/>
      <c r="I742" s="16" t="n"/>
      <c r="J742" s="17" t="n"/>
      <c r="K742" s="17" t="n"/>
      <c r="L742" s="17" t="n"/>
      <c r="M742" s="16" t="n"/>
      <c r="N742" s="16" t="n"/>
      <c r="O742" s="18" t="n"/>
      <c r="P742" s="18" t="n"/>
      <c r="Q742" s="16" t="n"/>
    </row>
    <row r="743">
      <c r="E743" s="20" t="n"/>
      <c r="F743" s="20" t="n"/>
      <c r="G743" s="20" t="n"/>
      <c r="H743" s="16" t="n"/>
      <c r="I743" s="16" t="n"/>
      <c r="J743" s="17" t="n"/>
      <c r="K743" s="17" t="n"/>
      <c r="L743" s="17" t="n"/>
      <c r="M743" s="16" t="n"/>
      <c r="N743" s="16" t="n"/>
      <c r="O743" s="18" t="n"/>
      <c r="P743" s="18" t="n"/>
      <c r="Q743" s="16" t="n"/>
    </row>
    <row r="744">
      <c r="E744" s="20" t="n"/>
      <c r="F744" s="20" t="n"/>
      <c r="G744" s="20" t="n"/>
      <c r="H744" s="16" t="n"/>
      <c r="I744" s="16" t="n"/>
      <c r="J744" s="17" t="n"/>
      <c r="K744" s="17" t="n"/>
      <c r="L744" s="17" t="n"/>
      <c r="M744" s="16" t="n"/>
      <c r="N744" s="16" t="n"/>
      <c r="O744" s="18" t="n"/>
      <c r="P744" s="18" t="n"/>
      <c r="Q744" s="16" t="n"/>
    </row>
    <row r="745">
      <c r="E745" s="20" t="n"/>
      <c r="F745" s="20" t="n"/>
      <c r="G745" s="20" t="n"/>
      <c r="H745" s="16" t="n"/>
      <c r="I745" s="16" t="n"/>
      <c r="J745" s="17" t="n"/>
      <c r="K745" s="17" t="n"/>
      <c r="L745" s="17" t="n"/>
      <c r="M745" s="16" t="n"/>
      <c r="N745" s="16" t="n"/>
      <c r="O745" s="18" t="n"/>
      <c r="P745" s="18" t="n"/>
      <c r="Q745" s="16" t="n"/>
    </row>
    <row r="746">
      <c r="E746" s="20" t="n"/>
      <c r="F746" s="20" t="n"/>
      <c r="G746" s="20" t="n"/>
      <c r="H746" s="16" t="n"/>
      <c r="I746" s="16" t="n"/>
      <c r="J746" s="17" t="n"/>
      <c r="K746" s="17" t="n"/>
      <c r="L746" s="17" t="n"/>
      <c r="M746" s="16" t="n"/>
      <c r="N746" s="16" t="n"/>
      <c r="O746" s="18" t="n"/>
      <c r="P746" s="18" t="n"/>
      <c r="Q746" s="16" t="n"/>
    </row>
    <row r="747">
      <c r="E747" s="20" t="n"/>
      <c r="F747" s="20" t="n"/>
      <c r="G747" s="20" t="n"/>
      <c r="H747" s="16" t="n"/>
      <c r="I747" s="16" t="n"/>
      <c r="J747" s="17" t="n"/>
      <c r="K747" s="17" t="n"/>
      <c r="L747" s="17" t="n"/>
      <c r="M747" s="16" t="n"/>
      <c r="N747" s="16" t="n"/>
      <c r="O747" s="18" t="n"/>
      <c r="P747" s="18" t="n"/>
      <c r="Q747" s="16" t="n"/>
    </row>
    <row r="748">
      <c r="E748" s="20" t="n"/>
      <c r="F748" s="20" t="n"/>
      <c r="G748" s="20" t="n"/>
      <c r="H748" s="16" t="n"/>
      <c r="I748" s="16" t="n"/>
      <c r="J748" s="17" t="n"/>
      <c r="K748" s="17" t="n"/>
      <c r="L748" s="17" t="n"/>
      <c r="M748" s="16" t="n"/>
      <c r="N748" s="16" t="n"/>
      <c r="O748" s="18" t="n"/>
      <c r="P748" s="18" t="n"/>
      <c r="Q748" s="16" t="n"/>
    </row>
    <row r="749">
      <c r="E749" s="20" t="n"/>
      <c r="F749" s="20" t="n"/>
      <c r="G749" s="20" t="n"/>
      <c r="H749" s="16" t="n"/>
      <c r="I749" s="16" t="n"/>
      <c r="J749" s="17" t="n"/>
      <c r="K749" s="17" t="n"/>
      <c r="L749" s="17" t="n"/>
      <c r="M749" s="16" t="n"/>
      <c r="N749" s="16" t="n"/>
      <c r="O749" s="18" t="n"/>
      <c r="P749" s="18" t="n"/>
      <c r="Q749" s="16" t="n"/>
    </row>
    <row r="750">
      <c r="E750" s="20" t="n"/>
      <c r="F750" s="20" t="n"/>
      <c r="G750" s="20" t="n"/>
      <c r="H750" s="16" t="n"/>
      <c r="I750" s="16" t="n"/>
      <c r="J750" s="17" t="n"/>
      <c r="K750" s="17" t="n"/>
      <c r="L750" s="17" t="n"/>
      <c r="M750" s="16" t="n"/>
      <c r="N750" s="16" t="n"/>
      <c r="O750" s="18" t="n"/>
      <c r="P750" s="18" t="n"/>
      <c r="Q750" s="16" t="n"/>
    </row>
    <row r="751">
      <c r="E751" s="20" t="n"/>
      <c r="F751" s="20" t="n"/>
      <c r="G751" s="20" t="n"/>
      <c r="H751" s="16" t="n"/>
      <c r="I751" s="16" t="n"/>
      <c r="J751" s="17" t="n"/>
      <c r="K751" s="17" t="n"/>
      <c r="L751" s="17" t="n"/>
      <c r="M751" s="16" t="n"/>
      <c r="N751" s="16" t="n"/>
      <c r="O751" s="18" t="n"/>
      <c r="P751" s="18" t="n"/>
      <c r="Q751" s="16" t="n"/>
    </row>
    <row r="752">
      <c r="E752" s="20" t="n"/>
      <c r="F752" s="20" t="n"/>
      <c r="G752" s="20" t="n"/>
      <c r="H752" s="16" t="n"/>
      <c r="I752" s="16" t="n"/>
      <c r="J752" s="17" t="n"/>
      <c r="K752" s="17" t="n"/>
      <c r="L752" s="17" t="n"/>
      <c r="M752" s="16" t="n"/>
      <c r="N752" s="16" t="n"/>
      <c r="O752" s="18" t="n"/>
      <c r="P752" s="18" t="n"/>
      <c r="Q752" s="16" t="n"/>
    </row>
    <row r="753">
      <c r="E753" s="20" t="n"/>
      <c r="F753" s="20" t="n"/>
      <c r="G753" s="20" t="n"/>
      <c r="H753" s="16" t="n"/>
      <c r="I753" s="16" t="n"/>
      <c r="J753" s="17" t="n"/>
      <c r="K753" s="17" t="n"/>
      <c r="L753" s="17" t="n"/>
      <c r="M753" s="16" t="n"/>
      <c r="N753" s="16" t="n"/>
      <c r="O753" s="18" t="n"/>
      <c r="P753" s="18" t="n"/>
      <c r="Q753" s="16" t="n"/>
    </row>
    <row r="754">
      <c r="E754" s="20" t="n"/>
      <c r="F754" s="20" t="n"/>
      <c r="G754" s="20" t="n"/>
      <c r="H754" s="16" t="n"/>
      <c r="I754" s="16" t="n"/>
      <c r="J754" s="17" t="n"/>
      <c r="K754" s="17" t="n"/>
      <c r="L754" s="17" t="n"/>
      <c r="M754" s="16" t="n"/>
      <c r="N754" s="16" t="n"/>
      <c r="O754" s="18" t="n"/>
      <c r="P754" s="18" t="n"/>
      <c r="Q754" s="16" t="n"/>
    </row>
    <row r="755">
      <c r="E755" s="20" t="n"/>
      <c r="F755" s="20" t="n"/>
      <c r="G755" s="20" t="n"/>
      <c r="H755" s="16" t="n"/>
      <c r="I755" s="16" t="n"/>
      <c r="J755" s="17" t="n"/>
      <c r="K755" s="17" t="n"/>
      <c r="L755" s="17" t="n"/>
      <c r="M755" s="16" t="n"/>
      <c r="N755" s="16" t="n"/>
      <c r="O755" s="18" t="n"/>
      <c r="P755" s="18" t="n"/>
      <c r="Q755" s="16" t="n"/>
    </row>
    <row r="756">
      <c r="E756" s="20" t="n"/>
      <c r="F756" s="20" t="n"/>
      <c r="G756" s="20" t="n"/>
      <c r="H756" s="16" t="n"/>
      <c r="I756" s="16" t="n"/>
      <c r="J756" s="17" t="n"/>
      <c r="K756" s="17" t="n"/>
      <c r="L756" s="17" t="n"/>
      <c r="M756" s="16" t="n"/>
      <c r="N756" s="16" t="n"/>
      <c r="O756" s="18" t="n"/>
      <c r="P756" s="18" t="n"/>
      <c r="Q756" s="16" t="n"/>
    </row>
    <row r="757">
      <c r="E757" s="20" t="n"/>
      <c r="F757" s="20" t="n"/>
      <c r="G757" s="20" t="n"/>
      <c r="H757" s="16" t="n"/>
      <c r="I757" s="16" t="n"/>
      <c r="J757" s="17" t="n"/>
      <c r="K757" s="17" t="n"/>
      <c r="L757" s="17" t="n"/>
      <c r="M757" s="16" t="n"/>
      <c r="N757" s="16" t="n"/>
      <c r="O757" s="18" t="n"/>
      <c r="P757" s="18" t="n"/>
      <c r="Q757" s="16" t="n"/>
    </row>
    <row r="758">
      <c r="E758" s="20" t="n"/>
      <c r="F758" s="20" t="n"/>
      <c r="G758" s="20" t="n"/>
      <c r="H758" s="16" t="n"/>
      <c r="I758" s="16" t="n"/>
      <c r="J758" s="17" t="n"/>
      <c r="K758" s="17" t="n"/>
      <c r="L758" s="17" t="n"/>
      <c r="M758" s="16" t="n"/>
      <c r="N758" s="16" t="n"/>
      <c r="O758" s="18" t="n"/>
      <c r="P758" s="18" t="n"/>
      <c r="Q758" s="16" t="n"/>
    </row>
    <row r="759">
      <c r="E759" s="20" t="n"/>
      <c r="F759" s="20" t="n"/>
      <c r="G759" s="20" t="n"/>
      <c r="H759" s="16" t="n"/>
      <c r="I759" s="16" t="n"/>
      <c r="J759" s="17" t="n"/>
      <c r="K759" s="17" t="n"/>
      <c r="L759" s="17" t="n"/>
      <c r="M759" s="16" t="n"/>
      <c r="N759" s="16" t="n"/>
      <c r="O759" s="18" t="n"/>
      <c r="P759" s="18" t="n"/>
      <c r="Q759" s="16" t="n"/>
    </row>
    <row r="760">
      <c r="E760" s="20" t="n"/>
      <c r="F760" s="20" t="n"/>
      <c r="G760" s="20" t="n"/>
      <c r="H760" s="16" t="n"/>
      <c r="I760" s="16" t="n"/>
      <c r="J760" s="17" t="n"/>
      <c r="K760" s="17" t="n"/>
      <c r="L760" s="17" t="n"/>
      <c r="M760" s="16" t="n"/>
      <c r="N760" s="16" t="n"/>
      <c r="O760" s="18" t="n"/>
      <c r="P760" s="18" t="n"/>
      <c r="Q760" s="16" t="n"/>
    </row>
    <row r="761">
      <c r="E761" s="20" t="n"/>
      <c r="F761" s="20" t="n"/>
      <c r="G761" s="20" t="n"/>
      <c r="H761" s="16" t="n"/>
      <c r="I761" s="16" t="n"/>
      <c r="J761" s="17" t="n"/>
      <c r="K761" s="17" t="n"/>
      <c r="L761" s="17" t="n"/>
      <c r="M761" s="16" t="n"/>
      <c r="N761" s="16" t="n"/>
      <c r="O761" s="18" t="n"/>
      <c r="P761" s="18" t="n"/>
      <c r="Q761" s="16" t="n"/>
    </row>
    <row r="762">
      <c r="E762" s="20" t="n"/>
      <c r="F762" s="20" t="n"/>
      <c r="G762" s="20" t="n"/>
      <c r="H762" s="16" t="n"/>
      <c r="I762" s="16" t="n"/>
      <c r="J762" s="17" t="n"/>
      <c r="K762" s="17" t="n"/>
      <c r="L762" s="17" t="n"/>
      <c r="M762" s="16" t="n"/>
      <c r="N762" s="16" t="n"/>
      <c r="O762" s="18" t="n"/>
      <c r="P762" s="18" t="n"/>
      <c r="Q762" s="16" t="n"/>
    </row>
    <row r="763">
      <c r="E763" s="20" t="n"/>
      <c r="F763" s="20" t="n"/>
      <c r="G763" s="20" t="n"/>
      <c r="H763" s="16" t="n"/>
      <c r="I763" s="16" t="n"/>
      <c r="J763" s="17" t="n"/>
      <c r="K763" s="17" t="n"/>
      <c r="L763" s="17" t="n"/>
      <c r="M763" s="16" t="n"/>
      <c r="N763" s="16" t="n"/>
      <c r="O763" s="18" t="n"/>
      <c r="P763" s="18" t="n"/>
      <c r="Q763" s="16" t="n"/>
    </row>
    <row r="764">
      <c r="E764" s="20" t="n"/>
      <c r="F764" s="20" t="n"/>
      <c r="G764" s="20" t="n"/>
      <c r="H764" s="16" t="n"/>
      <c r="I764" s="16" t="n"/>
      <c r="J764" s="17" t="n"/>
      <c r="K764" s="17" t="n"/>
      <c r="L764" s="17" t="n"/>
      <c r="M764" s="16" t="n"/>
      <c r="N764" s="16" t="n"/>
      <c r="O764" s="18" t="n"/>
      <c r="P764" s="18" t="n"/>
      <c r="Q764" s="16" t="n"/>
    </row>
    <row r="765">
      <c r="E765" s="20" t="n"/>
      <c r="F765" s="20" t="n"/>
      <c r="G765" s="20" t="n"/>
      <c r="H765" s="16" t="n"/>
      <c r="I765" s="16" t="n"/>
      <c r="J765" s="17" t="n"/>
      <c r="K765" s="17" t="n"/>
      <c r="L765" s="17" t="n"/>
      <c r="M765" s="16" t="n"/>
      <c r="N765" s="16" t="n"/>
      <c r="O765" s="18" t="n"/>
      <c r="P765" s="18" t="n"/>
      <c r="Q765" s="16" t="n"/>
    </row>
    <row r="766">
      <c r="E766" s="20" t="n"/>
      <c r="F766" s="20" t="n"/>
      <c r="G766" s="20" t="n"/>
      <c r="H766" s="16" t="n"/>
      <c r="I766" s="16" t="n"/>
      <c r="J766" s="17" t="n"/>
      <c r="K766" s="17" t="n"/>
      <c r="L766" s="17" t="n"/>
      <c r="M766" s="16" t="n"/>
      <c r="N766" s="16" t="n"/>
      <c r="O766" s="18" t="n"/>
      <c r="P766" s="18" t="n"/>
      <c r="Q766" s="16" t="n"/>
    </row>
    <row r="767">
      <c r="E767" s="20" t="n"/>
      <c r="F767" s="20" t="n"/>
      <c r="G767" s="20" t="n"/>
      <c r="H767" s="16" t="n"/>
      <c r="I767" s="16" t="n"/>
      <c r="J767" s="17" t="n"/>
      <c r="K767" s="17" t="n"/>
      <c r="L767" s="17" t="n"/>
      <c r="M767" s="16" t="n"/>
      <c r="N767" s="16" t="n"/>
      <c r="O767" s="18" t="n"/>
      <c r="P767" s="18" t="n"/>
      <c r="Q767" s="16" t="n"/>
    </row>
    <row r="768">
      <c r="E768" s="20" t="n"/>
      <c r="F768" s="20" t="n"/>
      <c r="G768" s="20" t="n"/>
      <c r="H768" s="16" t="n"/>
      <c r="I768" s="16" t="n"/>
      <c r="J768" s="17" t="n"/>
      <c r="K768" s="17" t="n"/>
      <c r="L768" s="17" t="n"/>
      <c r="M768" s="16" t="n"/>
      <c r="N768" s="16" t="n"/>
      <c r="O768" s="18" t="n"/>
      <c r="P768" s="18" t="n"/>
      <c r="Q768" s="16" t="n"/>
    </row>
    <row r="769">
      <c r="E769" s="20" t="n"/>
      <c r="F769" s="20" t="n"/>
      <c r="G769" s="20" t="n"/>
      <c r="H769" s="16" t="n"/>
      <c r="I769" s="16" t="n"/>
      <c r="J769" s="17" t="n"/>
      <c r="K769" s="17" t="n"/>
      <c r="L769" s="17" t="n"/>
      <c r="M769" s="16" t="n"/>
      <c r="N769" s="16" t="n"/>
      <c r="O769" s="18" t="n"/>
      <c r="P769" s="18" t="n"/>
      <c r="Q769" s="16" t="n"/>
    </row>
    <row r="770">
      <c r="E770" s="20" t="n"/>
      <c r="F770" s="20" t="n"/>
      <c r="G770" s="20" t="n"/>
      <c r="H770" s="16" t="n"/>
      <c r="I770" s="16" t="n"/>
      <c r="J770" s="17" t="n"/>
      <c r="K770" s="17" t="n"/>
      <c r="L770" s="17" t="n"/>
      <c r="M770" s="16" t="n"/>
      <c r="N770" s="16" t="n"/>
      <c r="O770" s="18" t="n"/>
      <c r="P770" s="18" t="n"/>
      <c r="Q770" s="16" t="n"/>
    </row>
    <row r="771">
      <c r="E771" s="20" t="n"/>
      <c r="F771" s="20" t="n"/>
      <c r="G771" s="20" t="n"/>
      <c r="H771" s="16" t="n"/>
      <c r="I771" s="16" t="n"/>
      <c r="J771" s="17" t="n"/>
      <c r="K771" s="17" t="n"/>
      <c r="L771" s="17" t="n"/>
      <c r="M771" s="16" t="n"/>
      <c r="N771" s="16" t="n"/>
      <c r="O771" s="18" t="n"/>
      <c r="P771" s="18" t="n"/>
      <c r="Q771" s="16" t="n"/>
    </row>
    <row r="772">
      <c r="E772" s="20" t="n"/>
      <c r="F772" s="20" t="n"/>
      <c r="G772" s="20" t="n"/>
      <c r="H772" s="16" t="n"/>
      <c r="I772" s="16" t="n"/>
      <c r="J772" s="17" t="n"/>
      <c r="K772" s="17" t="n"/>
      <c r="L772" s="17" t="n"/>
      <c r="M772" s="16" t="n"/>
      <c r="N772" s="16" t="n"/>
      <c r="O772" s="18" t="n"/>
      <c r="P772" s="18" t="n"/>
      <c r="Q772" s="16" t="n"/>
    </row>
    <row r="773">
      <c r="E773" s="20" t="n"/>
      <c r="F773" s="20" t="n"/>
      <c r="G773" s="20" t="n"/>
      <c r="H773" s="16" t="n"/>
      <c r="I773" s="16" t="n"/>
      <c r="J773" s="17" t="n"/>
      <c r="K773" s="17" t="n"/>
      <c r="L773" s="17" t="n"/>
      <c r="M773" s="16" t="n"/>
      <c r="N773" s="16" t="n"/>
      <c r="O773" s="18" t="n"/>
      <c r="P773" s="18" t="n"/>
      <c r="Q773" s="16" t="n"/>
    </row>
    <row r="774">
      <c r="E774" s="20" t="n"/>
      <c r="F774" s="20" t="n"/>
      <c r="G774" s="20" t="n"/>
      <c r="H774" s="16" t="n"/>
      <c r="I774" s="16" t="n"/>
      <c r="J774" s="17" t="n"/>
      <c r="K774" s="17" t="n"/>
      <c r="L774" s="17" t="n"/>
      <c r="M774" s="16" t="n"/>
      <c r="N774" s="16" t="n"/>
      <c r="O774" s="18" t="n"/>
      <c r="P774" s="18" t="n"/>
      <c r="Q774" s="16" t="n"/>
    </row>
    <row r="775">
      <c r="E775" s="20" t="n"/>
      <c r="F775" s="20" t="n"/>
      <c r="G775" s="20" t="n"/>
      <c r="H775" s="16" t="n"/>
      <c r="I775" s="16" t="n"/>
      <c r="J775" s="17" t="n"/>
      <c r="K775" s="17" t="n"/>
      <c r="L775" s="17" t="n"/>
      <c r="M775" s="16" t="n"/>
      <c r="N775" s="16" t="n"/>
      <c r="O775" s="18" t="n"/>
      <c r="P775" s="18" t="n"/>
      <c r="Q775" s="16" t="n"/>
    </row>
    <row r="776">
      <c r="E776" s="20" t="n"/>
      <c r="F776" s="20" t="n"/>
      <c r="G776" s="20" t="n"/>
      <c r="H776" s="16" t="n"/>
      <c r="I776" s="16" t="n"/>
      <c r="J776" s="17" t="n"/>
      <c r="K776" s="17" t="n"/>
      <c r="L776" s="17" t="n"/>
      <c r="M776" s="16" t="n"/>
      <c r="N776" s="16" t="n"/>
      <c r="O776" s="18" t="n"/>
      <c r="P776" s="18" t="n"/>
      <c r="Q776" s="16" t="n"/>
    </row>
    <row r="777">
      <c r="E777" s="20" t="n"/>
      <c r="F777" s="20" t="n"/>
      <c r="G777" s="20" t="n"/>
      <c r="H777" s="16" t="n"/>
      <c r="I777" s="16" t="n"/>
      <c r="J777" s="17" t="n"/>
      <c r="K777" s="17" t="n"/>
      <c r="L777" s="17" t="n"/>
      <c r="M777" s="16" t="n"/>
      <c r="N777" s="16" t="n"/>
      <c r="O777" s="18" t="n"/>
      <c r="P777" s="18" t="n"/>
      <c r="Q777" s="16" t="n"/>
    </row>
    <row r="778">
      <c r="E778" s="20" t="n"/>
      <c r="F778" s="20" t="n"/>
      <c r="G778" s="20" t="n"/>
      <c r="H778" s="16" t="n"/>
      <c r="I778" s="16" t="n"/>
      <c r="J778" s="17" t="n"/>
      <c r="K778" s="17" t="n"/>
      <c r="L778" s="17" t="n"/>
      <c r="M778" s="16" t="n"/>
      <c r="N778" s="16" t="n"/>
      <c r="O778" s="18" t="n"/>
      <c r="P778" s="18" t="n"/>
      <c r="Q778" s="16" t="n"/>
    </row>
    <row r="779">
      <c r="E779" s="20" t="n"/>
      <c r="F779" s="20" t="n"/>
      <c r="G779" s="20" t="n"/>
      <c r="H779" s="16" t="n"/>
      <c r="I779" s="16" t="n"/>
      <c r="J779" s="17" t="n"/>
      <c r="K779" s="17" t="n"/>
      <c r="L779" s="17" t="n"/>
      <c r="M779" s="16" t="n"/>
      <c r="N779" s="16" t="n"/>
      <c r="O779" s="18" t="n"/>
      <c r="P779" s="18" t="n"/>
      <c r="Q779" s="16" t="n"/>
    </row>
    <row r="780">
      <c r="E780" s="20" t="n"/>
      <c r="F780" s="20" t="n"/>
      <c r="G780" s="20" t="n"/>
      <c r="H780" s="16" t="n"/>
      <c r="I780" s="16" t="n"/>
      <c r="J780" s="17" t="n"/>
      <c r="K780" s="17" t="n"/>
      <c r="L780" s="17" t="n"/>
      <c r="M780" s="16" t="n"/>
      <c r="N780" s="16" t="n"/>
      <c r="O780" s="18" t="n"/>
      <c r="P780" s="18" t="n"/>
      <c r="Q780" s="16" t="n"/>
    </row>
    <row r="781">
      <c r="E781" s="20" t="n"/>
      <c r="F781" s="20" t="n"/>
      <c r="G781" s="20" t="n"/>
      <c r="H781" s="16" t="n"/>
      <c r="I781" s="16" t="n"/>
      <c r="J781" s="17" t="n"/>
      <c r="K781" s="17" t="n"/>
      <c r="L781" s="17" t="n"/>
      <c r="M781" s="16" t="n"/>
      <c r="N781" s="16" t="n"/>
      <c r="O781" s="18" t="n"/>
      <c r="P781" s="18" t="n"/>
      <c r="Q781" s="16" t="n"/>
    </row>
    <row r="782">
      <c r="E782" s="20" t="n"/>
      <c r="F782" s="20" t="n"/>
      <c r="G782" s="20" t="n"/>
      <c r="H782" s="16" t="n"/>
      <c r="I782" s="16" t="n"/>
      <c r="J782" s="17" t="n"/>
      <c r="K782" s="17" t="n"/>
      <c r="L782" s="17" t="n"/>
      <c r="M782" s="16" t="n"/>
      <c r="N782" s="16" t="n"/>
      <c r="O782" s="18" t="n"/>
      <c r="P782" s="18" t="n"/>
      <c r="Q782" s="16" t="n"/>
    </row>
    <row r="783">
      <c r="E783" s="20" t="n"/>
      <c r="F783" s="20" t="n"/>
      <c r="G783" s="20" t="n"/>
      <c r="H783" s="16" t="n"/>
      <c r="I783" s="16" t="n"/>
      <c r="J783" s="17" t="n"/>
      <c r="K783" s="17" t="n"/>
      <c r="L783" s="17" t="n"/>
      <c r="M783" s="16" t="n"/>
      <c r="N783" s="16" t="n"/>
      <c r="O783" s="18" t="n"/>
      <c r="P783" s="18" t="n"/>
      <c r="Q783" s="16" t="n"/>
    </row>
    <row r="784">
      <c r="E784" s="20" t="n"/>
      <c r="F784" s="20" t="n"/>
      <c r="G784" s="20" t="n"/>
      <c r="H784" s="16" t="n"/>
      <c r="I784" s="16" t="n"/>
      <c r="J784" s="17" t="n"/>
      <c r="K784" s="17" t="n"/>
      <c r="L784" s="17" t="n"/>
      <c r="M784" s="16" t="n"/>
      <c r="N784" s="16" t="n"/>
      <c r="O784" s="18" t="n"/>
      <c r="P784" s="18" t="n"/>
      <c r="Q784" s="16" t="n"/>
    </row>
    <row r="785">
      <c r="E785" s="20" t="n"/>
      <c r="F785" s="20" t="n"/>
      <c r="G785" s="20" t="n"/>
      <c r="H785" s="16" t="n"/>
      <c r="I785" s="16" t="n"/>
      <c r="J785" s="17" t="n"/>
      <c r="K785" s="17" t="n"/>
      <c r="L785" s="17" t="n"/>
      <c r="M785" s="16" t="n"/>
      <c r="N785" s="16" t="n"/>
      <c r="O785" s="18" t="n"/>
      <c r="P785" s="18" t="n"/>
      <c r="Q785" s="16" t="n"/>
    </row>
    <row r="786">
      <c r="E786" s="20" t="n"/>
      <c r="F786" s="20" t="n"/>
      <c r="G786" s="20" t="n"/>
      <c r="H786" s="16" t="n"/>
      <c r="I786" s="16" t="n"/>
      <c r="J786" s="17" t="n"/>
      <c r="K786" s="17" t="n"/>
      <c r="L786" s="17" t="n"/>
      <c r="M786" s="16" t="n"/>
      <c r="N786" s="16" t="n"/>
      <c r="O786" s="18" t="n"/>
      <c r="P786" s="18" t="n"/>
      <c r="Q786" s="16" t="n"/>
    </row>
    <row r="787">
      <c r="E787" s="20" t="n"/>
      <c r="F787" s="20" t="n"/>
      <c r="G787" s="20" t="n"/>
      <c r="H787" s="16" t="n"/>
      <c r="I787" s="16" t="n"/>
      <c r="J787" s="17" t="n"/>
      <c r="K787" s="17" t="n"/>
      <c r="L787" s="17" t="n"/>
      <c r="M787" s="16" t="n"/>
      <c r="N787" s="16" t="n"/>
      <c r="O787" s="18" t="n"/>
      <c r="P787" s="18" t="n"/>
      <c r="Q787" s="16" t="n"/>
    </row>
    <row r="788">
      <c r="E788" s="20" t="n"/>
      <c r="F788" s="20" t="n"/>
      <c r="G788" s="20" t="n"/>
      <c r="H788" s="16" t="n"/>
      <c r="I788" s="16" t="n"/>
      <c r="J788" s="17" t="n"/>
      <c r="K788" s="17" t="n"/>
      <c r="L788" s="17" t="n"/>
      <c r="M788" s="16" t="n"/>
      <c r="N788" s="16" t="n"/>
      <c r="O788" s="18" t="n"/>
      <c r="P788" s="18" t="n"/>
      <c r="Q788" s="16" t="n"/>
    </row>
    <row r="789">
      <c r="E789" s="20" t="n"/>
      <c r="F789" s="20" t="n"/>
      <c r="G789" s="20" t="n"/>
      <c r="H789" s="16" t="n"/>
      <c r="I789" s="16" t="n"/>
      <c r="J789" s="17" t="n"/>
      <c r="K789" s="17" t="n"/>
      <c r="L789" s="17" t="n"/>
      <c r="M789" s="16" t="n"/>
      <c r="N789" s="16" t="n"/>
      <c r="O789" s="18" t="n"/>
      <c r="P789" s="18" t="n"/>
      <c r="Q789" s="16" t="n"/>
    </row>
    <row r="790">
      <c r="E790" s="20" t="n"/>
      <c r="F790" s="20" t="n"/>
      <c r="G790" s="20" t="n"/>
      <c r="H790" s="16" t="n"/>
      <c r="I790" s="16" t="n"/>
      <c r="J790" s="17" t="n"/>
      <c r="K790" s="17" t="n"/>
      <c r="L790" s="17" t="n"/>
      <c r="M790" s="16" t="n"/>
      <c r="N790" s="16" t="n"/>
      <c r="O790" s="18" t="n"/>
      <c r="P790" s="18" t="n"/>
      <c r="Q790" s="16" t="n"/>
    </row>
    <row r="791">
      <c r="E791" s="20" t="n"/>
      <c r="F791" s="20" t="n"/>
      <c r="G791" s="20" t="n"/>
      <c r="H791" s="16" t="n"/>
      <c r="I791" s="16" t="n"/>
      <c r="J791" s="17" t="n"/>
      <c r="K791" s="17" t="n"/>
      <c r="L791" s="17" t="n"/>
      <c r="M791" s="16" t="n"/>
      <c r="N791" s="16" t="n"/>
      <c r="O791" s="18" t="n"/>
      <c r="P791" s="18" t="n"/>
      <c r="Q791" s="16" t="n"/>
    </row>
    <row r="792">
      <c r="E792" s="20" t="n"/>
      <c r="F792" s="20" t="n"/>
      <c r="G792" s="20" t="n"/>
      <c r="H792" s="16" t="n"/>
      <c r="I792" s="16" t="n"/>
      <c r="J792" s="17" t="n"/>
      <c r="K792" s="17" t="n"/>
      <c r="L792" s="17" t="n"/>
      <c r="M792" s="16" t="n"/>
      <c r="N792" s="16" t="n"/>
      <c r="O792" s="18" t="n"/>
      <c r="P792" s="18" t="n"/>
      <c r="Q792" s="16" t="n"/>
    </row>
    <row r="793">
      <c r="E793" s="20" t="n"/>
      <c r="F793" s="20" t="n"/>
      <c r="G793" s="20" t="n"/>
      <c r="H793" s="16" t="n"/>
      <c r="I793" s="16" t="n"/>
      <c r="J793" s="17" t="n"/>
      <c r="K793" s="17" t="n"/>
      <c r="L793" s="17" t="n"/>
      <c r="M793" s="16" t="n"/>
      <c r="N793" s="16" t="n"/>
      <c r="O793" s="18" t="n"/>
      <c r="P793" s="18" t="n"/>
      <c r="Q793" s="16" t="n"/>
    </row>
    <row r="794">
      <c r="E794" s="20" t="n"/>
      <c r="F794" s="20" t="n"/>
      <c r="G794" s="20" t="n"/>
      <c r="H794" s="16" t="n"/>
      <c r="I794" s="16" t="n"/>
      <c r="J794" s="17" t="n"/>
      <c r="K794" s="17" t="n"/>
      <c r="L794" s="17" t="n"/>
      <c r="M794" s="16" t="n"/>
      <c r="N794" s="16" t="n"/>
      <c r="O794" s="18" t="n"/>
      <c r="P794" s="18" t="n"/>
      <c r="Q794" s="16" t="n"/>
    </row>
    <row r="795">
      <c r="E795" s="20" t="n"/>
      <c r="F795" s="20" t="n"/>
      <c r="G795" s="20" t="n"/>
      <c r="H795" s="16" t="n"/>
      <c r="I795" s="16" t="n"/>
      <c r="J795" s="17" t="n"/>
      <c r="K795" s="17" t="n"/>
      <c r="L795" s="17" t="n"/>
      <c r="M795" s="16" t="n"/>
      <c r="N795" s="16" t="n"/>
      <c r="O795" s="18" t="n"/>
      <c r="P795" s="18" t="n"/>
      <c r="Q795" s="16" t="n"/>
    </row>
    <row r="796">
      <c r="E796" s="20" t="n"/>
      <c r="F796" s="20" t="n"/>
      <c r="G796" s="20" t="n"/>
      <c r="H796" s="16" t="n"/>
      <c r="I796" s="16" t="n"/>
      <c r="J796" s="17" t="n"/>
      <c r="K796" s="17" t="n"/>
      <c r="L796" s="17" t="n"/>
      <c r="M796" s="16" t="n"/>
      <c r="N796" s="16" t="n"/>
      <c r="O796" s="18" t="n"/>
      <c r="P796" s="18" t="n"/>
      <c r="Q796" s="16" t="n"/>
    </row>
    <row r="797">
      <c r="E797" s="20" t="n"/>
      <c r="F797" s="20" t="n"/>
      <c r="G797" s="20" t="n"/>
      <c r="H797" s="16" t="n"/>
      <c r="I797" s="16" t="n"/>
      <c r="J797" s="17" t="n"/>
      <c r="K797" s="17" t="n"/>
      <c r="L797" s="17" t="n"/>
      <c r="M797" s="16" t="n"/>
      <c r="N797" s="16" t="n"/>
      <c r="O797" s="18" t="n"/>
      <c r="P797" s="18" t="n"/>
      <c r="Q797" s="16" t="n"/>
    </row>
    <row r="798">
      <c r="E798" s="20" t="n"/>
      <c r="F798" s="20" t="n"/>
      <c r="G798" s="20" t="n"/>
      <c r="H798" s="16" t="n"/>
      <c r="I798" s="16" t="n"/>
      <c r="J798" s="17" t="n"/>
      <c r="K798" s="17" t="n"/>
      <c r="L798" s="17" t="n"/>
      <c r="M798" s="16" t="n"/>
      <c r="N798" s="16" t="n"/>
      <c r="O798" s="18" t="n"/>
      <c r="P798" s="18" t="n"/>
      <c r="Q798" s="16" t="n"/>
    </row>
    <row r="799">
      <c r="E799" s="20" t="n"/>
      <c r="F799" s="20" t="n"/>
      <c r="G799" s="20" t="n"/>
      <c r="H799" s="16" t="n"/>
      <c r="I799" s="16" t="n"/>
      <c r="J799" s="17" t="n"/>
      <c r="K799" s="17" t="n"/>
      <c r="L799" s="17" t="n"/>
      <c r="M799" s="16" t="n"/>
      <c r="N799" s="16" t="n"/>
      <c r="O799" s="18" t="n"/>
      <c r="P799" s="18" t="n"/>
      <c r="Q799" s="16" t="n"/>
    </row>
    <row r="800">
      <c r="E800" s="20" t="n"/>
      <c r="F800" s="20" t="n"/>
      <c r="G800" s="20" t="n"/>
      <c r="H800" s="16" t="n"/>
      <c r="I800" s="16" t="n"/>
      <c r="J800" s="17" t="n"/>
      <c r="K800" s="17" t="n"/>
      <c r="L800" s="17" t="n"/>
      <c r="M800" s="16" t="n"/>
      <c r="N800" s="16" t="n"/>
      <c r="O800" s="18" t="n"/>
      <c r="P800" s="18" t="n"/>
      <c r="Q800" s="16" t="n"/>
    </row>
    <row r="801">
      <c r="E801" s="20" t="n"/>
      <c r="F801" s="20" t="n"/>
      <c r="G801" s="20" t="n"/>
      <c r="H801" s="16" t="n"/>
      <c r="I801" s="16" t="n"/>
      <c r="J801" s="17" t="n"/>
      <c r="K801" s="17" t="n"/>
      <c r="L801" s="17" t="n"/>
      <c r="M801" s="16" t="n"/>
      <c r="N801" s="16" t="n"/>
      <c r="O801" s="18" t="n"/>
      <c r="P801" s="18" t="n"/>
      <c r="Q801" s="16" t="n"/>
    </row>
    <row r="802">
      <c r="E802" s="20" t="n"/>
      <c r="F802" s="20" t="n"/>
      <c r="G802" s="20" t="n"/>
      <c r="H802" s="16" t="n"/>
      <c r="I802" s="16" t="n"/>
      <c r="J802" s="17" t="n"/>
      <c r="K802" s="17" t="n"/>
      <c r="L802" s="17" t="n"/>
      <c r="M802" s="16" t="n"/>
      <c r="N802" s="16" t="n"/>
      <c r="O802" s="18" t="n"/>
      <c r="P802" s="18" t="n"/>
      <c r="Q802" s="16" t="n"/>
    </row>
    <row r="803">
      <c r="E803" s="20" t="n"/>
      <c r="F803" s="20" t="n"/>
      <c r="G803" s="20" t="n"/>
      <c r="H803" s="16" t="n"/>
      <c r="I803" s="16" t="n"/>
      <c r="J803" s="17" t="n"/>
      <c r="K803" s="17" t="n"/>
      <c r="L803" s="17" t="n"/>
      <c r="M803" s="16" t="n"/>
      <c r="N803" s="16" t="n"/>
      <c r="O803" s="18" t="n"/>
      <c r="P803" s="18" t="n"/>
      <c r="Q803" s="16" t="n"/>
    </row>
    <row r="804">
      <c r="E804" s="20" t="n"/>
      <c r="F804" s="20" t="n"/>
      <c r="G804" s="20" t="n"/>
      <c r="H804" s="16" t="n"/>
      <c r="I804" s="16" t="n"/>
      <c r="J804" s="17" t="n"/>
      <c r="K804" s="17" t="n"/>
      <c r="L804" s="17" t="n"/>
      <c r="M804" s="16" t="n"/>
      <c r="N804" s="16" t="n"/>
      <c r="O804" s="18" t="n"/>
      <c r="P804" s="18" t="n"/>
      <c r="Q804" s="16" t="n"/>
    </row>
    <row r="805">
      <c r="E805" s="20" t="n"/>
      <c r="F805" s="20" t="n"/>
      <c r="G805" s="20" t="n"/>
      <c r="H805" s="16" t="n"/>
      <c r="I805" s="16" t="n"/>
      <c r="J805" s="17" t="n"/>
      <c r="K805" s="17" t="n"/>
      <c r="L805" s="17" t="n"/>
      <c r="M805" s="16" t="n"/>
      <c r="N805" s="16" t="n"/>
      <c r="O805" s="18" t="n"/>
      <c r="P805" s="18" t="n"/>
      <c r="Q805" s="16" t="n"/>
    </row>
    <row r="806">
      <c r="E806" s="20" t="n"/>
      <c r="F806" s="20" t="n"/>
      <c r="G806" s="20" t="n"/>
      <c r="H806" s="16" t="n"/>
      <c r="I806" s="16" t="n"/>
      <c r="J806" s="17" t="n"/>
      <c r="K806" s="17" t="n"/>
      <c r="L806" s="17" t="n"/>
      <c r="M806" s="16" t="n"/>
      <c r="N806" s="16" t="n"/>
      <c r="O806" s="18" t="n"/>
      <c r="P806" s="18" t="n"/>
      <c r="Q806" s="16" t="n"/>
    </row>
    <row r="807">
      <c r="E807" s="20" t="n"/>
      <c r="F807" s="20" t="n"/>
      <c r="G807" s="20" t="n"/>
      <c r="H807" s="16" t="n"/>
      <c r="I807" s="16" t="n"/>
      <c r="J807" s="17" t="n"/>
      <c r="K807" s="17" t="n"/>
      <c r="L807" s="17" t="n"/>
      <c r="M807" s="16" t="n"/>
      <c r="N807" s="16" t="n"/>
      <c r="O807" s="18" t="n"/>
      <c r="P807" s="18" t="n"/>
      <c r="Q807" s="16" t="n"/>
    </row>
    <row r="808">
      <c r="E808" s="20" t="n"/>
      <c r="F808" s="20" t="n"/>
      <c r="G808" s="20" t="n"/>
      <c r="H808" s="16" t="n"/>
      <c r="I808" s="16" t="n"/>
      <c r="J808" s="17" t="n"/>
      <c r="K808" s="17" t="n"/>
      <c r="L808" s="17" t="n"/>
      <c r="M808" s="16" t="n"/>
      <c r="N808" s="16" t="n"/>
      <c r="O808" s="18" t="n"/>
      <c r="P808" s="18" t="n"/>
      <c r="Q808" s="16" t="n"/>
    </row>
    <row r="809">
      <c r="E809" s="20" t="n"/>
      <c r="F809" s="20" t="n"/>
      <c r="G809" s="20" t="n"/>
      <c r="H809" s="16" t="n"/>
      <c r="I809" s="16" t="n"/>
      <c r="J809" s="17" t="n"/>
      <c r="K809" s="17" t="n"/>
      <c r="L809" s="17" t="n"/>
      <c r="M809" s="16" t="n"/>
      <c r="N809" s="16" t="n"/>
      <c r="O809" s="18" t="n"/>
      <c r="P809" s="18" t="n"/>
      <c r="Q809" s="16" t="n"/>
    </row>
    <row r="810">
      <c r="E810" s="20" t="n"/>
      <c r="F810" s="20" t="n"/>
      <c r="G810" s="20" t="n"/>
      <c r="H810" s="16" t="n"/>
      <c r="I810" s="16" t="n"/>
      <c r="J810" s="17" t="n"/>
      <c r="K810" s="17" t="n"/>
      <c r="L810" s="17" t="n"/>
      <c r="M810" s="16" t="n"/>
      <c r="N810" s="16" t="n"/>
      <c r="O810" s="18" t="n"/>
      <c r="P810" s="18" t="n"/>
      <c r="Q810" s="16" t="n"/>
    </row>
    <row r="811">
      <c r="E811" s="20" t="n"/>
      <c r="F811" s="20" t="n"/>
      <c r="G811" s="20" t="n"/>
      <c r="H811" s="16" t="n"/>
      <c r="I811" s="16" t="n"/>
      <c r="J811" s="17" t="n"/>
      <c r="K811" s="17" t="n"/>
      <c r="L811" s="17" t="n"/>
      <c r="M811" s="16" t="n"/>
      <c r="N811" s="16" t="n"/>
      <c r="O811" s="18" t="n"/>
      <c r="P811" s="18" t="n"/>
      <c r="Q811" s="16" t="n"/>
    </row>
    <row r="812">
      <c r="E812" s="20" t="n"/>
      <c r="F812" s="20" t="n"/>
      <c r="G812" s="20" t="n"/>
      <c r="H812" s="16" t="n"/>
      <c r="I812" s="16" t="n"/>
      <c r="J812" s="17" t="n"/>
      <c r="K812" s="17" t="n"/>
      <c r="L812" s="17" t="n"/>
      <c r="M812" s="16" t="n"/>
      <c r="N812" s="16" t="n"/>
      <c r="O812" s="18" t="n"/>
      <c r="P812" s="18" t="n"/>
      <c r="Q812" s="16" t="n"/>
    </row>
    <row r="813">
      <c r="E813" s="20" t="n"/>
      <c r="F813" s="20" t="n"/>
      <c r="G813" s="20" t="n"/>
      <c r="H813" s="16" t="n"/>
      <c r="I813" s="16" t="n"/>
      <c r="J813" s="17" t="n"/>
      <c r="K813" s="17" t="n"/>
      <c r="L813" s="17" t="n"/>
      <c r="M813" s="16" t="n"/>
      <c r="N813" s="16" t="n"/>
      <c r="O813" s="18" t="n"/>
      <c r="P813" s="18" t="n"/>
      <c r="Q813" s="16" t="n"/>
    </row>
    <row r="814">
      <c r="E814" s="20" t="n"/>
      <c r="F814" s="20" t="n"/>
      <c r="G814" s="20" t="n"/>
      <c r="H814" s="16" t="n"/>
      <c r="I814" s="16" t="n"/>
      <c r="J814" s="17" t="n"/>
      <c r="K814" s="17" t="n"/>
      <c r="L814" s="17" t="n"/>
      <c r="M814" s="16" t="n"/>
      <c r="N814" s="16" t="n"/>
      <c r="O814" s="18" t="n"/>
      <c r="P814" s="18" t="n"/>
      <c r="Q814" s="16" t="n"/>
    </row>
    <row r="815">
      <c r="E815" s="20" t="n"/>
      <c r="F815" s="20" t="n"/>
      <c r="G815" s="20" t="n"/>
      <c r="H815" s="16" t="n"/>
      <c r="I815" s="16" t="n"/>
      <c r="J815" s="17" t="n"/>
      <c r="K815" s="17" t="n"/>
      <c r="L815" s="17" t="n"/>
      <c r="M815" s="16" t="n"/>
      <c r="N815" s="16" t="n"/>
      <c r="O815" s="18" t="n"/>
      <c r="P815" s="18" t="n"/>
      <c r="Q815" s="16" t="n"/>
    </row>
    <row r="816">
      <c r="E816" s="20" t="n"/>
      <c r="F816" s="20" t="n"/>
      <c r="G816" s="20" t="n"/>
      <c r="H816" s="16" t="n"/>
      <c r="I816" s="16" t="n"/>
      <c r="J816" s="17" t="n"/>
      <c r="K816" s="17" t="n"/>
      <c r="L816" s="17" t="n"/>
      <c r="M816" s="16" t="n"/>
      <c r="N816" s="16" t="n"/>
      <c r="O816" s="18" t="n"/>
      <c r="P816" s="18" t="n"/>
      <c r="Q816" s="16" t="n"/>
    </row>
    <row r="817">
      <c r="E817" s="20" t="n"/>
      <c r="F817" s="20" t="n"/>
      <c r="G817" s="20" t="n"/>
      <c r="H817" s="16" t="n"/>
      <c r="I817" s="16" t="n"/>
      <c r="J817" s="17" t="n"/>
      <c r="K817" s="17" t="n"/>
      <c r="L817" s="17" t="n"/>
      <c r="M817" s="16" t="n"/>
      <c r="N817" s="16" t="n"/>
      <c r="O817" s="18" t="n"/>
      <c r="P817" s="18" t="n"/>
      <c r="Q817" s="16" t="n"/>
    </row>
    <row r="818">
      <c r="E818" s="20" t="n"/>
      <c r="F818" s="20" t="n"/>
      <c r="G818" s="20" t="n"/>
      <c r="H818" s="16" t="n"/>
      <c r="I818" s="16" t="n"/>
      <c r="J818" s="17" t="n"/>
      <c r="K818" s="17" t="n"/>
      <c r="L818" s="17" t="n"/>
      <c r="M818" s="16" t="n"/>
      <c r="N818" s="16" t="n"/>
      <c r="O818" s="18" t="n"/>
      <c r="P818" s="18" t="n"/>
      <c r="Q818" s="16" t="n"/>
    </row>
    <row r="819">
      <c r="E819" s="20" t="n"/>
      <c r="F819" s="20" t="n"/>
      <c r="G819" s="20" t="n"/>
      <c r="H819" s="16" t="n"/>
      <c r="I819" s="16" t="n"/>
      <c r="J819" s="17" t="n"/>
      <c r="K819" s="17" t="n"/>
      <c r="L819" s="17" t="n"/>
      <c r="M819" s="16" t="n"/>
      <c r="N819" s="16" t="n"/>
      <c r="O819" s="18" t="n"/>
      <c r="P819" s="18" t="n"/>
      <c r="Q819" s="16" t="n"/>
    </row>
    <row r="820">
      <c r="E820" s="20" t="n"/>
      <c r="F820" s="20" t="n"/>
      <c r="G820" s="20" t="n"/>
      <c r="H820" s="16" t="n"/>
      <c r="I820" s="16" t="n"/>
      <c r="J820" s="17" t="n"/>
      <c r="K820" s="17" t="n"/>
      <c r="L820" s="17" t="n"/>
      <c r="M820" s="16" t="n"/>
      <c r="N820" s="16" t="n"/>
      <c r="O820" s="18" t="n"/>
      <c r="P820" s="18" t="n"/>
      <c r="Q820" s="16" t="n"/>
    </row>
    <row r="821">
      <c r="E821" s="20" t="n"/>
      <c r="F821" s="20" t="n"/>
      <c r="G821" s="20" t="n"/>
      <c r="H821" s="16" t="n"/>
      <c r="I821" s="16" t="n"/>
      <c r="J821" s="17" t="n"/>
      <c r="K821" s="17" t="n"/>
      <c r="L821" s="17" t="n"/>
      <c r="M821" s="16" t="n"/>
      <c r="N821" s="16" t="n"/>
      <c r="O821" s="18" t="n"/>
      <c r="P821" s="18" t="n"/>
      <c r="Q821" s="16" t="n"/>
    </row>
    <row r="822">
      <c r="E822" s="20" t="n"/>
      <c r="F822" s="20" t="n"/>
      <c r="G822" s="20" t="n"/>
      <c r="H822" s="16" t="n"/>
      <c r="I822" s="16" t="n"/>
      <c r="J822" s="17" t="n"/>
      <c r="K822" s="17" t="n"/>
      <c r="L822" s="17" t="n"/>
      <c r="M822" s="16" t="n"/>
      <c r="N822" s="16" t="n"/>
      <c r="O822" s="18" t="n"/>
      <c r="P822" s="18" t="n"/>
      <c r="Q822" s="16" t="n"/>
    </row>
    <row r="823">
      <c r="E823" s="20" t="n"/>
      <c r="F823" s="20" t="n"/>
      <c r="G823" s="20" t="n"/>
      <c r="H823" s="16" t="n"/>
      <c r="I823" s="16" t="n"/>
      <c r="J823" s="17" t="n"/>
      <c r="K823" s="17" t="n"/>
      <c r="L823" s="17" t="n"/>
      <c r="M823" s="16" t="n"/>
      <c r="N823" s="16" t="n"/>
      <c r="O823" s="18" t="n"/>
      <c r="P823" s="18" t="n"/>
      <c r="Q823" s="16" t="n"/>
    </row>
    <row r="824">
      <c r="E824" s="20" t="n"/>
      <c r="F824" s="20" t="n"/>
      <c r="G824" s="20" t="n"/>
      <c r="H824" s="16" t="n"/>
      <c r="I824" s="16" t="n"/>
      <c r="J824" s="17" t="n"/>
      <c r="K824" s="17" t="n"/>
      <c r="L824" s="17" t="n"/>
      <c r="M824" s="16" t="n"/>
      <c r="N824" s="16" t="n"/>
      <c r="O824" s="18" t="n"/>
      <c r="P824" s="18" t="n"/>
      <c r="Q824" s="16" t="n"/>
    </row>
    <row r="825">
      <c r="E825" s="20" t="n"/>
      <c r="F825" s="20" t="n"/>
      <c r="G825" s="20" t="n"/>
      <c r="H825" s="16" t="n"/>
      <c r="I825" s="16" t="n"/>
      <c r="J825" s="17" t="n"/>
      <c r="K825" s="17" t="n"/>
      <c r="L825" s="17" t="n"/>
      <c r="M825" s="16" t="n"/>
      <c r="N825" s="16" t="n"/>
      <c r="O825" s="18" t="n"/>
      <c r="P825" s="18" t="n"/>
      <c r="Q825" s="16" t="n"/>
    </row>
    <row r="826">
      <c r="E826" s="20" t="n"/>
      <c r="F826" s="20" t="n"/>
      <c r="G826" s="20" t="n"/>
      <c r="H826" s="16" t="n"/>
      <c r="I826" s="16" t="n"/>
      <c r="J826" s="17" t="n"/>
      <c r="K826" s="17" t="n"/>
      <c r="L826" s="17" t="n"/>
      <c r="M826" s="16" t="n"/>
      <c r="N826" s="16" t="n"/>
      <c r="O826" s="18" t="n"/>
      <c r="P826" s="18" t="n"/>
      <c r="Q826" s="16" t="n"/>
    </row>
    <row r="827">
      <c r="E827" s="20" t="n"/>
      <c r="F827" s="20" t="n"/>
      <c r="G827" s="20" t="n"/>
      <c r="H827" s="16" t="n"/>
      <c r="I827" s="16" t="n"/>
      <c r="J827" s="17" t="n"/>
      <c r="K827" s="17" t="n"/>
      <c r="L827" s="17" t="n"/>
      <c r="M827" s="16" t="n"/>
      <c r="N827" s="16" t="n"/>
      <c r="O827" s="18" t="n"/>
      <c r="P827" s="18" t="n"/>
      <c r="Q827" s="16" t="n"/>
    </row>
    <row r="828">
      <c r="E828" s="20" t="n"/>
      <c r="F828" s="20" t="n"/>
      <c r="G828" s="20" t="n"/>
      <c r="H828" s="16" t="n"/>
      <c r="I828" s="16" t="n"/>
      <c r="J828" s="17" t="n"/>
      <c r="K828" s="17" t="n"/>
      <c r="L828" s="17" t="n"/>
      <c r="M828" s="16" t="n"/>
      <c r="N828" s="16" t="n"/>
      <c r="O828" s="18" t="n"/>
      <c r="P828" s="18" t="n"/>
      <c r="Q828" s="16" t="n"/>
    </row>
    <row r="829">
      <c r="E829" s="20" t="n"/>
      <c r="F829" s="20" t="n"/>
      <c r="G829" s="20" t="n"/>
      <c r="H829" s="16" t="n"/>
      <c r="I829" s="16" t="n"/>
      <c r="J829" s="17" t="n"/>
      <c r="K829" s="17" t="n"/>
      <c r="L829" s="17" t="n"/>
      <c r="M829" s="16" t="n"/>
      <c r="N829" s="16" t="n"/>
      <c r="O829" s="18" t="n"/>
      <c r="P829" s="18" t="n"/>
      <c r="Q829" s="16" t="n"/>
    </row>
    <row r="830">
      <c r="E830" s="20" t="n"/>
      <c r="F830" s="20" t="n"/>
      <c r="G830" s="20" t="n"/>
      <c r="H830" s="16" t="n"/>
      <c r="I830" s="16" t="n"/>
      <c r="J830" s="17" t="n"/>
      <c r="K830" s="17" t="n"/>
      <c r="L830" s="17" t="n"/>
      <c r="M830" s="16" t="n"/>
      <c r="N830" s="16" t="n"/>
      <c r="O830" s="18" t="n"/>
      <c r="P830" s="18" t="n"/>
      <c r="Q830" s="16" t="n"/>
    </row>
    <row r="831">
      <c r="E831" s="20" t="n"/>
      <c r="F831" s="20" t="n"/>
      <c r="G831" s="20" t="n"/>
      <c r="H831" s="16" t="n"/>
      <c r="I831" s="16" t="n"/>
      <c r="J831" s="17" t="n"/>
      <c r="K831" s="17" t="n"/>
      <c r="L831" s="17" t="n"/>
      <c r="M831" s="16" t="n"/>
      <c r="N831" s="16" t="n"/>
      <c r="O831" s="18" t="n"/>
      <c r="P831" s="18" t="n"/>
      <c r="Q831" s="16" t="n"/>
    </row>
    <row r="832">
      <c r="E832" s="20" t="n"/>
      <c r="F832" s="20" t="n"/>
      <c r="G832" s="20" t="n"/>
      <c r="H832" s="16" t="n"/>
      <c r="I832" s="16" t="n"/>
      <c r="J832" s="17" t="n"/>
      <c r="K832" s="17" t="n"/>
      <c r="L832" s="17" t="n"/>
      <c r="M832" s="16" t="n"/>
      <c r="N832" s="16" t="n"/>
      <c r="O832" s="18" t="n"/>
      <c r="P832" s="18" t="n"/>
      <c r="Q832" s="16" t="n"/>
    </row>
    <row r="833">
      <c r="E833" s="20" t="n"/>
      <c r="F833" s="20" t="n"/>
      <c r="G833" s="20" t="n"/>
      <c r="H833" s="16" t="n"/>
      <c r="I833" s="16" t="n"/>
      <c r="J833" s="17" t="n"/>
      <c r="K833" s="17" t="n"/>
      <c r="L833" s="17" t="n"/>
      <c r="M833" s="16" t="n"/>
      <c r="N833" s="16" t="n"/>
      <c r="O833" s="18" t="n"/>
      <c r="P833" s="18" t="n"/>
      <c r="Q833" s="16" t="n"/>
    </row>
    <row r="834">
      <c r="E834" s="20" t="n"/>
      <c r="F834" s="20" t="n"/>
      <c r="G834" s="20" t="n"/>
      <c r="H834" s="16" t="n"/>
      <c r="I834" s="16" t="n"/>
      <c r="J834" s="17" t="n"/>
      <c r="K834" s="17" t="n"/>
      <c r="L834" s="17" t="n"/>
      <c r="M834" s="16" t="n"/>
      <c r="N834" s="16" t="n"/>
      <c r="O834" s="18" t="n"/>
      <c r="P834" s="18" t="n"/>
      <c r="Q834" s="16" t="n"/>
    </row>
    <row r="835">
      <c r="E835" s="20" t="n"/>
      <c r="F835" s="20" t="n"/>
      <c r="G835" s="20" t="n"/>
      <c r="H835" s="16" t="n"/>
      <c r="I835" s="16" t="n"/>
      <c r="J835" s="17" t="n"/>
      <c r="K835" s="17" t="n"/>
      <c r="L835" s="17" t="n"/>
      <c r="M835" s="16" t="n"/>
      <c r="N835" s="16" t="n"/>
      <c r="O835" s="18" t="n"/>
      <c r="P835" s="18" t="n"/>
      <c r="Q835" s="16" t="n"/>
    </row>
    <row r="836">
      <c r="E836" s="20" t="n"/>
      <c r="F836" s="20" t="n"/>
      <c r="G836" s="20" t="n"/>
      <c r="H836" s="16" t="n"/>
      <c r="I836" s="16" t="n"/>
      <c r="J836" s="17" t="n"/>
      <c r="K836" s="17" t="n"/>
      <c r="L836" s="17" t="n"/>
      <c r="M836" s="16" t="n"/>
      <c r="N836" s="16" t="n"/>
      <c r="O836" s="18" t="n"/>
      <c r="P836" s="18" t="n"/>
      <c r="Q836" s="16" t="n"/>
    </row>
    <row r="837">
      <c r="E837" s="20" t="n"/>
      <c r="F837" s="20" t="n"/>
      <c r="G837" s="20" t="n"/>
      <c r="H837" s="16" t="n"/>
      <c r="I837" s="16" t="n"/>
      <c r="J837" s="17" t="n"/>
      <c r="K837" s="17" t="n"/>
      <c r="L837" s="17" t="n"/>
      <c r="M837" s="16" t="n"/>
      <c r="N837" s="16" t="n"/>
      <c r="O837" s="18" t="n"/>
      <c r="P837" s="18" t="n"/>
      <c r="Q837" s="16" t="n"/>
    </row>
    <row r="838">
      <c r="E838" s="20" t="n"/>
      <c r="F838" s="20" t="n"/>
      <c r="G838" s="20" t="n"/>
      <c r="H838" s="16" t="n"/>
      <c r="I838" s="16" t="n"/>
      <c r="J838" s="17" t="n"/>
      <c r="K838" s="17" t="n"/>
      <c r="L838" s="17" t="n"/>
      <c r="M838" s="16" t="n"/>
      <c r="N838" s="16" t="n"/>
      <c r="O838" s="18" t="n"/>
      <c r="P838" s="18" t="n"/>
      <c r="Q838" s="16" t="n"/>
    </row>
    <row r="839">
      <c r="E839" s="20" t="n"/>
      <c r="F839" s="20" t="n"/>
      <c r="G839" s="20" t="n"/>
      <c r="H839" s="16" t="n"/>
      <c r="I839" s="16" t="n"/>
      <c r="J839" s="17" t="n"/>
      <c r="K839" s="17" t="n"/>
      <c r="L839" s="17" t="n"/>
      <c r="M839" s="16" t="n"/>
      <c r="N839" s="16" t="n"/>
      <c r="O839" s="18" t="n"/>
      <c r="P839" s="18" t="n"/>
      <c r="Q839" s="16" t="n"/>
    </row>
    <row r="840">
      <c r="E840" s="20" t="n"/>
      <c r="F840" s="20" t="n"/>
      <c r="G840" s="20" t="n"/>
      <c r="H840" s="16" t="n"/>
      <c r="I840" s="16" t="n"/>
      <c r="J840" s="17" t="n"/>
      <c r="K840" s="17" t="n"/>
      <c r="L840" s="17" t="n"/>
      <c r="M840" s="16" t="n"/>
      <c r="N840" s="16" t="n"/>
      <c r="O840" s="18" t="n"/>
      <c r="P840" s="18" t="n"/>
      <c r="Q840" s="16" t="n"/>
    </row>
    <row r="841">
      <c r="E841" s="20" t="n"/>
      <c r="F841" s="20" t="n"/>
      <c r="G841" s="20" t="n"/>
      <c r="H841" s="16" t="n"/>
      <c r="I841" s="16" t="n"/>
      <c r="J841" s="17" t="n"/>
      <c r="K841" s="17" t="n"/>
      <c r="L841" s="17" t="n"/>
      <c r="M841" s="16" t="n"/>
      <c r="N841" s="16" t="n"/>
      <c r="O841" s="18" t="n"/>
      <c r="P841" s="18" t="n"/>
      <c r="Q841" s="16" t="n"/>
    </row>
    <row r="842">
      <c r="E842" s="20" t="n"/>
      <c r="F842" s="20" t="n"/>
      <c r="G842" s="20" t="n"/>
      <c r="H842" s="16" t="n"/>
      <c r="I842" s="16" t="n"/>
      <c r="J842" s="17" t="n"/>
      <c r="K842" s="17" t="n"/>
      <c r="L842" s="17" t="n"/>
      <c r="M842" s="16" t="n"/>
      <c r="N842" s="16" t="n"/>
      <c r="O842" s="18" t="n"/>
      <c r="P842" s="18" t="n"/>
      <c r="Q842" s="16" t="n"/>
    </row>
    <row r="843">
      <c r="E843" s="20" t="n"/>
      <c r="F843" s="20" t="n"/>
      <c r="G843" s="20" t="n"/>
      <c r="H843" s="16" t="n"/>
      <c r="I843" s="16" t="n"/>
      <c r="J843" s="17" t="n"/>
      <c r="K843" s="17" t="n"/>
      <c r="L843" s="17" t="n"/>
      <c r="M843" s="16" t="n"/>
      <c r="N843" s="16" t="n"/>
      <c r="O843" s="18" t="n"/>
      <c r="P843" s="18" t="n"/>
      <c r="Q843" s="16" t="n"/>
    </row>
    <row r="844">
      <c r="E844" s="20" t="n"/>
      <c r="F844" s="20" t="n"/>
      <c r="G844" s="20" t="n"/>
      <c r="H844" s="16" t="n"/>
      <c r="I844" s="16" t="n"/>
      <c r="J844" s="17" t="n"/>
      <c r="K844" s="17" t="n"/>
      <c r="L844" s="17" t="n"/>
      <c r="M844" s="16" t="n"/>
      <c r="N844" s="16" t="n"/>
      <c r="O844" s="18" t="n"/>
      <c r="P844" s="18" t="n"/>
      <c r="Q844" s="16" t="n"/>
    </row>
    <row r="845">
      <c r="E845" s="20" t="n"/>
      <c r="F845" s="20" t="n"/>
      <c r="G845" s="20" t="n"/>
      <c r="H845" s="16" t="n"/>
      <c r="I845" s="16" t="n"/>
      <c r="J845" s="17" t="n"/>
      <c r="K845" s="17" t="n"/>
      <c r="L845" s="17" t="n"/>
      <c r="M845" s="16" t="n"/>
      <c r="N845" s="16" t="n"/>
      <c r="O845" s="18" t="n"/>
      <c r="P845" s="18" t="n"/>
      <c r="Q845" s="16" t="n"/>
    </row>
    <row r="846">
      <c r="E846" s="20" t="n"/>
      <c r="F846" s="20" t="n"/>
      <c r="G846" s="20" t="n"/>
      <c r="H846" s="16" t="n"/>
      <c r="I846" s="16" t="n"/>
      <c r="J846" s="17" t="n"/>
      <c r="K846" s="17" t="n"/>
      <c r="L846" s="17" t="n"/>
      <c r="M846" s="16" t="n"/>
      <c r="N846" s="16" t="n"/>
      <c r="O846" s="18" t="n"/>
      <c r="P846" s="18" t="n"/>
      <c r="Q846" s="16" t="n"/>
    </row>
    <row r="847">
      <c r="E847" s="20" t="n"/>
      <c r="F847" s="20" t="n"/>
      <c r="G847" s="20" t="n"/>
      <c r="H847" s="16" t="n"/>
      <c r="I847" s="16" t="n"/>
      <c r="J847" s="17" t="n"/>
      <c r="K847" s="17" t="n"/>
      <c r="L847" s="17" t="n"/>
      <c r="M847" s="16" t="n"/>
      <c r="N847" s="16" t="n"/>
      <c r="O847" s="18" t="n"/>
      <c r="P847" s="18" t="n"/>
      <c r="Q847" s="16" t="n"/>
    </row>
    <row r="848">
      <c r="E848" s="20" t="n"/>
      <c r="F848" s="20" t="n"/>
      <c r="G848" s="20" t="n"/>
      <c r="H848" s="16" t="n"/>
      <c r="I848" s="16" t="n"/>
      <c r="J848" s="17" t="n"/>
      <c r="K848" s="17" t="n"/>
      <c r="L848" s="17" t="n"/>
      <c r="M848" s="16" t="n"/>
      <c r="N848" s="16" t="n"/>
      <c r="O848" s="18" t="n"/>
      <c r="P848" s="18" t="n"/>
      <c r="Q848" s="16" t="n"/>
    </row>
    <row r="849">
      <c r="E849" s="20" t="n"/>
      <c r="F849" s="20" t="n"/>
      <c r="G849" s="20" t="n"/>
      <c r="H849" s="16" t="n"/>
      <c r="I849" s="16" t="n"/>
      <c r="J849" s="17" t="n"/>
      <c r="K849" s="17" t="n"/>
      <c r="L849" s="17" t="n"/>
      <c r="M849" s="16" t="n"/>
      <c r="N849" s="16" t="n"/>
      <c r="O849" s="18" t="n"/>
      <c r="P849" s="18" t="n"/>
      <c r="Q849" s="16" t="n"/>
    </row>
    <row r="850">
      <c r="E850" s="20" t="n"/>
      <c r="F850" s="20" t="n"/>
      <c r="G850" s="20" t="n"/>
      <c r="H850" s="16" t="n"/>
      <c r="I850" s="16" t="n"/>
      <c r="J850" s="17" t="n"/>
      <c r="K850" s="17" t="n"/>
      <c r="L850" s="17" t="n"/>
      <c r="M850" s="16" t="n"/>
      <c r="N850" s="16" t="n"/>
      <c r="O850" s="18" t="n"/>
      <c r="P850" s="18" t="n"/>
      <c r="Q850" s="16" t="n"/>
    </row>
    <row r="851">
      <c r="E851" s="20" t="n"/>
      <c r="F851" s="20" t="n"/>
      <c r="G851" s="20" t="n"/>
      <c r="H851" s="16" t="n"/>
      <c r="I851" s="16" t="n"/>
      <c r="J851" s="17" t="n"/>
      <c r="K851" s="17" t="n"/>
      <c r="L851" s="17" t="n"/>
      <c r="M851" s="16" t="n"/>
      <c r="N851" s="16" t="n"/>
      <c r="O851" s="18" t="n"/>
      <c r="P851" s="18" t="n"/>
      <c r="Q851" s="16" t="n"/>
    </row>
    <row r="852">
      <c r="E852" s="20" t="n"/>
      <c r="F852" s="20" t="n"/>
      <c r="G852" s="20" t="n"/>
      <c r="H852" s="16" t="n"/>
      <c r="I852" s="16" t="n"/>
      <c r="J852" s="17" t="n"/>
      <c r="K852" s="17" t="n"/>
      <c r="L852" s="17" t="n"/>
      <c r="M852" s="16" t="n"/>
      <c r="N852" s="16" t="n"/>
      <c r="O852" s="18" t="n"/>
      <c r="P852" s="18" t="n"/>
      <c r="Q852" s="16" t="n"/>
    </row>
    <row r="853">
      <c r="E853" s="20" t="n"/>
      <c r="F853" s="20" t="n"/>
      <c r="G853" s="20" t="n"/>
      <c r="H853" s="16" t="n"/>
      <c r="I853" s="16" t="n"/>
      <c r="J853" s="17" t="n"/>
      <c r="K853" s="17" t="n"/>
      <c r="L853" s="17" t="n"/>
      <c r="M853" s="16" t="n"/>
      <c r="N853" s="16" t="n"/>
      <c r="O853" s="18" t="n"/>
      <c r="P853" s="18" t="n"/>
      <c r="Q853" s="16" t="n"/>
    </row>
    <row r="854">
      <c r="E854" s="20" t="n"/>
      <c r="F854" s="20" t="n"/>
      <c r="G854" s="20" t="n"/>
      <c r="H854" s="16" t="n"/>
      <c r="I854" s="16" t="n"/>
      <c r="J854" s="17" t="n"/>
      <c r="K854" s="17" t="n"/>
      <c r="L854" s="17" t="n"/>
      <c r="M854" s="16" t="n"/>
      <c r="N854" s="16" t="n"/>
      <c r="O854" s="18" t="n"/>
      <c r="P854" s="18" t="n"/>
      <c r="Q854" s="16" t="n"/>
    </row>
    <row r="855">
      <c r="E855" s="20" t="n"/>
      <c r="F855" s="20" t="n"/>
      <c r="G855" s="20" t="n"/>
      <c r="H855" s="16" t="n"/>
      <c r="I855" s="16" t="n"/>
      <c r="J855" s="17" t="n"/>
      <c r="K855" s="17" t="n"/>
      <c r="L855" s="17" t="n"/>
      <c r="M855" s="16" t="n"/>
      <c r="N855" s="16" t="n"/>
      <c r="O855" s="18" t="n"/>
      <c r="P855" s="18" t="n"/>
      <c r="Q855" s="16" t="n"/>
    </row>
    <row r="856">
      <c r="E856" s="20" t="n"/>
      <c r="F856" s="20" t="n"/>
      <c r="G856" s="20" t="n"/>
      <c r="H856" s="16" t="n"/>
      <c r="I856" s="16" t="n"/>
      <c r="J856" s="17" t="n"/>
      <c r="K856" s="17" t="n"/>
      <c r="L856" s="17" t="n"/>
      <c r="M856" s="16" t="n"/>
      <c r="N856" s="16" t="n"/>
      <c r="O856" s="18" t="n"/>
      <c r="P856" s="18" t="n"/>
      <c r="Q856" s="16" t="n"/>
    </row>
    <row r="857">
      <c r="E857" s="20" t="n"/>
      <c r="F857" s="20" t="n"/>
      <c r="G857" s="20" t="n"/>
      <c r="H857" s="16" t="n"/>
      <c r="I857" s="16" t="n"/>
      <c r="J857" s="17" t="n"/>
      <c r="K857" s="17" t="n"/>
      <c r="L857" s="17" t="n"/>
      <c r="M857" s="16" t="n"/>
      <c r="N857" s="16" t="n"/>
      <c r="O857" s="18" t="n"/>
      <c r="P857" s="18" t="n"/>
      <c r="Q857" s="16" t="n"/>
    </row>
    <row r="858">
      <c r="E858" s="20" t="n"/>
      <c r="F858" s="20" t="n"/>
      <c r="G858" s="20" t="n"/>
      <c r="H858" s="16" t="n"/>
      <c r="I858" s="16" t="n"/>
      <c r="J858" s="17" t="n"/>
      <c r="K858" s="17" t="n"/>
      <c r="L858" s="17" t="n"/>
      <c r="M858" s="16" t="n"/>
      <c r="N858" s="16" t="n"/>
      <c r="O858" s="18" t="n"/>
      <c r="P858" s="18" t="n"/>
      <c r="Q858" s="16" t="n"/>
    </row>
    <row r="859">
      <c r="E859" s="20" t="n"/>
      <c r="F859" s="20" t="n"/>
      <c r="G859" s="20" t="n"/>
      <c r="H859" s="16" t="n"/>
      <c r="I859" s="16" t="n"/>
      <c r="J859" s="17" t="n"/>
      <c r="K859" s="17" t="n"/>
      <c r="L859" s="17" t="n"/>
      <c r="M859" s="16" t="n"/>
      <c r="N859" s="16" t="n"/>
      <c r="O859" s="18" t="n"/>
      <c r="P859" s="18" t="n"/>
      <c r="Q859" s="16" t="n"/>
    </row>
    <row r="860">
      <c r="E860" s="20" t="n"/>
      <c r="F860" s="20" t="n"/>
      <c r="G860" s="20" t="n"/>
      <c r="H860" s="16" t="n"/>
      <c r="I860" s="16" t="n"/>
      <c r="J860" s="17" t="n"/>
      <c r="K860" s="17" t="n"/>
      <c r="L860" s="17" t="n"/>
      <c r="M860" s="16" t="n"/>
      <c r="N860" s="16" t="n"/>
      <c r="O860" s="18" t="n"/>
      <c r="P860" s="18" t="n"/>
      <c r="Q860" s="16" t="n"/>
    </row>
    <row r="861">
      <c r="E861" s="20" t="n"/>
      <c r="F861" s="20" t="n"/>
      <c r="G861" s="20" t="n"/>
      <c r="H861" s="16" t="n"/>
      <c r="I861" s="16" t="n"/>
      <c r="J861" s="17" t="n"/>
      <c r="K861" s="17" t="n"/>
      <c r="L861" s="17" t="n"/>
      <c r="M861" s="16" t="n"/>
      <c r="N861" s="16" t="n"/>
      <c r="O861" s="18" t="n"/>
      <c r="P861" s="18" t="n"/>
      <c r="Q861" s="16" t="n"/>
    </row>
    <row r="862">
      <c r="E862" s="20" t="n"/>
      <c r="F862" s="20" t="n"/>
      <c r="G862" s="20" t="n"/>
      <c r="H862" s="16" t="n"/>
      <c r="I862" s="16" t="n"/>
      <c r="J862" s="17" t="n"/>
      <c r="K862" s="17" t="n"/>
      <c r="L862" s="17" t="n"/>
      <c r="M862" s="16" t="n"/>
      <c r="N862" s="16" t="n"/>
      <c r="O862" s="18" t="n"/>
      <c r="P862" s="18" t="n"/>
      <c r="Q862" s="16" t="n"/>
    </row>
    <row r="863">
      <c r="E863" s="20" t="n"/>
      <c r="F863" s="20" t="n"/>
      <c r="G863" s="20" t="n"/>
      <c r="H863" s="16" t="n"/>
      <c r="I863" s="16" t="n"/>
      <c r="J863" s="17" t="n"/>
      <c r="K863" s="17" t="n"/>
      <c r="L863" s="17" t="n"/>
      <c r="M863" s="16" t="n"/>
      <c r="N863" s="16" t="n"/>
      <c r="O863" s="18" t="n"/>
      <c r="P863" s="18" t="n"/>
      <c r="Q863" s="16" t="n"/>
    </row>
    <row r="864">
      <c r="E864" s="20" t="n"/>
      <c r="F864" s="20" t="n"/>
      <c r="G864" s="20" t="n"/>
      <c r="H864" s="16" t="n"/>
      <c r="I864" s="16" t="n"/>
      <c r="J864" s="17" t="n"/>
      <c r="K864" s="17" t="n"/>
      <c r="L864" s="17" t="n"/>
      <c r="M864" s="16" t="n"/>
      <c r="N864" s="16" t="n"/>
      <c r="O864" s="18" t="n"/>
      <c r="P864" s="18" t="n"/>
      <c r="Q864" s="16" t="n"/>
    </row>
    <row r="865">
      <c r="E865" s="20" t="n"/>
      <c r="F865" s="20" t="n"/>
      <c r="G865" s="20" t="n"/>
      <c r="H865" s="16" t="n"/>
      <c r="I865" s="16" t="n"/>
      <c r="J865" s="17" t="n"/>
      <c r="K865" s="17" t="n"/>
      <c r="L865" s="17" t="n"/>
      <c r="M865" s="16" t="n"/>
      <c r="N865" s="16" t="n"/>
      <c r="O865" s="18" t="n"/>
      <c r="P865" s="18" t="n"/>
      <c r="Q865" s="16" t="n"/>
    </row>
    <row r="866">
      <c r="E866" s="20" t="n"/>
      <c r="F866" s="20" t="n"/>
      <c r="G866" s="20" t="n"/>
      <c r="H866" s="16" t="n"/>
      <c r="I866" s="16" t="n"/>
      <c r="J866" s="17" t="n"/>
      <c r="K866" s="17" t="n"/>
      <c r="L866" s="17" t="n"/>
      <c r="M866" s="16" t="n"/>
      <c r="N866" s="16" t="n"/>
      <c r="O866" s="18" t="n"/>
      <c r="P866" s="18" t="n"/>
      <c r="Q866" s="16" t="n"/>
    </row>
    <row r="867">
      <c r="E867" s="20" t="n"/>
      <c r="F867" s="20" t="n"/>
      <c r="G867" s="20" t="n"/>
      <c r="H867" s="16" t="n"/>
      <c r="I867" s="16" t="n"/>
      <c r="J867" s="17" t="n"/>
      <c r="K867" s="17" t="n"/>
      <c r="L867" s="17" t="n"/>
      <c r="M867" s="16" t="n"/>
      <c r="N867" s="16" t="n"/>
      <c r="O867" s="18" t="n"/>
      <c r="P867" s="18" t="n"/>
      <c r="Q867" s="16" t="n"/>
    </row>
    <row r="868">
      <c r="E868" s="20" t="n"/>
      <c r="F868" s="20" t="n"/>
      <c r="G868" s="20" t="n"/>
      <c r="H868" s="16" t="n"/>
      <c r="I868" s="16" t="n"/>
      <c r="J868" s="17" t="n"/>
      <c r="K868" s="17" t="n"/>
      <c r="L868" s="17" t="n"/>
      <c r="M868" s="16" t="n"/>
      <c r="N868" s="16" t="n"/>
      <c r="O868" s="18" t="n"/>
      <c r="P868" s="18" t="n"/>
      <c r="Q868" s="16" t="n"/>
    </row>
    <row r="869">
      <c r="E869" s="20" t="n"/>
      <c r="F869" s="20" t="n"/>
      <c r="G869" s="20" t="n"/>
      <c r="H869" s="16" t="n"/>
      <c r="I869" s="16" t="n"/>
      <c r="J869" s="17" t="n"/>
      <c r="K869" s="17" t="n"/>
      <c r="L869" s="17" t="n"/>
      <c r="M869" s="16" t="n"/>
      <c r="N869" s="16" t="n"/>
      <c r="O869" s="18" t="n"/>
      <c r="P869" s="18" t="n"/>
      <c r="Q869" s="16" t="n"/>
    </row>
    <row r="870">
      <c r="E870" s="20" t="n"/>
      <c r="F870" s="20" t="n"/>
      <c r="G870" s="20" t="n"/>
      <c r="H870" s="16" t="n"/>
      <c r="I870" s="16" t="n"/>
      <c r="J870" s="17" t="n"/>
      <c r="K870" s="17" t="n"/>
      <c r="L870" s="17" t="n"/>
      <c r="M870" s="16" t="n"/>
      <c r="N870" s="16" t="n"/>
      <c r="O870" s="18" t="n"/>
      <c r="P870" s="18" t="n"/>
      <c r="Q870" s="16" t="n"/>
    </row>
    <row r="871">
      <c r="E871" s="20" t="n"/>
      <c r="F871" s="20" t="n"/>
      <c r="G871" s="20" t="n"/>
      <c r="H871" s="16" t="n"/>
      <c r="I871" s="16" t="n"/>
      <c r="J871" s="17" t="n"/>
      <c r="K871" s="17" t="n"/>
      <c r="L871" s="17" t="n"/>
      <c r="M871" s="16" t="n"/>
      <c r="N871" s="16" t="n"/>
      <c r="O871" s="18" t="n"/>
      <c r="P871" s="18" t="n"/>
      <c r="Q871" s="16" t="n"/>
    </row>
    <row r="872">
      <c r="E872" s="20" t="n"/>
      <c r="F872" s="20" t="n"/>
      <c r="G872" s="20" t="n"/>
      <c r="H872" s="16" t="n"/>
      <c r="I872" s="16" t="n"/>
      <c r="J872" s="17" t="n"/>
      <c r="K872" s="17" t="n"/>
      <c r="L872" s="17" t="n"/>
      <c r="M872" s="16" t="n"/>
      <c r="N872" s="16" t="n"/>
      <c r="O872" s="18" t="n"/>
      <c r="P872" s="18" t="n"/>
      <c r="Q872" s="16" t="n"/>
    </row>
    <row r="873">
      <c r="E873" s="20" t="n"/>
      <c r="F873" s="20" t="n"/>
      <c r="G873" s="20" t="n"/>
      <c r="H873" s="16" t="n"/>
      <c r="I873" s="16" t="n"/>
      <c r="J873" s="17" t="n"/>
      <c r="K873" s="17" t="n"/>
      <c r="L873" s="17" t="n"/>
      <c r="M873" s="16" t="n"/>
      <c r="N873" s="16" t="n"/>
      <c r="O873" s="18" t="n"/>
      <c r="P873" s="18" t="n"/>
      <c r="Q873" s="16" t="n"/>
    </row>
    <row r="874">
      <c r="E874" s="20" t="n"/>
      <c r="F874" s="20" t="n"/>
      <c r="G874" s="20" t="n"/>
      <c r="H874" s="16" t="n"/>
      <c r="I874" s="16" t="n"/>
      <c r="J874" s="17" t="n"/>
      <c r="K874" s="17" t="n"/>
      <c r="L874" s="17" t="n"/>
      <c r="M874" s="16" t="n"/>
      <c r="N874" s="16" t="n"/>
      <c r="O874" s="18" t="n"/>
      <c r="P874" s="18" t="n"/>
      <c r="Q874" s="16" t="n"/>
    </row>
    <row r="875">
      <c r="E875" s="20" t="n"/>
      <c r="F875" s="20" t="n"/>
      <c r="G875" s="20" t="n"/>
      <c r="H875" s="16" t="n"/>
      <c r="I875" s="16" t="n"/>
      <c r="J875" s="17" t="n"/>
      <c r="K875" s="17" t="n"/>
      <c r="L875" s="17" t="n"/>
      <c r="M875" s="16" t="n"/>
      <c r="N875" s="16" t="n"/>
      <c r="O875" s="18" t="n"/>
      <c r="P875" s="18" t="n"/>
      <c r="Q875" s="16" t="n"/>
    </row>
    <row r="876">
      <c r="E876" s="20" t="n"/>
      <c r="F876" s="20" t="n"/>
      <c r="G876" s="20" t="n"/>
      <c r="H876" s="16" t="n"/>
      <c r="I876" s="16" t="n"/>
      <c r="J876" s="17" t="n"/>
      <c r="K876" s="17" t="n"/>
      <c r="L876" s="17" t="n"/>
      <c r="M876" s="16" t="n"/>
      <c r="N876" s="16" t="n"/>
      <c r="O876" s="18" t="n"/>
      <c r="P876" s="18" t="n"/>
      <c r="Q876" s="16" t="n"/>
    </row>
    <row r="877">
      <c r="E877" s="20" t="n"/>
      <c r="F877" s="20" t="n"/>
      <c r="G877" s="20" t="n"/>
      <c r="H877" s="16" t="n"/>
      <c r="I877" s="16" t="n"/>
      <c r="J877" s="17" t="n"/>
      <c r="K877" s="17" t="n"/>
      <c r="L877" s="17" t="n"/>
      <c r="M877" s="16" t="n"/>
      <c r="N877" s="16" t="n"/>
      <c r="O877" s="18" t="n"/>
      <c r="P877" s="18" t="n"/>
      <c r="Q877" s="16" t="n"/>
    </row>
    <row r="878">
      <c r="E878" s="20" t="n"/>
      <c r="F878" s="20" t="n"/>
      <c r="G878" s="20" t="n"/>
      <c r="H878" s="16" t="n"/>
      <c r="I878" s="16" t="n"/>
      <c r="J878" s="17" t="n"/>
      <c r="K878" s="17" t="n"/>
      <c r="L878" s="17" t="n"/>
      <c r="M878" s="16" t="n"/>
      <c r="N878" s="16" t="n"/>
      <c r="O878" s="18" t="n"/>
      <c r="P878" s="18" t="n"/>
      <c r="Q878" s="16" t="n"/>
    </row>
    <row r="879">
      <c r="E879" s="20" t="n"/>
      <c r="F879" s="20" t="n"/>
      <c r="G879" s="20" t="n"/>
      <c r="H879" s="16" t="n"/>
      <c r="I879" s="16" t="n"/>
      <c r="J879" s="17" t="n"/>
      <c r="K879" s="17" t="n"/>
      <c r="L879" s="17" t="n"/>
      <c r="M879" s="16" t="n"/>
      <c r="N879" s="16" t="n"/>
      <c r="O879" s="18" t="n"/>
      <c r="P879" s="18" t="n"/>
      <c r="Q879" s="16" t="n"/>
    </row>
    <row r="880">
      <c r="E880" s="20" t="n"/>
      <c r="F880" s="20" t="n"/>
      <c r="G880" s="20" t="n"/>
      <c r="H880" s="16" t="n"/>
      <c r="I880" s="16" t="n"/>
      <c r="J880" s="17" t="n"/>
      <c r="K880" s="17" t="n"/>
      <c r="L880" s="17" t="n"/>
      <c r="M880" s="16" t="n"/>
      <c r="N880" s="16" t="n"/>
      <c r="O880" s="18" t="n"/>
      <c r="P880" s="18" t="n"/>
      <c r="Q880" s="16" t="n"/>
    </row>
    <row r="881">
      <c r="E881" s="20" t="n"/>
      <c r="F881" s="20" t="n"/>
      <c r="G881" s="20" t="n"/>
      <c r="H881" s="16" t="n"/>
      <c r="I881" s="16" t="n"/>
      <c r="J881" s="17" t="n"/>
      <c r="K881" s="17" t="n"/>
      <c r="L881" s="17" t="n"/>
      <c r="M881" s="16" t="n"/>
      <c r="N881" s="16" t="n"/>
      <c r="O881" s="18" t="n"/>
      <c r="P881" s="18" t="n"/>
      <c r="Q881" s="16" t="n"/>
    </row>
    <row r="882">
      <c r="E882" s="20" t="n"/>
      <c r="F882" s="20" t="n"/>
      <c r="G882" s="20" t="n"/>
      <c r="H882" s="16" t="n"/>
      <c r="I882" s="16" t="n"/>
      <c r="J882" s="17" t="n"/>
      <c r="K882" s="17" t="n"/>
      <c r="L882" s="17" t="n"/>
      <c r="M882" s="16" t="n"/>
      <c r="N882" s="16" t="n"/>
      <c r="O882" s="18" t="n"/>
      <c r="P882" s="18" t="n"/>
      <c r="Q882" s="16" t="n"/>
    </row>
    <row r="883">
      <c r="E883" s="20" t="n"/>
      <c r="F883" s="20" t="n"/>
      <c r="G883" s="20" t="n"/>
      <c r="H883" s="16" t="n"/>
      <c r="I883" s="16" t="n"/>
      <c r="J883" s="17" t="n"/>
      <c r="K883" s="17" t="n"/>
      <c r="L883" s="17" t="n"/>
      <c r="M883" s="16" t="n"/>
      <c r="N883" s="16" t="n"/>
      <c r="O883" s="18" t="n"/>
      <c r="P883" s="18" t="n"/>
      <c r="Q883" s="16" t="n"/>
    </row>
    <row r="884">
      <c r="E884" s="20" t="n"/>
      <c r="F884" s="20" t="n"/>
      <c r="G884" s="20" t="n"/>
      <c r="H884" s="16" t="n"/>
      <c r="I884" s="16" t="n"/>
      <c r="J884" s="17" t="n"/>
      <c r="K884" s="17" t="n"/>
      <c r="L884" s="17" t="n"/>
      <c r="M884" s="16" t="n"/>
      <c r="N884" s="16" t="n"/>
      <c r="O884" s="18" t="n"/>
      <c r="P884" s="18" t="n"/>
      <c r="Q884" s="16" t="n"/>
    </row>
    <row r="885">
      <c r="E885" s="20" t="n"/>
      <c r="F885" s="20" t="n"/>
      <c r="G885" s="20" t="n"/>
      <c r="H885" s="16" t="n"/>
      <c r="I885" s="16" t="n"/>
      <c r="J885" s="17" t="n"/>
      <c r="K885" s="17" t="n"/>
      <c r="L885" s="17" t="n"/>
      <c r="M885" s="16" t="n"/>
      <c r="N885" s="16" t="n"/>
      <c r="O885" s="18" t="n"/>
      <c r="P885" s="18" t="n"/>
      <c r="Q885" s="16" t="n"/>
    </row>
    <row r="886">
      <c r="E886" s="20" t="n"/>
      <c r="F886" s="20" t="n"/>
      <c r="G886" s="20" t="n"/>
      <c r="H886" s="16" t="n"/>
      <c r="I886" s="16" t="n"/>
      <c r="J886" s="17" t="n"/>
      <c r="K886" s="17" t="n"/>
      <c r="L886" s="17" t="n"/>
      <c r="M886" s="16" t="n"/>
      <c r="N886" s="16" t="n"/>
      <c r="O886" s="18" t="n"/>
      <c r="P886" s="18" t="n"/>
      <c r="Q886" s="16" t="n"/>
    </row>
    <row r="887">
      <c r="E887" s="20" t="n"/>
      <c r="F887" s="20" t="n"/>
      <c r="G887" s="20" t="n"/>
      <c r="H887" s="16" t="n"/>
      <c r="I887" s="16" t="n"/>
      <c r="J887" s="17" t="n"/>
      <c r="K887" s="17" t="n"/>
      <c r="L887" s="17" t="n"/>
      <c r="M887" s="16" t="n"/>
      <c r="N887" s="16" t="n"/>
      <c r="O887" s="18" t="n"/>
      <c r="P887" s="18" t="n"/>
      <c r="Q887" s="16" t="n"/>
    </row>
    <row r="888">
      <c r="E888" s="20" t="n"/>
      <c r="F888" s="20" t="n"/>
      <c r="G888" s="20" t="n"/>
      <c r="H888" s="16" t="n"/>
      <c r="I888" s="16" t="n"/>
      <c r="J888" s="17" t="n"/>
      <c r="K888" s="17" t="n"/>
      <c r="L888" s="17" t="n"/>
      <c r="M888" s="16" t="n"/>
      <c r="N888" s="16" t="n"/>
      <c r="O888" s="18" t="n"/>
      <c r="P888" s="18" t="n"/>
      <c r="Q888" s="16" t="n"/>
    </row>
    <row r="889">
      <c r="E889" s="20" t="n"/>
      <c r="F889" s="20" t="n"/>
      <c r="G889" s="20" t="n"/>
      <c r="H889" s="16" t="n"/>
      <c r="I889" s="16" t="n"/>
      <c r="J889" s="17" t="n"/>
      <c r="K889" s="17" t="n"/>
      <c r="L889" s="17" t="n"/>
      <c r="M889" s="16" t="n"/>
      <c r="N889" s="16" t="n"/>
      <c r="O889" s="18" t="n"/>
      <c r="P889" s="18" t="n"/>
      <c r="Q889" s="16" t="n"/>
    </row>
    <row r="890">
      <c r="E890" s="20" t="n"/>
      <c r="F890" s="20" t="n"/>
      <c r="G890" s="20" t="n"/>
      <c r="H890" s="16" t="n"/>
      <c r="I890" s="16" t="n"/>
      <c r="J890" s="17" t="n"/>
      <c r="K890" s="17" t="n"/>
      <c r="L890" s="17" t="n"/>
      <c r="M890" s="16" t="n"/>
      <c r="N890" s="16" t="n"/>
      <c r="O890" s="18" t="n"/>
      <c r="P890" s="18" t="n"/>
      <c r="Q890" s="16" t="n"/>
    </row>
    <row r="891">
      <c r="E891" s="20" t="n"/>
      <c r="F891" s="20" t="n"/>
      <c r="G891" s="20" t="n"/>
      <c r="H891" s="16" t="n"/>
      <c r="I891" s="16" t="n"/>
      <c r="J891" s="17" t="n"/>
      <c r="K891" s="17" t="n"/>
      <c r="L891" s="17" t="n"/>
      <c r="M891" s="16" t="n"/>
      <c r="N891" s="16" t="n"/>
      <c r="O891" s="18" t="n"/>
      <c r="P891" s="18" t="n"/>
      <c r="Q891" s="16" t="n"/>
    </row>
    <row r="892">
      <c r="E892" s="20" t="n"/>
      <c r="F892" s="20" t="n"/>
      <c r="G892" s="20" t="n"/>
      <c r="H892" s="16" t="n"/>
      <c r="I892" s="16" t="n"/>
      <c r="J892" s="17" t="n"/>
      <c r="K892" s="17" t="n"/>
      <c r="L892" s="17" t="n"/>
      <c r="M892" s="16" t="n"/>
      <c r="N892" s="16" t="n"/>
      <c r="O892" s="18" t="n"/>
      <c r="P892" s="18" t="n"/>
      <c r="Q892" s="16" t="n"/>
    </row>
    <row r="893">
      <c r="E893" s="20" t="n"/>
      <c r="F893" s="20" t="n"/>
      <c r="G893" s="20" t="n"/>
      <c r="H893" s="16" t="n"/>
      <c r="I893" s="16" t="n"/>
      <c r="J893" s="17" t="n"/>
      <c r="K893" s="17" t="n"/>
      <c r="L893" s="17" t="n"/>
      <c r="M893" s="16" t="n"/>
      <c r="N893" s="16" t="n"/>
      <c r="O893" s="18" t="n"/>
      <c r="P893" s="18" t="n"/>
      <c r="Q893" s="16" t="n"/>
    </row>
    <row r="894">
      <c r="E894" s="20" t="n"/>
      <c r="F894" s="20" t="n"/>
      <c r="G894" s="20" t="n"/>
      <c r="H894" s="16" t="n"/>
      <c r="I894" s="16" t="n"/>
      <c r="J894" s="17" t="n"/>
      <c r="K894" s="17" t="n"/>
      <c r="L894" s="17" t="n"/>
      <c r="M894" s="16" t="n"/>
      <c r="N894" s="16" t="n"/>
      <c r="O894" s="18" t="n"/>
      <c r="P894" s="18" t="n"/>
      <c r="Q894" s="16" t="n"/>
    </row>
    <row r="895">
      <c r="E895" s="20" t="n"/>
      <c r="F895" s="20" t="n"/>
      <c r="G895" s="20" t="n"/>
      <c r="H895" s="16" t="n"/>
      <c r="I895" s="16" t="n"/>
      <c r="J895" s="17" t="n"/>
      <c r="K895" s="17" t="n"/>
      <c r="L895" s="17" t="n"/>
      <c r="M895" s="16" t="n"/>
      <c r="N895" s="16" t="n"/>
      <c r="O895" s="18" t="n"/>
      <c r="P895" s="18" t="n"/>
      <c r="Q895" s="16" t="n"/>
    </row>
    <row r="896">
      <c r="E896" s="20" t="n"/>
      <c r="F896" s="20" t="n"/>
      <c r="G896" s="20" t="n"/>
      <c r="H896" s="16" t="n"/>
      <c r="I896" s="16" t="n"/>
      <c r="J896" s="17" t="n"/>
      <c r="K896" s="17" t="n"/>
      <c r="L896" s="17" t="n"/>
      <c r="M896" s="16" t="n"/>
      <c r="N896" s="16" t="n"/>
      <c r="O896" s="18" t="n"/>
      <c r="P896" s="18" t="n"/>
      <c r="Q896" s="16" t="n"/>
    </row>
    <row r="897">
      <c r="E897" s="20" t="n"/>
      <c r="F897" s="20" t="n"/>
      <c r="G897" s="20" t="n"/>
      <c r="H897" s="16" t="n"/>
      <c r="I897" s="16" t="n"/>
      <c r="J897" s="17" t="n"/>
      <c r="K897" s="17" t="n"/>
      <c r="L897" s="17" t="n"/>
      <c r="M897" s="16" t="n"/>
      <c r="N897" s="16" t="n"/>
      <c r="O897" s="18" t="n"/>
      <c r="P897" s="18" t="n"/>
      <c r="Q897" s="16" t="n"/>
    </row>
    <row r="898">
      <c r="E898" s="20" t="n"/>
      <c r="F898" s="20" t="n"/>
      <c r="G898" s="20" t="n"/>
      <c r="H898" s="16" t="n"/>
      <c r="I898" s="16" t="n"/>
      <c r="J898" s="17" t="n"/>
      <c r="K898" s="17" t="n"/>
      <c r="L898" s="17" t="n"/>
      <c r="M898" s="16" t="n"/>
      <c r="N898" s="16" t="n"/>
      <c r="O898" s="18" t="n"/>
      <c r="P898" s="18" t="n"/>
      <c r="Q898" s="16" t="n"/>
    </row>
    <row r="899">
      <c r="E899" s="20" t="n"/>
      <c r="F899" s="20" t="n"/>
      <c r="G899" s="20" t="n"/>
      <c r="H899" s="16" t="n"/>
      <c r="I899" s="16" t="n"/>
      <c r="J899" s="17" t="n"/>
      <c r="K899" s="17" t="n"/>
      <c r="L899" s="17" t="n"/>
      <c r="M899" s="16" t="n"/>
      <c r="N899" s="16" t="n"/>
      <c r="O899" s="18" t="n"/>
      <c r="P899" s="18" t="n"/>
      <c r="Q899" s="16" t="n"/>
    </row>
    <row r="900">
      <c r="E900" s="20" t="n"/>
      <c r="F900" s="20" t="n"/>
      <c r="G900" s="20" t="n"/>
      <c r="H900" s="16" t="n"/>
      <c r="I900" s="16" t="n"/>
      <c r="J900" s="17" t="n"/>
      <c r="K900" s="17" t="n"/>
      <c r="L900" s="17" t="n"/>
      <c r="M900" s="16" t="n"/>
      <c r="N900" s="16" t="n"/>
      <c r="O900" s="18" t="n"/>
      <c r="P900" s="18" t="n"/>
      <c r="Q900" s="16" t="n"/>
    </row>
    <row r="901">
      <c r="E901" s="20" t="n"/>
      <c r="F901" s="20" t="n"/>
      <c r="G901" s="20" t="n"/>
      <c r="H901" s="16" t="n"/>
      <c r="I901" s="16" t="n"/>
      <c r="J901" s="17" t="n"/>
      <c r="K901" s="17" t="n"/>
      <c r="L901" s="17" t="n"/>
      <c r="M901" s="16" t="n"/>
      <c r="N901" s="16" t="n"/>
      <c r="O901" s="18" t="n"/>
      <c r="P901" s="18" t="n"/>
      <c r="Q901" s="16" t="n"/>
    </row>
    <row r="902">
      <c r="E902" s="20" t="n"/>
      <c r="F902" s="20" t="n"/>
      <c r="G902" s="20" t="n"/>
      <c r="H902" s="16" t="n"/>
      <c r="I902" s="16" t="n"/>
      <c r="J902" s="17" t="n"/>
      <c r="K902" s="17" t="n"/>
      <c r="L902" s="17" t="n"/>
      <c r="M902" s="16" t="n"/>
      <c r="N902" s="16" t="n"/>
      <c r="O902" s="18" t="n"/>
      <c r="P902" s="18" t="n"/>
      <c r="Q902" s="16" t="n"/>
    </row>
    <row r="903">
      <c r="E903" s="20" t="n"/>
      <c r="F903" s="20" t="n"/>
      <c r="G903" s="20" t="n"/>
      <c r="H903" s="16" t="n"/>
      <c r="I903" s="16" t="n"/>
      <c r="J903" s="17" t="n"/>
      <c r="K903" s="17" t="n"/>
      <c r="L903" s="17" t="n"/>
      <c r="M903" s="16" t="n"/>
      <c r="N903" s="16" t="n"/>
      <c r="O903" s="18" t="n"/>
      <c r="P903" s="18" t="n"/>
      <c r="Q903" s="16" t="n"/>
    </row>
    <row r="904">
      <c r="E904" s="20" t="n"/>
      <c r="F904" s="20" t="n"/>
      <c r="G904" s="20" t="n"/>
      <c r="H904" s="16" t="n"/>
      <c r="I904" s="16" t="n"/>
      <c r="J904" s="17" t="n"/>
      <c r="K904" s="17" t="n"/>
      <c r="L904" s="17" t="n"/>
      <c r="M904" s="16" t="n"/>
      <c r="N904" s="16" t="n"/>
      <c r="O904" s="18" t="n"/>
      <c r="P904" s="18" t="n"/>
      <c r="Q904" s="16" t="n"/>
    </row>
    <row r="905">
      <c r="E905" s="20" t="n"/>
      <c r="F905" s="20" t="n"/>
      <c r="G905" s="20" t="n"/>
      <c r="H905" s="16" t="n"/>
      <c r="I905" s="16" t="n"/>
      <c r="J905" s="17" t="n"/>
      <c r="K905" s="17" t="n"/>
      <c r="L905" s="17" t="n"/>
      <c r="M905" s="16" t="n"/>
      <c r="N905" s="16" t="n"/>
      <c r="O905" s="18" t="n"/>
      <c r="P905" s="18" t="n"/>
      <c r="Q905" s="16" t="n"/>
    </row>
    <row r="906">
      <c r="E906" s="20" t="n"/>
      <c r="F906" s="20" t="n"/>
      <c r="G906" s="20" t="n"/>
      <c r="H906" s="16" t="n"/>
      <c r="I906" s="16" t="n"/>
      <c r="J906" s="17" t="n"/>
      <c r="K906" s="17" t="n"/>
      <c r="L906" s="17" t="n"/>
      <c r="M906" s="16" t="n"/>
      <c r="N906" s="16" t="n"/>
      <c r="O906" s="18" t="n"/>
      <c r="P906" s="18" t="n"/>
      <c r="Q906" s="16" t="n"/>
    </row>
    <row r="907">
      <c r="E907" s="20" t="n"/>
      <c r="F907" s="20" t="n"/>
      <c r="G907" s="20" t="n"/>
      <c r="H907" s="16" t="n"/>
      <c r="I907" s="16" t="n"/>
      <c r="J907" s="17" t="n"/>
      <c r="K907" s="17" t="n"/>
      <c r="L907" s="17" t="n"/>
      <c r="M907" s="16" t="n"/>
      <c r="N907" s="16" t="n"/>
      <c r="O907" s="18" t="n"/>
      <c r="P907" s="18" t="n"/>
      <c r="Q907" s="16" t="n"/>
    </row>
    <row r="908">
      <c r="E908" s="20" t="n"/>
      <c r="F908" s="20" t="n"/>
      <c r="G908" s="20" t="n"/>
      <c r="H908" s="16" t="n"/>
      <c r="I908" s="16" t="n"/>
      <c r="J908" s="17" t="n"/>
      <c r="K908" s="17" t="n"/>
      <c r="L908" s="17" t="n"/>
      <c r="M908" s="16" t="n"/>
      <c r="N908" s="16" t="n"/>
      <c r="O908" s="18" t="n"/>
      <c r="P908" s="18" t="n"/>
      <c r="Q908" s="16" t="n"/>
    </row>
    <row r="909">
      <c r="E909" s="20" t="n"/>
      <c r="F909" s="20" t="n"/>
      <c r="G909" s="20" t="n"/>
      <c r="H909" s="16" t="n"/>
      <c r="I909" s="16" t="n"/>
      <c r="J909" s="17" t="n"/>
      <c r="K909" s="17" t="n"/>
      <c r="L909" s="17" t="n"/>
      <c r="M909" s="16" t="n"/>
      <c r="N909" s="16" t="n"/>
      <c r="O909" s="18" t="n"/>
      <c r="P909" s="18" t="n"/>
      <c r="Q909" s="16" t="n"/>
    </row>
    <row r="910">
      <c r="E910" s="20" t="n"/>
      <c r="F910" s="20" t="n"/>
      <c r="G910" s="20" t="n"/>
      <c r="H910" s="16" t="n"/>
      <c r="I910" s="16" t="n"/>
      <c r="J910" s="17" t="n"/>
      <c r="K910" s="17" t="n"/>
      <c r="L910" s="17" t="n"/>
      <c r="M910" s="16" t="n"/>
      <c r="N910" s="16" t="n"/>
      <c r="O910" s="18" t="n"/>
      <c r="P910" s="18" t="n"/>
      <c r="Q910" s="16" t="n"/>
    </row>
    <row r="911">
      <c r="E911" s="20" t="n"/>
      <c r="F911" s="20" t="n"/>
      <c r="G911" s="20" t="n"/>
      <c r="H911" s="16" t="n"/>
      <c r="I911" s="16" t="n"/>
      <c r="J911" s="17" t="n"/>
      <c r="K911" s="17" t="n"/>
      <c r="L911" s="17" t="n"/>
      <c r="M911" s="16" t="n"/>
      <c r="N911" s="16" t="n"/>
      <c r="O911" s="18" t="n"/>
      <c r="P911" s="18" t="n"/>
      <c r="Q911" s="16" t="n"/>
    </row>
    <row r="912">
      <c r="E912" s="20" t="n"/>
      <c r="F912" s="20" t="n"/>
      <c r="G912" s="20" t="n"/>
      <c r="H912" s="16" t="n"/>
      <c r="I912" s="16" t="n"/>
      <c r="J912" s="17" t="n"/>
      <c r="K912" s="17" t="n"/>
      <c r="L912" s="17" t="n"/>
      <c r="M912" s="16" t="n"/>
      <c r="N912" s="16" t="n"/>
      <c r="O912" s="18" t="n"/>
      <c r="P912" s="18" t="n"/>
      <c r="Q912" s="16" t="n"/>
    </row>
    <row r="913">
      <c r="E913" s="20" t="n"/>
      <c r="F913" s="20" t="n"/>
      <c r="G913" s="20" t="n"/>
      <c r="H913" s="16" t="n"/>
      <c r="I913" s="16" t="n"/>
      <c r="J913" s="17" t="n"/>
      <c r="K913" s="17" t="n"/>
      <c r="L913" s="17" t="n"/>
      <c r="M913" s="16" t="n"/>
      <c r="N913" s="16" t="n"/>
      <c r="O913" s="18" t="n"/>
      <c r="P913" s="18" t="n"/>
      <c r="Q913" s="16" t="n"/>
    </row>
    <row r="914">
      <c r="E914" s="20" t="n"/>
      <c r="F914" s="20" t="n"/>
      <c r="G914" s="20" t="n"/>
      <c r="H914" s="16" t="n"/>
      <c r="I914" s="16" t="n"/>
      <c r="J914" s="17" t="n"/>
      <c r="K914" s="17" t="n"/>
      <c r="L914" s="17" t="n"/>
      <c r="M914" s="16" t="n"/>
      <c r="N914" s="16" t="n"/>
      <c r="O914" s="18" t="n"/>
      <c r="P914" s="18" t="n"/>
      <c r="Q914" s="16" t="n"/>
    </row>
    <row r="915">
      <c r="E915" s="20" t="n"/>
      <c r="F915" s="20" t="n"/>
      <c r="G915" s="20" t="n"/>
      <c r="H915" s="16" t="n"/>
      <c r="I915" s="16" t="n"/>
      <c r="J915" s="17" t="n"/>
      <c r="K915" s="17" t="n"/>
      <c r="L915" s="17" t="n"/>
      <c r="M915" s="16" t="n"/>
      <c r="N915" s="16" t="n"/>
      <c r="O915" s="18" t="n"/>
      <c r="P915" s="18" t="n"/>
      <c r="Q915" s="16" t="n"/>
    </row>
    <row r="916">
      <c r="E916" s="20" t="n"/>
      <c r="F916" s="20" t="n"/>
      <c r="G916" s="20" t="n"/>
      <c r="H916" s="16" t="n"/>
      <c r="I916" s="16" t="n"/>
      <c r="J916" s="17" t="n"/>
      <c r="K916" s="17" t="n"/>
      <c r="L916" s="17" t="n"/>
      <c r="M916" s="16" t="n"/>
      <c r="N916" s="16" t="n"/>
      <c r="O916" s="18" t="n"/>
      <c r="P916" s="18" t="n"/>
      <c r="Q916" s="16" t="n"/>
    </row>
    <row r="917">
      <c r="E917" s="20" t="n"/>
      <c r="F917" s="20" t="n"/>
      <c r="G917" s="20" t="n"/>
      <c r="H917" s="16" t="n"/>
      <c r="I917" s="16" t="n"/>
      <c r="J917" s="17" t="n"/>
      <c r="K917" s="17" t="n"/>
      <c r="L917" s="17" t="n"/>
      <c r="M917" s="16" t="n"/>
      <c r="N917" s="16" t="n"/>
      <c r="O917" s="18" t="n"/>
      <c r="P917" s="18" t="n"/>
      <c r="Q917" s="16" t="n"/>
    </row>
    <row r="918">
      <c r="E918" s="20" t="n"/>
      <c r="F918" s="20" t="n"/>
      <c r="G918" s="20" t="n"/>
      <c r="H918" s="16" t="n"/>
      <c r="I918" s="16" t="n"/>
      <c r="J918" s="17" t="n"/>
      <c r="K918" s="17" t="n"/>
      <c r="L918" s="17" t="n"/>
      <c r="M918" s="16" t="n"/>
      <c r="N918" s="16" t="n"/>
      <c r="O918" s="18" t="n"/>
      <c r="P918" s="18" t="n"/>
      <c r="Q918" s="16" t="n"/>
    </row>
    <row r="919">
      <c r="E919" s="20" t="n"/>
      <c r="F919" s="20" t="n"/>
      <c r="G919" s="20" t="n"/>
      <c r="H919" s="16" t="n"/>
      <c r="I919" s="16" t="n"/>
      <c r="J919" s="17" t="n"/>
      <c r="K919" s="17" t="n"/>
      <c r="L919" s="17" t="n"/>
      <c r="M919" s="16" t="n"/>
      <c r="N919" s="16" t="n"/>
      <c r="O919" s="18" t="n"/>
      <c r="P919" s="18" t="n"/>
      <c r="Q919" s="16" t="n"/>
    </row>
    <row r="920">
      <c r="E920" s="20" t="n"/>
      <c r="F920" s="20" t="n"/>
      <c r="G920" s="20" t="n"/>
      <c r="H920" s="16" t="n"/>
      <c r="I920" s="16" t="n"/>
      <c r="J920" s="17" t="n"/>
      <c r="K920" s="17" t="n"/>
      <c r="L920" s="17" t="n"/>
      <c r="M920" s="16" t="n"/>
      <c r="N920" s="16" t="n"/>
      <c r="O920" s="18" t="n"/>
      <c r="P920" s="18" t="n"/>
      <c r="Q920" s="16" t="n"/>
    </row>
    <row r="921">
      <c r="E921" s="20" t="n"/>
      <c r="F921" s="20" t="n"/>
      <c r="G921" s="20" t="n"/>
      <c r="H921" s="16" t="n"/>
      <c r="I921" s="16" t="n"/>
      <c r="J921" s="17" t="n"/>
      <c r="K921" s="17" t="n"/>
      <c r="L921" s="17" t="n"/>
      <c r="M921" s="16" t="n"/>
      <c r="N921" s="16" t="n"/>
      <c r="O921" s="18" t="n"/>
      <c r="P921" s="18" t="n"/>
      <c r="Q921" s="16" t="n"/>
    </row>
    <row r="922">
      <c r="E922" s="20" t="n"/>
      <c r="F922" s="20" t="n"/>
      <c r="G922" s="20" t="n"/>
      <c r="H922" s="16" t="n"/>
      <c r="I922" s="16" t="n"/>
      <c r="J922" s="17" t="n"/>
      <c r="K922" s="17" t="n"/>
      <c r="L922" s="17" t="n"/>
      <c r="M922" s="16" t="n"/>
      <c r="N922" s="16" t="n"/>
      <c r="O922" s="18" t="n"/>
      <c r="P922" s="18" t="n"/>
      <c r="Q922" s="16" t="n"/>
    </row>
    <row r="923">
      <c r="E923" s="20" t="n"/>
      <c r="F923" s="20" t="n"/>
      <c r="G923" s="20" t="n"/>
      <c r="H923" s="16" t="n"/>
      <c r="I923" s="16" t="n"/>
      <c r="J923" s="17" t="n"/>
      <c r="K923" s="17" t="n"/>
      <c r="L923" s="17" t="n"/>
      <c r="M923" s="16" t="n"/>
      <c r="N923" s="16" t="n"/>
      <c r="O923" s="18" t="n"/>
      <c r="P923" s="18" t="n"/>
      <c r="Q923" s="16" t="n"/>
    </row>
    <row r="924">
      <c r="E924" s="20" t="n"/>
      <c r="F924" s="20" t="n"/>
      <c r="G924" s="20" t="n"/>
      <c r="H924" s="16" t="n"/>
      <c r="I924" s="16" t="n"/>
      <c r="J924" s="17" t="n"/>
      <c r="K924" s="17" t="n"/>
      <c r="L924" s="17" t="n"/>
      <c r="M924" s="16" t="n"/>
      <c r="N924" s="16" t="n"/>
      <c r="O924" s="18" t="n"/>
      <c r="P924" s="18" t="n"/>
      <c r="Q924" s="16" t="n"/>
    </row>
    <row r="925">
      <c r="E925" s="20" t="n"/>
      <c r="F925" s="20" t="n"/>
      <c r="G925" s="20" t="n"/>
      <c r="H925" s="16" t="n"/>
      <c r="I925" s="16" t="n"/>
      <c r="J925" s="17" t="n"/>
      <c r="K925" s="17" t="n"/>
      <c r="L925" s="17" t="n"/>
      <c r="M925" s="16" t="n"/>
      <c r="N925" s="16" t="n"/>
      <c r="O925" s="18" t="n"/>
      <c r="P925" s="18" t="n"/>
      <c r="Q925" s="16" t="n"/>
    </row>
    <row r="926">
      <c r="E926" s="20" t="n"/>
      <c r="F926" s="20" t="n"/>
      <c r="G926" s="20" t="n"/>
      <c r="H926" s="16" t="n"/>
      <c r="I926" s="16" t="n"/>
      <c r="J926" s="17" t="n"/>
      <c r="K926" s="17" t="n"/>
      <c r="L926" s="17" t="n"/>
      <c r="M926" s="16" t="n"/>
      <c r="N926" s="16" t="n"/>
      <c r="O926" s="18" t="n"/>
      <c r="P926" s="18" t="n"/>
      <c r="Q926" s="16" t="n"/>
    </row>
    <row r="927">
      <c r="E927" s="20" t="n"/>
      <c r="F927" s="20" t="n"/>
      <c r="G927" s="20" t="n"/>
      <c r="H927" s="16" t="n"/>
      <c r="I927" s="16" t="n"/>
      <c r="J927" s="17" t="n"/>
      <c r="K927" s="17" t="n"/>
      <c r="L927" s="17" t="n"/>
      <c r="M927" s="16" t="n"/>
      <c r="N927" s="16" t="n"/>
      <c r="O927" s="18" t="n"/>
      <c r="P927" s="18" t="n"/>
      <c r="Q927" s="16" t="n"/>
    </row>
    <row r="928">
      <c r="E928" s="20" t="n"/>
      <c r="F928" s="20" t="n"/>
      <c r="G928" s="20" t="n"/>
      <c r="H928" s="16" t="n"/>
      <c r="I928" s="16" t="n"/>
      <c r="J928" s="17" t="n"/>
      <c r="K928" s="17" t="n"/>
      <c r="L928" s="17" t="n"/>
      <c r="M928" s="16" t="n"/>
      <c r="N928" s="16" t="n"/>
      <c r="O928" s="18" t="n"/>
      <c r="P928" s="18" t="n"/>
      <c r="Q928" s="16" t="n"/>
    </row>
    <row r="929">
      <c r="E929" s="20" t="n"/>
      <c r="F929" s="20" t="n"/>
      <c r="G929" s="20" t="n"/>
      <c r="H929" s="16" t="n"/>
      <c r="I929" s="16" t="n"/>
      <c r="J929" s="17" t="n"/>
      <c r="K929" s="17" t="n"/>
      <c r="L929" s="17" t="n"/>
      <c r="M929" s="16" t="n"/>
      <c r="N929" s="16" t="n"/>
      <c r="O929" s="18" t="n"/>
      <c r="P929" s="18" t="n"/>
      <c r="Q929" s="16" t="n"/>
    </row>
    <row r="930">
      <c r="E930" s="20" t="n"/>
      <c r="F930" s="20" t="n"/>
      <c r="G930" s="20" t="n"/>
      <c r="H930" s="16" t="n"/>
      <c r="I930" s="16" t="n"/>
      <c r="J930" s="17" t="n"/>
      <c r="K930" s="17" t="n"/>
      <c r="L930" s="17" t="n"/>
      <c r="M930" s="16" t="n"/>
      <c r="N930" s="16" t="n"/>
      <c r="O930" s="18" t="n"/>
      <c r="P930" s="18" t="n"/>
      <c r="Q930" s="16" t="n"/>
    </row>
    <row r="931">
      <c r="E931" s="20" t="n"/>
      <c r="F931" s="20" t="n"/>
      <c r="G931" s="20" t="n"/>
      <c r="H931" s="16" t="n"/>
      <c r="I931" s="16" t="n"/>
      <c r="J931" s="17" t="n"/>
      <c r="K931" s="17" t="n"/>
      <c r="L931" s="17" t="n"/>
      <c r="M931" s="16" t="n"/>
      <c r="N931" s="16" t="n"/>
      <c r="O931" s="18" t="n"/>
      <c r="P931" s="18" t="n"/>
      <c r="Q931" s="16" t="n"/>
    </row>
    <row r="932">
      <c r="E932" s="20" t="n"/>
      <c r="F932" s="20" t="n"/>
      <c r="G932" s="20" t="n"/>
      <c r="H932" s="16" t="n"/>
      <c r="I932" s="16" t="n"/>
      <c r="J932" s="17" t="n"/>
      <c r="K932" s="17" t="n"/>
      <c r="L932" s="17" t="n"/>
      <c r="M932" s="16" t="n"/>
      <c r="N932" s="16" t="n"/>
      <c r="O932" s="18" t="n"/>
      <c r="P932" s="18" t="n"/>
      <c r="Q932" s="16" t="n"/>
    </row>
    <row r="933">
      <c r="E933" s="20" t="n"/>
      <c r="F933" s="20" t="n"/>
      <c r="G933" s="20" t="n"/>
      <c r="H933" s="16" t="n"/>
      <c r="I933" s="16" t="n"/>
      <c r="J933" s="17" t="n"/>
      <c r="K933" s="17" t="n"/>
      <c r="L933" s="17" t="n"/>
      <c r="M933" s="16" t="n"/>
      <c r="N933" s="16" t="n"/>
      <c r="O933" s="18" t="n"/>
      <c r="P933" s="18" t="n"/>
      <c r="Q933" s="16" t="n"/>
    </row>
    <row r="934">
      <c r="E934" s="20" t="n"/>
      <c r="F934" s="20" t="n"/>
      <c r="G934" s="20" t="n"/>
      <c r="H934" s="16" t="n"/>
      <c r="I934" s="16" t="n"/>
      <c r="J934" s="17" t="n"/>
      <c r="K934" s="17" t="n"/>
      <c r="L934" s="17" t="n"/>
      <c r="M934" s="16" t="n"/>
      <c r="N934" s="16" t="n"/>
      <c r="O934" s="18" t="n"/>
      <c r="P934" s="18" t="n"/>
      <c r="Q934" s="16" t="n"/>
    </row>
    <row r="935">
      <c r="E935" s="20" t="n"/>
      <c r="F935" s="20" t="n"/>
      <c r="G935" s="20" t="n"/>
      <c r="H935" s="16" t="n"/>
      <c r="I935" s="16" t="n"/>
      <c r="J935" s="17" t="n"/>
      <c r="K935" s="17" t="n"/>
      <c r="L935" s="17" t="n"/>
      <c r="M935" s="16" t="n"/>
      <c r="N935" s="16" t="n"/>
      <c r="O935" s="18" t="n"/>
      <c r="P935" s="18" t="n"/>
      <c r="Q935" s="16" t="n"/>
    </row>
    <row r="936">
      <c r="E936" s="20" t="n"/>
      <c r="F936" s="20" t="n"/>
      <c r="G936" s="20" t="n"/>
      <c r="H936" s="16" t="n"/>
      <c r="I936" s="16" t="n"/>
      <c r="J936" s="17" t="n"/>
      <c r="K936" s="17" t="n"/>
      <c r="L936" s="17" t="n"/>
      <c r="M936" s="16" t="n"/>
      <c r="N936" s="16" t="n"/>
      <c r="O936" s="18" t="n"/>
      <c r="P936" s="18" t="n"/>
      <c r="Q936" s="16" t="n"/>
    </row>
    <row r="937">
      <c r="E937" s="20" t="n"/>
      <c r="F937" s="20" t="n"/>
      <c r="G937" s="20" t="n"/>
      <c r="H937" s="16" t="n"/>
      <c r="I937" s="16" t="n"/>
      <c r="J937" s="17" t="n"/>
      <c r="K937" s="17" t="n"/>
      <c r="L937" s="17" t="n"/>
      <c r="M937" s="16" t="n"/>
      <c r="N937" s="16" t="n"/>
      <c r="O937" s="18" t="n"/>
      <c r="P937" s="18" t="n"/>
      <c r="Q937" s="16" t="n"/>
    </row>
    <row r="938">
      <c r="E938" s="20" t="n"/>
      <c r="F938" s="20" t="n"/>
      <c r="G938" s="20" t="n"/>
      <c r="H938" s="16" t="n"/>
      <c r="I938" s="16" t="n"/>
      <c r="J938" s="17" t="n"/>
      <c r="K938" s="17" t="n"/>
      <c r="L938" s="17" t="n"/>
      <c r="M938" s="16" t="n"/>
      <c r="N938" s="16" t="n"/>
      <c r="O938" s="18" t="n"/>
      <c r="P938" s="18" t="n"/>
      <c r="Q938" s="16" t="n"/>
    </row>
    <row r="939">
      <c r="E939" s="20" t="n"/>
      <c r="F939" s="20" t="n"/>
      <c r="G939" s="20" t="n"/>
      <c r="H939" s="16" t="n"/>
      <c r="I939" s="16" t="n"/>
      <c r="J939" s="17" t="n"/>
      <c r="K939" s="17" t="n"/>
      <c r="L939" s="17" t="n"/>
      <c r="M939" s="16" t="n"/>
      <c r="N939" s="16" t="n"/>
      <c r="O939" s="18" t="n"/>
      <c r="P939" s="18" t="n"/>
      <c r="Q939" s="16" t="n"/>
    </row>
    <row r="940">
      <c r="E940" s="20" t="n"/>
      <c r="F940" s="20" t="n"/>
      <c r="G940" s="20" t="n"/>
      <c r="H940" s="16" t="n"/>
      <c r="I940" s="16" t="n"/>
      <c r="J940" s="17" t="n"/>
      <c r="K940" s="17" t="n"/>
      <c r="L940" s="17" t="n"/>
      <c r="M940" s="16" t="n"/>
      <c r="N940" s="16" t="n"/>
      <c r="O940" s="18" t="n"/>
      <c r="P940" s="18" t="n"/>
      <c r="Q940" s="16" t="n"/>
    </row>
    <row r="941">
      <c r="E941" s="20" t="n"/>
      <c r="F941" s="20" t="n"/>
      <c r="G941" s="20" t="n"/>
      <c r="H941" s="16" t="n"/>
      <c r="I941" s="16" t="n"/>
      <c r="J941" s="17" t="n"/>
      <c r="K941" s="17" t="n"/>
      <c r="L941" s="17" t="n"/>
      <c r="M941" s="16" t="n"/>
      <c r="N941" s="16" t="n"/>
      <c r="O941" s="18" t="n"/>
      <c r="P941" s="18" t="n"/>
      <c r="Q941" s="16" t="n"/>
    </row>
    <row r="942">
      <c r="E942" s="20" t="n"/>
      <c r="F942" s="20" t="n"/>
      <c r="G942" s="20" t="n"/>
      <c r="H942" s="16" t="n"/>
      <c r="I942" s="16" t="n"/>
      <c r="J942" s="17" t="n"/>
      <c r="K942" s="17" t="n"/>
      <c r="L942" s="17" t="n"/>
      <c r="M942" s="16" t="n"/>
      <c r="N942" s="16" t="n"/>
      <c r="O942" s="18" t="n"/>
      <c r="P942" s="18" t="n"/>
      <c r="Q942" s="16" t="n"/>
    </row>
    <row r="943">
      <c r="E943" s="20" t="n"/>
      <c r="F943" s="20" t="n"/>
      <c r="G943" s="20" t="n"/>
      <c r="H943" s="16" t="n"/>
      <c r="I943" s="16" t="n"/>
      <c r="J943" s="17" t="n"/>
      <c r="K943" s="17" t="n"/>
      <c r="L943" s="17" t="n"/>
      <c r="M943" s="16" t="n"/>
      <c r="N943" s="16" t="n"/>
      <c r="O943" s="18" t="n"/>
      <c r="P943" s="18" t="n"/>
      <c r="Q943" s="16" t="n"/>
    </row>
    <row r="944">
      <c r="E944" s="20" t="n"/>
      <c r="F944" s="20" t="n"/>
      <c r="G944" s="20" t="n"/>
      <c r="H944" s="16" t="n"/>
      <c r="I944" s="16" t="n"/>
      <c r="J944" s="17" t="n"/>
      <c r="K944" s="17" t="n"/>
      <c r="L944" s="17" t="n"/>
      <c r="M944" s="16" t="n"/>
      <c r="N944" s="16" t="n"/>
      <c r="O944" s="18" t="n"/>
      <c r="P944" s="18" t="n"/>
      <c r="Q944" s="16" t="n"/>
    </row>
    <row r="945">
      <c r="E945" s="20" t="n"/>
      <c r="F945" s="20" t="n"/>
      <c r="G945" s="20" t="n"/>
      <c r="H945" s="16" t="n"/>
      <c r="I945" s="16" t="n"/>
      <c r="J945" s="17" t="n"/>
      <c r="K945" s="17" t="n"/>
      <c r="L945" s="17" t="n"/>
      <c r="M945" s="16" t="n"/>
      <c r="N945" s="16" t="n"/>
      <c r="O945" s="18" t="n"/>
      <c r="P945" s="18" t="n"/>
      <c r="Q945" s="16" t="n"/>
    </row>
    <row r="946">
      <c r="E946" s="20" t="n"/>
      <c r="F946" s="20" t="n"/>
      <c r="G946" s="20" t="n"/>
      <c r="H946" s="16" t="n"/>
      <c r="I946" s="16" t="n"/>
      <c r="J946" s="17" t="n"/>
      <c r="K946" s="17" t="n"/>
      <c r="L946" s="17" t="n"/>
      <c r="M946" s="16" t="n"/>
      <c r="N946" s="16" t="n"/>
      <c r="O946" s="18" t="n"/>
      <c r="P946" s="18" t="n"/>
      <c r="Q946" s="16" t="n"/>
    </row>
    <row r="947">
      <c r="E947" s="20" t="n"/>
      <c r="F947" s="20" t="n"/>
      <c r="G947" s="20" t="n"/>
      <c r="H947" s="16" t="n"/>
      <c r="I947" s="16" t="n"/>
      <c r="J947" s="17" t="n"/>
      <c r="K947" s="17" t="n"/>
      <c r="L947" s="17" t="n"/>
      <c r="M947" s="16" t="n"/>
      <c r="N947" s="16" t="n"/>
      <c r="O947" s="18" t="n"/>
      <c r="P947" s="18" t="n"/>
      <c r="Q947" s="16" t="n"/>
    </row>
    <row r="948">
      <c r="E948" s="20" t="n"/>
      <c r="F948" s="20" t="n"/>
      <c r="G948" s="20" t="n"/>
      <c r="H948" s="16" t="n"/>
      <c r="I948" s="16" t="n"/>
      <c r="J948" s="17" t="n"/>
      <c r="K948" s="17" t="n"/>
      <c r="L948" s="17" t="n"/>
      <c r="M948" s="16" t="n"/>
      <c r="N948" s="16" t="n"/>
      <c r="O948" s="18" t="n"/>
      <c r="P948" s="18" t="n"/>
      <c r="Q948" s="16" t="n"/>
    </row>
    <row r="949">
      <c r="E949" s="20" t="n"/>
      <c r="F949" s="20" t="n"/>
      <c r="G949" s="20" t="n"/>
      <c r="H949" s="16" t="n"/>
      <c r="I949" s="16" t="n"/>
      <c r="J949" s="17" t="n"/>
      <c r="K949" s="17" t="n"/>
      <c r="L949" s="17" t="n"/>
      <c r="M949" s="16" t="n"/>
      <c r="N949" s="16" t="n"/>
      <c r="O949" s="18" t="n"/>
      <c r="P949" s="18" t="n"/>
      <c r="Q949" s="16" t="n"/>
    </row>
    <row r="950">
      <c r="E950" s="20" t="n"/>
      <c r="F950" s="20" t="n"/>
      <c r="G950" s="20" t="n"/>
      <c r="H950" s="16" t="n"/>
      <c r="I950" s="16" t="n"/>
      <c r="J950" s="17" t="n"/>
      <c r="K950" s="17" t="n"/>
      <c r="L950" s="17" t="n"/>
      <c r="M950" s="16" t="n"/>
      <c r="N950" s="16" t="n"/>
      <c r="O950" s="18" t="n"/>
      <c r="P950" s="18" t="n"/>
      <c r="Q950" s="16" t="n"/>
    </row>
    <row r="951">
      <c r="E951" s="20" t="n"/>
      <c r="F951" s="20" t="n"/>
      <c r="G951" s="20" t="n"/>
      <c r="H951" s="16" t="n"/>
      <c r="I951" s="16" t="n"/>
      <c r="J951" s="17" t="n"/>
      <c r="K951" s="17" t="n"/>
      <c r="L951" s="17" t="n"/>
      <c r="M951" s="16" t="n"/>
      <c r="N951" s="16" t="n"/>
      <c r="O951" s="18" t="n"/>
      <c r="P951" s="18" t="n"/>
      <c r="Q951" s="16" t="n"/>
    </row>
    <row r="952">
      <c r="E952" s="20" t="n"/>
      <c r="F952" s="20" t="n"/>
      <c r="G952" s="20" t="n"/>
      <c r="H952" s="16" t="n"/>
      <c r="I952" s="16" t="n"/>
      <c r="J952" s="17" t="n"/>
      <c r="K952" s="17" t="n"/>
      <c r="L952" s="17" t="n"/>
      <c r="M952" s="16" t="n"/>
      <c r="N952" s="16" t="n"/>
      <c r="O952" s="18" t="n"/>
      <c r="P952" s="18" t="n"/>
      <c r="Q952" s="16" t="n"/>
    </row>
    <row r="953">
      <c r="E953" s="20" t="n"/>
      <c r="F953" s="20" t="n"/>
      <c r="G953" s="20" t="n"/>
      <c r="H953" s="16" t="n"/>
      <c r="I953" s="16" t="n"/>
      <c r="J953" s="17" t="n"/>
      <c r="K953" s="17" t="n"/>
      <c r="L953" s="17" t="n"/>
      <c r="M953" s="16" t="n"/>
      <c r="N953" s="16" t="n"/>
      <c r="O953" s="18" t="n"/>
      <c r="P953" s="18" t="n"/>
      <c r="Q953" s="16" t="n"/>
    </row>
    <row r="954">
      <c r="E954" s="20" t="n"/>
      <c r="F954" s="20" t="n"/>
      <c r="G954" s="20" t="n"/>
      <c r="H954" s="16" t="n"/>
      <c r="I954" s="16" t="n"/>
      <c r="J954" s="17" t="n"/>
      <c r="K954" s="17" t="n"/>
      <c r="L954" s="17" t="n"/>
      <c r="M954" s="16" t="n"/>
      <c r="N954" s="16" t="n"/>
      <c r="O954" s="18" t="n"/>
      <c r="P954" s="18" t="n"/>
      <c r="Q954" s="16" t="n"/>
    </row>
    <row r="955">
      <c r="E955" s="20" t="n"/>
      <c r="F955" s="20" t="n"/>
      <c r="G955" s="20" t="n"/>
      <c r="H955" s="16" t="n"/>
      <c r="I955" s="16" t="n"/>
      <c r="J955" s="17" t="n"/>
      <c r="K955" s="17" t="n"/>
      <c r="L955" s="17" t="n"/>
      <c r="M955" s="16" t="n"/>
      <c r="N955" s="16" t="n"/>
      <c r="O955" s="18" t="n"/>
      <c r="P955" s="18" t="n"/>
      <c r="Q955" s="16" t="n"/>
    </row>
    <row r="956">
      <c r="E956" s="20" t="n"/>
      <c r="F956" s="20" t="n"/>
      <c r="G956" s="20" t="n"/>
      <c r="H956" s="16" t="n"/>
      <c r="I956" s="16" t="n"/>
      <c r="J956" s="17" t="n"/>
      <c r="K956" s="17" t="n"/>
      <c r="L956" s="17" t="n"/>
      <c r="M956" s="16" t="n"/>
      <c r="N956" s="16" t="n"/>
      <c r="O956" s="18" t="n"/>
      <c r="P956" s="18" t="n"/>
      <c r="Q956" s="16" t="n"/>
    </row>
    <row r="957">
      <c r="E957" s="20" t="n"/>
      <c r="F957" s="20" t="n"/>
      <c r="G957" s="20" t="n"/>
      <c r="H957" s="16" t="n"/>
      <c r="I957" s="16" t="n"/>
      <c r="J957" s="17" t="n"/>
      <c r="K957" s="17" t="n"/>
      <c r="L957" s="17" t="n"/>
      <c r="M957" s="16" t="n"/>
      <c r="N957" s="16" t="n"/>
      <c r="O957" s="18" t="n"/>
      <c r="P957" s="18" t="n"/>
      <c r="Q957" s="16" t="n"/>
    </row>
    <row r="958">
      <c r="E958" s="20" t="n"/>
      <c r="F958" s="20" t="n"/>
      <c r="G958" s="20" t="n"/>
      <c r="H958" s="16" t="n"/>
      <c r="I958" s="16" t="n"/>
      <c r="J958" s="17" t="n"/>
      <c r="K958" s="17" t="n"/>
      <c r="L958" s="17" t="n"/>
      <c r="M958" s="16" t="n"/>
      <c r="N958" s="16" t="n"/>
      <c r="O958" s="18" t="n"/>
      <c r="P958" s="18" t="n"/>
      <c r="Q958" s="16" t="n"/>
    </row>
    <row r="959">
      <c r="E959" s="20" t="n"/>
      <c r="F959" s="20" t="n"/>
      <c r="G959" s="20" t="n"/>
      <c r="H959" s="16" t="n"/>
      <c r="I959" s="16" t="n"/>
      <c r="J959" s="17" t="n"/>
      <c r="K959" s="17" t="n"/>
      <c r="L959" s="17" t="n"/>
      <c r="M959" s="16" t="n"/>
      <c r="N959" s="16" t="n"/>
      <c r="O959" s="18" t="n"/>
      <c r="P959" s="18" t="n"/>
      <c r="Q959" s="16" t="n"/>
    </row>
    <row r="960">
      <c r="E960" s="20" t="n"/>
      <c r="F960" s="20" t="n"/>
      <c r="G960" s="20" t="n"/>
      <c r="H960" s="16" t="n"/>
      <c r="I960" s="16" t="n"/>
      <c r="J960" s="17" t="n"/>
      <c r="K960" s="17" t="n"/>
      <c r="L960" s="17" t="n"/>
      <c r="M960" s="16" t="n"/>
      <c r="N960" s="16" t="n"/>
      <c r="O960" s="18" t="n"/>
      <c r="P960" s="18" t="n"/>
      <c r="Q960" s="16" t="n"/>
    </row>
    <row r="961">
      <c r="E961" s="20" t="n"/>
      <c r="F961" s="20" t="n"/>
      <c r="G961" s="20" t="n"/>
      <c r="H961" s="16" t="n"/>
      <c r="I961" s="16" t="n"/>
      <c r="J961" s="17" t="n"/>
      <c r="K961" s="17" t="n"/>
      <c r="L961" s="17" t="n"/>
      <c r="M961" s="16" t="n"/>
      <c r="N961" s="16" t="n"/>
      <c r="O961" s="18" t="n"/>
      <c r="P961" s="18" t="n"/>
      <c r="Q961" s="16" t="n"/>
    </row>
    <row r="962">
      <c r="E962" s="20" t="n"/>
      <c r="F962" s="20" t="n"/>
      <c r="G962" s="20" t="n"/>
      <c r="H962" s="16" t="n"/>
      <c r="I962" s="16" t="n"/>
      <c r="J962" s="17" t="n"/>
      <c r="K962" s="17" t="n"/>
      <c r="L962" s="17" t="n"/>
      <c r="M962" s="16" t="n"/>
      <c r="N962" s="16" t="n"/>
      <c r="O962" s="18" t="n"/>
      <c r="P962" s="18" t="n"/>
      <c r="Q962" s="16" t="n"/>
    </row>
    <row r="963">
      <c r="E963" s="20" t="n"/>
      <c r="F963" s="20" t="n"/>
      <c r="G963" s="20" t="n"/>
      <c r="H963" s="16" t="n"/>
      <c r="I963" s="16" t="n"/>
      <c r="J963" s="17" t="n"/>
      <c r="K963" s="17" t="n"/>
      <c r="L963" s="17" t="n"/>
      <c r="M963" s="16" t="n"/>
      <c r="N963" s="16" t="n"/>
      <c r="O963" s="18" t="n"/>
      <c r="P963" s="18" t="n"/>
      <c r="Q963" s="16" t="n"/>
    </row>
    <row r="964">
      <c r="E964" s="20" t="n"/>
      <c r="F964" s="20" t="n"/>
      <c r="G964" s="20" t="n"/>
      <c r="H964" s="16" t="n"/>
      <c r="I964" s="16" t="n"/>
      <c r="J964" s="17" t="n"/>
      <c r="K964" s="17" t="n"/>
      <c r="L964" s="17" t="n"/>
      <c r="M964" s="16" t="n"/>
      <c r="N964" s="16" t="n"/>
      <c r="O964" s="18" t="n"/>
      <c r="P964" s="18" t="n"/>
      <c r="Q964" s="16" t="n"/>
    </row>
    <row r="965">
      <c r="E965" s="20" t="n"/>
      <c r="F965" s="20" t="n"/>
      <c r="G965" s="20" t="n"/>
      <c r="H965" s="16" t="n"/>
      <c r="I965" s="16" t="n"/>
      <c r="J965" s="17" t="n"/>
      <c r="K965" s="17" t="n"/>
      <c r="L965" s="17" t="n"/>
      <c r="M965" s="16" t="n"/>
      <c r="N965" s="16" t="n"/>
      <c r="O965" s="18" t="n"/>
      <c r="P965" s="18" t="n"/>
      <c r="Q965" s="16" t="n"/>
    </row>
    <row r="966">
      <c r="E966" s="20" t="n"/>
      <c r="F966" s="20" t="n"/>
      <c r="G966" s="20" t="n"/>
      <c r="H966" s="16" t="n"/>
      <c r="I966" s="16" t="n"/>
      <c r="J966" s="17" t="n"/>
      <c r="K966" s="17" t="n"/>
      <c r="L966" s="17" t="n"/>
      <c r="M966" s="16" t="n"/>
      <c r="N966" s="16" t="n"/>
      <c r="O966" s="18" t="n"/>
      <c r="P966" s="18" t="n"/>
      <c r="Q966" s="16" t="n"/>
    </row>
    <row r="967">
      <c r="E967" s="20" t="n"/>
      <c r="F967" s="20" t="n"/>
      <c r="G967" s="20" t="n"/>
      <c r="H967" s="16" t="n"/>
      <c r="I967" s="16" t="n"/>
      <c r="J967" s="17" t="n"/>
      <c r="K967" s="17" t="n"/>
      <c r="L967" s="17" t="n"/>
      <c r="M967" s="16" t="n"/>
      <c r="N967" s="16" t="n"/>
      <c r="O967" s="18" t="n"/>
      <c r="P967" s="18" t="n"/>
      <c r="Q967" s="16" t="n"/>
    </row>
    <row r="968">
      <c r="E968" s="20" t="n"/>
      <c r="F968" s="20" t="n"/>
      <c r="G968" s="20" t="n"/>
      <c r="H968" s="16" t="n"/>
      <c r="I968" s="16" t="n"/>
      <c r="J968" s="17" t="n"/>
      <c r="K968" s="17" t="n"/>
      <c r="L968" s="17" t="n"/>
      <c r="M968" s="16" t="n"/>
      <c r="N968" s="16" t="n"/>
      <c r="O968" s="18" t="n"/>
      <c r="P968" s="18" t="n"/>
      <c r="Q968" s="16" t="n"/>
    </row>
    <row r="969">
      <c r="E969" s="20" t="n"/>
      <c r="F969" s="20" t="n"/>
      <c r="G969" s="20" t="n"/>
      <c r="H969" s="16" t="n"/>
      <c r="I969" s="16" t="n"/>
      <c r="J969" s="17" t="n"/>
      <c r="K969" s="17" t="n"/>
      <c r="L969" s="17" t="n"/>
      <c r="M969" s="16" t="n"/>
      <c r="N969" s="16" t="n"/>
      <c r="O969" s="18" t="n"/>
      <c r="P969" s="18" t="n"/>
      <c r="Q969" s="16" t="n"/>
    </row>
    <row r="970">
      <c r="E970" s="20" t="n"/>
      <c r="F970" s="20" t="n"/>
      <c r="G970" s="20" t="n"/>
      <c r="H970" s="16" t="n"/>
      <c r="I970" s="16" t="n"/>
      <c r="J970" s="17" t="n"/>
      <c r="K970" s="17" t="n"/>
      <c r="L970" s="17" t="n"/>
      <c r="M970" s="16" t="n"/>
      <c r="N970" s="16" t="n"/>
      <c r="O970" s="18" t="n"/>
      <c r="P970" s="18" t="n"/>
      <c r="Q970" s="16" t="n"/>
    </row>
    <row r="971">
      <c r="E971" s="20" t="n"/>
      <c r="F971" s="20" t="n"/>
      <c r="G971" s="20" t="n"/>
      <c r="H971" s="16" t="n"/>
      <c r="I971" s="16" t="n"/>
      <c r="J971" s="17" t="n"/>
      <c r="K971" s="17" t="n"/>
      <c r="L971" s="17" t="n"/>
      <c r="M971" s="16" t="n"/>
      <c r="N971" s="16" t="n"/>
      <c r="O971" s="18" t="n"/>
      <c r="P971" s="18" t="n"/>
      <c r="Q971" s="16" t="n"/>
    </row>
    <row r="972">
      <c r="E972" s="20" t="n"/>
      <c r="F972" s="20" t="n"/>
      <c r="G972" s="20" t="n"/>
      <c r="H972" s="16" t="n"/>
      <c r="I972" s="16" t="n"/>
      <c r="J972" s="17" t="n"/>
      <c r="K972" s="17" t="n"/>
      <c r="L972" s="17" t="n"/>
      <c r="M972" s="16" t="n"/>
      <c r="N972" s="16" t="n"/>
      <c r="O972" s="18" t="n"/>
      <c r="P972" s="18" t="n"/>
      <c r="Q972" s="16" t="n"/>
    </row>
    <row r="973">
      <c r="E973" s="20" t="n"/>
      <c r="F973" s="20" t="n"/>
      <c r="G973" s="20" t="n"/>
      <c r="H973" s="16" t="n"/>
      <c r="I973" s="16" t="n"/>
      <c r="J973" s="17" t="n"/>
      <c r="K973" s="17" t="n"/>
      <c r="L973" s="17" t="n"/>
      <c r="M973" s="16" t="n"/>
      <c r="N973" s="16" t="n"/>
      <c r="O973" s="18" t="n"/>
      <c r="P973" s="18" t="n"/>
      <c r="Q973" s="16" t="n"/>
    </row>
    <row r="974">
      <c r="E974" s="20" t="n"/>
      <c r="F974" s="20" t="n"/>
      <c r="G974" s="20" t="n"/>
      <c r="H974" s="16" t="n"/>
      <c r="I974" s="16" t="n"/>
      <c r="J974" s="17" t="n"/>
      <c r="K974" s="17" t="n"/>
      <c r="L974" s="17" t="n"/>
      <c r="M974" s="16" t="n"/>
      <c r="N974" s="16" t="n"/>
      <c r="O974" s="18" t="n"/>
      <c r="P974" s="18" t="n"/>
      <c r="Q974" s="16" t="n"/>
    </row>
    <row r="975">
      <c r="E975" s="20" t="n"/>
      <c r="F975" s="20" t="n"/>
      <c r="G975" s="20" t="n"/>
      <c r="H975" s="16" t="n"/>
      <c r="I975" s="16" t="n"/>
      <c r="J975" s="17" t="n"/>
      <c r="K975" s="17" t="n"/>
      <c r="L975" s="17" t="n"/>
      <c r="M975" s="16" t="n"/>
      <c r="N975" s="16" t="n"/>
      <c r="O975" s="18" t="n"/>
      <c r="P975" s="18" t="n"/>
      <c r="Q975" s="16" t="n"/>
    </row>
    <row r="976">
      <c r="E976" s="20" t="n"/>
      <c r="F976" s="20" t="n"/>
      <c r="G976" s="20" t="n"/>
      <c r="H976" s="16" t="n"/>
      <c r="I976" s="16" t="n"/>
      <c r="J976" s="17" t="n"/>
      <c r="K976" s="17" t="n"/>
      <c r="L976" s="17" t="n"/>
      <c r="M976" s="16" t="n"/>
      <c r="N976" s="16" t="n"/>
      <c r="O976" s="18" t="n"/>
      <c r="P976" s="18" t="n"/>
      <c r="Q976" s="16" t="n"/>
    </row>
    <row r="977">
      <c r="E977" s="20" t="n"/>
      <c r="F977" s="20" t="n"/>
      <c r="G977" s="20" t="n"/>
      <c r="H977" s="16" t="n"/>
      <c r="I977" s="16" t="n"/>
      <c r="J977" s="17" t="n"/>
      <c r="K977" s="17" t="n"/>
      <c r="L977" s="17" t="n"/>
      <c r="M977" s="16" t="n"/>
      <c r="N977" s="16" t="n"/>
      <c r="O977" s="18" t="n"/>
      <c r="P977" s="18" t="n"/>
      <c r="Q977" s="16" t="n"/>
    </row>
    <row r="978">
      <c r="E978" s="20" t="n"/>
      <c r="F978" s="20" t="n"/>
      <c r="G978" s="20" t="n"/>
      <c r="H978" s="16" t="n"/>
      <c r="I978" s="16" t="n"/>
      <c r="J978" s="17" t="n"/>
      <c r="K978" s="17" t="n"/>
      <c r="L978" s="17" t="n"/>
      <c r="M978" s="16" t="n"/>
      <c r="N978" s="16" t="n"/>
      <c r="O978" s="18" t="n"/>
      <c r="P978" s="18" t="n"/>
      <c r="Q978" s="16" t="n"/>
    </row>
    <row r="979">
      <c r="E979" s="20" t="n"/>
      <c r="F979" s="20" t="n"/>
      <c r="G979" s="20" t="n"/>
      <c r="H979" s="16" t="n"/>
      <c r="I979" s="16" t="n"/>
      <c r="J979" s="17" t="n"/>
      <c r="K979" s="17" t="n"/>
      <c r="L979" s="17" t="n"/>
      <c r="M979" s="16" t="n"/>
      <c r="N979" s="16" t="n"/>
      <c r="O979" s="18" t="n"/>
      <c r="P979" s="18" t="n"/>
      <c r="Q979" s="16" t="n"/>
    </row>
    <row r="980">
      <c r="E980" s="20" t="n"/>
      <c r="F980" s="20" t="n"/>
      <c r="G980" s="20" t="n"/>
      <c r="H980" s="16" t="n"/>
      <c r="I980" s="16" t="n"/>
      <c r="J980" s="17" t="n"/>
      <c r="K980" s="17" t="n"/>
      <c r="L980" s="17" t="n"/>
      <c r="M980" s="16" t="n"/>
      <c r="N980" s="16" t="n"/>
      <c r="O980" s="18" t="n"/>
      <c r="P980" s="18" t="n"/>
      <c r="Q980" s="16" t="n"/>
    </row>
    <row r="981">
      <c r="E981" s="20" t="n"/>
      <c r="F981" s="20" t="n"/>
      <c r="G981" s="20" t="n"/>
      <c r="H981" s="16" t="n"/>
      <c r="I981" s="16" t="n"/>
      <c r="J981" s="17" t="n"/>
      <c r="K981" s="17" t="n"/>
      <c r="L981" s="17" t="n"/>
      <c r="M981" s="16" t="n"/>
      <c r="N981" s="16" t="n"/>
      <c r="O981" s="18" t="n"/>
      <c r="P981" s="18" t="n"/>
      <c r="Q981" s="16" t="n"/>
    </row>
    <row r="982">
      <c r="E982" s="20" t="n"/>
      <c r="F982" s="20" t="n"/>
      <c r="G982" s="20" t="n"/>
      <c r="H982" s="16" t="n"/>
      <c r="I982" s="16" t="n"/>
      <c r="J982" s="17" t="n"/>
      <c r="K982" s="17" t="n"/>
      <c r="L982" s="17" t="n"/>
      <c r="M982" s="16" t="n"/>
      <c r="N982" s="16" t="n"/>
      <c r="O982" s="18" t="n"/>
      <c r="P982" s="18" t="n"/>
      <c r="Q982" s="16" t="n"/>
    </row>
    <row r="983">
      <c r="E983" s="20" t="n"/>
      <c r="F983" s="20" t="n"/>
      <c r="G983" s="20" t="n"/>
      <c r="H983" s="16" t="n"/>
      <c r="I983" s="16" t="n"/>
      <c r="J983" s="17" t="n"/>
      <c r="K983" s="17" t="n"/>
      <c r="L983" s="17" t="n"/>
      <c r="M983" s="16" t="n"/>
      <c r="N983" s="16" t="n"/>
      <c r="O983" s="18" t="n"/>
      <c r="P983" s="18" t="n"/>
      <c r="Q983" s="16" t="n"/>
    </row>
    <row r="984">
      <c r="E984" s="20" t="n"/>
      <c r="F984" s="20" t="n"/>
      <c r="G984" s="20" t="n"/>
      <c r="H984" s="16" t="n"/>
      <c r="I984" s="16" t="n"/>
      <c r="J984" s="17" t="n"/>
      <c r="K984" s="17" t="n"/>
      <c r="L984" s="17" t="n"/>
      <c r="M984" s="16" t="n"/>
      <c r="N984" s="16" t="n"/>
      <c r="O984" s="18" t="n"/>
      <c r="P984" s="18" t="n"/>
      <c r="Q984" s="16" t="n"/>
    </row>
    <row r="985">
      <c r="E985" s="20" t="n"/>
      <c r="F985" s="20" t="n"/>
      <c r="G985" s="20" t="n"/>
      <c r="H985" s="16" t="n"/>
      <c r="I985" s="16" t="n"/>
      <c r="J985" s="17" t="n"/>
      <c r="K985" s="17" t="n"/>
      <c r="L985" s="17" t="n"/>
      <c r="M985" s="16" t="n"/>
      <c r="N985" s="16" t="n"/>
      <c r="O985" s="18" t="n"/>
      <c r="P985" s="18" t="n"/>
      <c r="Q985" s="16" t="n"/>
    </row>
    <row r="986">
      <c r="E986" s="20" t="n"/>
      <c r="F986" s="20" t="n"/>
      <c r="G986" s="20" t="n"/>
      <c r="H986" s="16" t="n"/>
      <c r="I986" s="16" t="n"/>
      <c r="J986" s="17" t="n"/>
      <c r="K986" s="17" t="n"/>
      <c r="L986" s="17" t="n"/>
      <c r="M986" s="16" t="n"/>
      <c r="N986" s="16" t="n"/>
      <c r="O986" s="18" t="n"/>
      <c r="P986" s="18" t="n"/>
      <c r="Q986" s="16" t="n"/>
    </row>
    <row r="987">
      <c r="E987" s="20" t="n"/>
      <c r="F987" s="20" t="n"/>
      <c r="G987" s="20" t="n"/>
      <c r="H987" s="16" t="n"/>
      <c r="I987" s="16" t="n"/>
      <c r="J987" s="17" t="n"/>
      <c r="K987" s="17" t="n"/>
      <c r="L987" s="17" t="n"/>
      <c r="M987" s="16" t="n"/>
      <c r="N987" s="16" t="n"/>
      <c r="O987" s="18" t="n"/>
      <c r="P987" s="18" t="n"/>
      <c r="Q987" s="16" t="n"/>
    </row>
    <row r="988">
      <c r="E988" s="20" t="n"/>
      <c r="F988" s="20" t="n"/>
      <c r="G988" s="20" t="n"/>
      <c r="H988" s="16" t="n"/>
      <c r="I988" s="16" t="n"/>
      <c r="J988" s="17" t="n"/>
      <c r="K988" s="17" t="n"/>
      <c r="L988" s="17" t="n"/>
      <c r="M988" s="16" t="n"/>
      <c r="N988" s="16" t="n"/>
      <c r="O988" s="18" t="n"/>
      <c r="P988" s="18" t="n"/>
      <c r="Q988" s="16" t="n"/>
    </row>
    <row r="989">
      <c r="E989" s="20" t="n"/>
      <c r="F989" s="20" t="n"/>
      <c r="G989" s="20" t="n"/>
      <c r="H989" s="16" t="n"/>
      <c r="I989" s="16" t="n"/>
      <c r="J989" s="17" t="n"/>
      <c r="K989" s="17" t="n"/>
      <c r="L989" s="17" t="n"/>
      <c r="M989" s="16" t="n"/>
      <c r="N989" s="16" t="n"/>
      <c r="O989" s="18" t="n"/>
      <c r="P989" s="18" t="n"/>
      <c r="Q989" s="16" t="n"/>
    </row>
    <row r="990">
      <c r="E990" s="20" t="n"/>
      <c r="F990" s="20" t="n"/>
      <c r="G990" s="20" t="n"/>
      <c r="H990" s="16" t="n"/>
      <c r="I990" s="16" t="n"/>
      <c r="J990" s="17" t="n"/>
      <c r="K990" s="17" t="n"/>
      <c r="L990" s="17" t="n"/>
      <c r="M990" s="16" t="n"/>
      <c r="N990" s="16" t="n"/>
      <c r="O990" s="18" t="n"/>
      <c r="P990" s="18" t="n"/>
      <c r="Q990" s="16" t="n"/>
    </row>
    <row r="991">
      <c r="E991" s="20" t="n"/>
      <c r="F991" s="20" t="n"/>
      <c r="G991" s="20" t="n"/>
      <c r="H991" s="16" t="n"/>
      <c r="I991" s="16" t="n"/>
      <c r="J991" s="17" t="n"/>
      <c r="K991" s="17" t="n"/>
      <c r="L991" s="17" t="n"/>
      <c r="M991" s="16" t="n"/>
      <c r="N991" s="16" t="n"/>
      <c r="O991" s="18" t="n"/>
      <c r="P991" s="18" t="n"/>
      <c r="Q991" s="16" t="n"/>
    </row>
    <row r="992">
      <c r="E992" s="20" t="n"/>
      <c r="F992" s="20" t="n"/>
      <c r="G992" s="20" t="n"/>
      <c r="H992" s="16" t="n"/>
      <c r="I992" s="16" t="n"/>
      <c r="J992" s="17" t="n"/>
      <c r="K992" s="17" t="n"/>
      <c r="L992" s="17" t="n"/>
      <c r="M992" s="16" t="n"/>
      <c r="N992" s="16" t="n"/>
      <c r="O992" s="18" t="n"/>
      <c r="P992" s="18" t="n"/>
      <c r="Q992" s="16" t="n"/>
    </row>
    <row r="993">
      <c r="E993" s="20" t="n"/>
      <c r="F993" s="20" t="n"/>
      <c r="G993" s="20" t="n"/>
      <c r="H993" s="16" t="n"/>
      <c r="I993" s="16" t="n"/>
      <c r="J993" s="17" t="n"/>
      <c r="K993" s="17" t="n"/>
      <c r="L993" s="17" t="n"/>
      <c r="M993" s="16" t="n"/>
      <c r="N993" s="16" t="n"/>
      <c r="O993" s="18" t="n"/>
      <c r="P993" s="18" t="n"/>
      <c r="Q993" s="16" t="n"/>
    </row>
    <row r="994">
      <c r="E994" s="20" t="n"/>
      <c r="F994" s="20" t="n"/>
      <c r="G994" s="20" t="n"/>
      <c r="H994" s="16" t="n"/>
      <c r="I994" s="16" t="n"/>
      <c r="J994" s="17" t="n"/>
      <c r="K994" s="17" t="n"/>
      <c r="L994" s="17" t="n"/>
      <c r="M994" s="16" t="n"/>
      <c r="N994" s="16" t="n"/>
      <c r="O994" s="18" t="n"/>
      <c r="P994" s="18" t="n"/>
      <c r="Q994" s="16" t="n"/>
    </row>
    <row r="995">
      <c r="E995" s="20" t="n"/>
      <c r="F995" s="20" t="n"/>
      <c r="G995" s="20" t="n"/>
      <c r="H995" s="16" t="n"/>
      <c r="I995" s="16" t="n"/>
      <c r="J995" s="17" t="n"/>
      <c r="K995" s="17" t="n"/>
      <c r="L995" s="17" t="n"/>
      <c r="M995" s="16" t="n"/>
      <c r="N995" s="16" t="n"/>
      <c r="O995" s="18" t="n"/>
      <c r="P995" s="18" t="n"/>
      <c r="Q995" s="16" t="n"/>
    </row>
    <row r="996">
      <c r="E996" s="20" t="n"/>
      <c r="F996" s="20" t="n"/>
      <c r="G996" s="20" t="n"/>
      <c r="H996" s="16" t="n"/>
      <c r="I996" s="16" t="n"/>
      <c r="J996" s="17" t="n"/>
      <c r="K996" s="17" t="n"/>
      <c r="L996" s="17" t="n"/>
      <c r="M996" s="16" t="n"/>
      <c r="N996" s="16" t="n"/>
      <c r="O996" s="18" t="n"/>
      <c r="P996" s="18" t="n"/>
      <c r="Q996" s="16" t="n"/>
    </row>
    <row r="997">
      <c r="E997" s="20" t="n"/>
      <c r="F997" s="20" t="n"/>
      <c r="G997" s="20" t="n"/>
      <c r="H997" s="16" t="n"/>
      <c r="I997" s="16" t="n"/>
      <c r="J997" s="17" t="n"/>
      <c r="K997" s="17" t="n"/>
      <c r="L997" s="17" t="n"/>
      <c r="M997" s="16" t="n"/>
      <c r="N997" s="16" t="n"/>
      <c r="O997" s="18" t="n"/>
      <c r="P997" s="18" t="n"/>
      <c r="Q997" s="16" t="n"/>
    </row>
    <row r="998">
      <c r="E998" s="20" t="n"/>
      <c r="F998" s="20" t="n"/>
      <c r="G998" s="20" t="n"/>
      <c r="H998" s="16" t="n"/>
      <c r="I998" s="16" t="n"/>
      <c r="J998" s="17" t="n"/>
      <c r="K998" s="17" t="n"/>
      <c r="L998" s="17" t="n"/>
      <c r="M998" s="16" t="n"/>
      <c r="N998" s="16" t="n"/>
      <c r="O998" s="18" t="n"/>
      <c r="P998" s="18" t="n"/>
      <c r="Q998" s="16" t="n"/>
    </row>
    <row r="999">
      <c r="E999" s="20" t="n"/>
      <c r="F999" s="20" t="n"/>
      <c r="G999" s="20" t="n"/>
      <c r="H999" s="16" t="n"/>
      <c r="I999" s="16" t="n"/>
      <c r="J999" s="17" t="n"/>
      <c r="K999" s="17" t="n"/>
      <c r="L999" s="17" t="n"/>
      <c r="M999" s="16" t="n"/>
      <c r="N999" s="16" t="n"/>
      <c r="O999" s="18" t="n"/>
      <c r="P999" s="18" t="n"/>
      <c r="Q999" s="16" t="n"/>
    </row>
    <row r="1000">
      <c r="E1000" s="20" t="n"/>
      <c r="F1000" s="20" t="n"/>
      <c r="G1000" s="20" t="n"/>
      <c r="H1000" s="16" t="n"/>
      <c r="I1000" s="16" t="n"/>
      <c r="J1000" s="17" t="n"/>
      <c r="K1000" s="17" t="n"/>
      <c r="L1000" s="17" t="n"/>
      <c r="M1000" s="16" t="n"/>
      <c r="N1000" s="16" t="n"/>
      <c r="O1000" s="18" t="n"/>
      <c r="P1000" s="18" t="n"/>
      <c r="Q1000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9.38" customWidth="1" style="21" min="1" max="1"/>
    <col width="14.75" customWidth="1" style="21" min="2" max="2"/>
    <col width="9.630000000000001" customWidth="1" style="21" min="3" max="3"/>
    <col width="9.75" customWidth="1" style="21" min="4" max="4"/>
    <col width="13.75" customWidth="1" style="21" min="5" max="5"/>
    <col width="13.63" customWidth="1" style="21" min="6" max="6"/>
    <col width="15.88" customWidth="1" style="21" min="7" max="7"/>
    <col width="25.88" customWidth="1" style="21" min="8" max="8"/>
    <col width="30.63" customWidth="1" style="21" min="9" max="9"/>
    <col width="30.75" customWidth="1" style="21" min="10" max="10"/>
    <col width="18.13" customWidth="1" style="21" min="11" max="11"/>
    <col width="18" customWidth="1" style="21" min="12" max="12"/>
    <col width="20.38" customWidth="1" style="21" min="13" max="13"/>
    <col width="17.13" customWidth="1" style="21" min="14" max="14"/>
    <col width="8.75" customWidth="1" style="21" min="15" max="19"/>
    <col width="21.5" customWidth="1" style="21" min="20" max="20"/>
    <col width="14.38" customWidth="1" style="21" min="21" max="21"/>
    <col width="22.13" customWidth="1" style="21" min="22" max="22"/>
    <col width="19" customWidth="1" style="21" min="23" max="23"/>
    <col width="13.88" customWidth="1" style="21" min="24" max="24"/>
    <col width="14.75" customWidth="1" style="21" min="25" max="25"/>
    <col width="14.63" customWidth="1" style="21" min="26" max="26"/>
    <col width="13.38" customWidth="1" style="21" min="27" max="27"/>
    <col width="18.25" customWidth="1" style="21" min="28" max="28"/>
    <col width="14.25" customWidth="1" style="21" min="29" max="29"/>
  </cols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match_type</t>
        </is>
      </c>
      <c r="D1" s="1" t="inlineStr">
        <is>
          <t>q_threshold</t>
        </is>
      </c>
      <c r="E1" s="1" t="inlineStr">
        <is>
          <t>tahoe_hits_count</t>
        </is>
      </c>
      <c r="F1" s="1" t="inlineStr">
        <is>
          <t>cmap_hits_count</t>
        </is>
      </c>
      <c r="G1" s="1" t="inlineStr">
        <is>
          <t>common_hits_count</t>
        </is>
      </c>
      <c r="H1" s="1" t="inlineStr">
        <is>
          <t>known_drugs_in_database_count</t>
        </is>
      </c>
      <c r="I1" s="1" t="inlineStr">
        <is>
          <t>known_drugs_available_in_cmap_count</t>
        </is>
      </c>
      <c r="J1" s="1" t="inlineStr">
        <is>
          <t>known_drugs_available_in_tahoe_count</t>
        </is>
      </c>
      <c r="K1" s="1" t="inlineStr">
        <is>
          <t>tahoe_in_known_count</t>
        </is>
      </c>
      <c r="L1" s="1" t="inlineStr">
        <is>
          <t>cmap_in_known_count</t>
        </is>
      </c>
      <c r="M1" s="1" t="inlineStr">
        <is>
          <t>common_in_known_count</t>
        </is>
      </c>
      <c r="N1" s="1" t="inlineStr">
        <is>
          <t>total_in_known_count</t>
        </is>
      </c>
      <c r="O1" s="1" t="inlineStr">
        <is>
          <t>phase_0.5</t>
        </is>
      </c>
      <c r="P1" s="1" t="inlineStr">
        <is>
          <t>phase_1.0</t>
        </is>
      </c>
      <c r="Q1" s="1" t="inlineStr">
        <is>
          <t>phase_2.0</t>
        </is>
      </c>
      <c r="R1" s="1" t="inlineStr">
        <is>
          <t>phase_3.0</t>
        </is>
      </c>
      <c r="S1" s="1" t="inlineStr">
        <is>
          <t>phase_4.0</t>
        </is>
      </c>
      <c r="T1" s="1" t="inlineStr">
        <is>
          <t>status_Active, not recruiting</t>
        </is>
      </c>
      <c r="U1" s="1" t="inlineStr">
        <is>
          <t>status_Completed</t>
        </is>
      </c>
      <c r="V1" s="1" t="inlineStr">
        <is>
          <t>status_Enrolling by invitation</t>
        </is>
      </c>
      <c r="W1" s="1" t="inlineStr">
        <is>
          <t>status_Not yet recruiting</t>
        </is>
      </c>
      <c r="X1" s="1" t="inlineStr">
        <is>
          <t>status_Recruiting</t>
        </is>
      </c>
      <c r="Y1" s="1" t="inlineStr">
        <is>
          <t>status_Suspended</t>
        </is>
      </c>
      <c r="Z1" s="1" t="inlineStr">
        <is>
          <t>status_Terminated</t>
        </is>
      </c>
      <c r="AA1" s="1" t="inlineStr">
        <is>
          <t>status_Unknown</t>
        </is>
      </c>
      <c r="AB1" s="1" t="inlineStr">
        <is>
          <t>status_Unknown status</t>
        </is>
      </c>
      <c r="AC1" s="1" t="inlineStr">
        <is>
          <t>status_Withdrawn</t>
        </is>
      </c>
    </row>
    <row r="2">
      <c r="A2" s="1" t="inlineStr">
        <is>
          <t>urticaria</t>
        </is>
      </c>
      <c r="B2" s="1" t="inlineStr">
        <is>
          <t>EFO_0005531</t>
        </is>
      </c>
      <c r="C2" s="1" t="inlineStr">
        <is>
          <t>name</t>
        </is>
      </c>
      <c r="D2" s="1" t="n">
        <v>0.1</v>
      </c>
      <c r="E2" s="1" t="n">
        <v>77</v>
      </c>
      <c r="F2" s="1" t="n">
        <v>924</v>
      </c>
      <c r="G2" s="1" t="n">
        <v>3</v>
      </c>
      <c r="H2" s="1" t="n">
        <v>527</v>
      </c>
      <c r="I2" s="1" t="n">
        <v>9</v>
      </c>
      <c r="J2" s="1" t="n">
        <v>4</v>
      </c>
      <c r="K2" s="1" t="n">
        <v>0</v>
      </c>
      <c r="L2" s="1" t="n">
        <v>7</v>
      </c>
      <c r="M2" s="1" t="n">
        <v>0</v>
      </c>
      <c r="N2" s="1" t="n">
        <v>7</v>
      </c>
      <c r="O2" s="1" t="n">
        <v>0</v>
      </c>
      <c r="P2" s="1" t="n">
        <v>4</v>
      </c>
      <c r="Q2" s="1" t="n">
        <v>3</v>
      </c>
      <c r="R2" s="1" t="n">
        <v>6</v>
      </c>
      <c r="S2" s="1" t="n">
        <v>1</v>
      </c>
      <c r="T2" s="1" t="n">
        <v>0</v>
      </c>
      <c r="U2" s="1" t="n">
        <v>8</v>
      </c>
      <c r="V2" s="1" t="n">
        <v>0</v>
      </c>
      <c r="W2" s="1" t="n">
        <v>0</v>
      </c>
      <c r="X2" s="1" t="n">
        <v>3</v>
      </c>
      <c r="Y2" s="1" t="n">
        <v>0</v>
      </c>
      <c r="Z2" s="1" t="n">
        <v>1</v>
      </c>
      <c r="AA2" s="1" t="n">
        <v>1</v>
      </c>
      <c r="AB2" s="1" t="n">
        <v>1</v>
      </c>
      <c r="AC2" s="1" t="n">
        <v>0</v>
      </c>
    </row>
    <row r="3">
      <c r="A3" s="1" t="inlineStr">
        <is>
          <t>intellectual disability</t>
        </is>
      </c>
      <c r="B3" s="1" t="inlineStr">
        <is>
          <t>HP_0001249</t>
        </is>
      </c>
      <c r="C3" s="1" t="inlineStr">
        <is>
          <t>name</t>
        </is>
      </c>
      <c r="D3" s="1" t="n">
        <v>0.1</v>
      </c>
      <c r="E3" s="1" t="n">
        <v>44</v>
      </c>
      <c r="F3" s="1" t="n">
        <v>33</v>
      </c>
      <c r="G3" s="1" t="n">
        <v>1</v>
      </c>
      <c r="H3" s="1" t="n">
        <v>91</v>
      </c>
      <c r="I3" s="1" t="n">
        <v>4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1" t="inlineStr">
        <is>
          <t>mental depression</t>
        </is>
      </c>
      <c r="B4" s="1" t="inlineStr">
        <is>
          <t>MONDO_0002050</t>
        </is>
      </c>
      <c r="C4" s="1" t="inlineStr">
        <is>
          <t>synonym</t>
        </is>
      </c>
      <c r="D4" s="1" t="n">
        <v>0.1</v>
      </c>
      <c r="E4" s="1" t="n">
        <v>185</v>
      </c>
      <c r="F4" s="1" t="n">
        <v>47</v>
      </c>
      <c r="G4" s="1" t="n">
        <v>1</v>
      </c>
      <c r="H4" s="1" t="n">
        <v>2252</v>
      </c>
      <c r="I4" s="1" t="n">
        <v>69</v>
      </c>
      <c r="J4" s="1" t="n">
        <v>13</v>
      </c>
      <c r="K4" s="1" t="n">
        <v>1</v>
      </c>
      <c r="L4" s="1" t="n">
        <v>1</v>
      </c>
      <c r="M4" s="1" t="n">
        <v>0</v>
      </c>
      <c r="N4" s="1" t="n">
        <v>2</v>
      </c>
      <c r="O4" s="1" t="n">
        <v>0</v>
      </c>
      <c r="P4" s="1" t="n">
        <v>1</v>
      </c>
      <c r="Q4" s="1" t="n">
        <v>0</v>
      </c>
      <c r="R4" s="1" t="n">
        <v>2</v>
      </c>
      <c r="S4" s="1" t="n">
        <v>2</v>
      </c>
      <c r="T4" s="1" t="n">
        <v>0</v>
      </c>
      <c r="U4" s="1" t="n">
        <v>3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1</v>
      </c>
      <c r="AC4" s="1" t="n">
        <v>0</v>
      </c>
    </row>
    <row r="5">
      <c r="A5" s="1" t="inlineStr">
        <is>
          <t>cervical cancer</t>
        </is>
      </c>
      <c r="B5" s="1" t="inlineStr">
        <is>
          <t>MONDO_0002974</t>
        </is>
      </c>
      <c r="C5" s="1" t="inlineStr">
        <is>
          <t>name</t>
        </is>
      </c>
      <c r="D5" s="1" t="n">
        <v>0.1</v>
      </c>
      <c r="E5" s="1" t="n">
        <v>192</v>
      </c>
      <c r="F5" s="1" t="n">
        <v>141</v>
      </c>
      <c r="G5" s="1" t="n">
        <v>4</v>
      </c>
      <c r="H5" s="1" t="n">
        <v>1023</v>
      </c>
      <c r="I5" s="1" t="n">
        <v>15</v>
      </c>
      <c r="J5" s="1" t="n">
        <v>23</v>
      </c>
      <c r="K5" s="1" t="n">
        <v>13</v>
      </c>
      <c r="L5" s="1" t="n">
        <v>2</v>
      </c>
      <c r="M5" s="1" t="n">
        <v>0</v>
      </c>
      <c r="N5" s="1" t="n">
        <v>15</v>
      </c>
      <c r="O5" s="1" t="n">
        <v>0</v>
      </c>
      <c r="P5" s="1" t="n">
        <v>9</v>
      </c>
      <c r="Q5" s="1" t="n">
        <v>16</v>
      </c>
      <c r="R5" s="1" t="n">
        <v>19</v>
      </c>
      <c r="S5" s="1" t="n">
        <v>0</v>
      </c>
      <c r="T5" s="1" t="n">
        <v>4</v>
      </c>
      <c r="U5" s="1" t="n">
        <v>16</v>
      </c>
      <c r="V5" s="1" t="n">
        <v>0</v>
      </c>
      <c r="W5" s="1" t="n">
        <v>4</v>
      </c>
      <c r="X5" s="1" t="n">
        <v>5</v>
      </c>
      <c r="Y5" s="1" t="n">
        <v>0</v>
      </c>
      <c r="Z5" s="1" t="n">
        <v>5</v>
      </c>
      <c r="AA5" s="1" t="n">
        <v>0</v>
      </c>
      <c r="AB5" s="1" t="n">
        <v>5</v>
      </c>
      <c r="AC5" s="1" t="n">
        <v>5</v>
      </c>
    </row>
    <row r="6">
      <c r="A6" s="1" t="inlineStr">
        <is>
          <t>colorectal adenocarcinoma</t>
        </is>
      </c>
      <c r="B6" s="1" t="inlineStr">
        <is>
          <t>EFO_0000365</t>
        </is>
      </c>
      <c r="C6" s="1" t="inlineStr">
        <is>
          <t>name</t>
        </is>
      </c>
      <c r="D6" s="1" t="n">
        <v>0.1</v>
      </c>
      <c r="E6" s="1" t="n">
        <v>278</v>
      </c>
      <c r="F6" s="1" t="n">
        <v>31</v>
      </c>
      <c r="G6" s="1" t="n">
        <v>1</v>
      </c>
      <c r="H6" s="1" t="n">
        <v>743</v>
      </c>
      <c r="I6" s="1" t="n">
        <v>12</v>
      </c>
      <c r="J6" s="1" t="n">
        <v>19</v>
      </c>
      <c r="K6" s="1" t="n">
        <v>16</v>
      </c>
      <c r="L6" s="1" t="n">
        <v>1</v>
      </c>
      <c r="M6" s="1" t="n">
        <v>0</v>
      </c>
      <c r="N6" s="1" t="n">
        <v>17</v>
      </c>
      <c r="O6" s="1" t="n">
        <v>0</v>
      </c>
      <c r="P6" s="1" t="n">
        <v>13</v>
      </c>
      <c r="Q6" s="1" t="n">
        <v>21</v>
      </c>
      <c r="R6" s="1" t="n">
        <v>4</v>
      </c>
      <c r="S6" s="1" t="n">
        <v>0</v>
      </c>
      <c r="T6" s="1" t="n">
        <v>10</v>
      </c>
      <c r="U6" s="1" t="n">
        <v>14</v>
      </c>
      <c r="V6" s="1" t="n">
        <v>0</v>
      </c>
      <c r="W6" s="1" t="n">
        <v>0</v>
      </c>
      <c r="X6" s="1" t="n">
        <v>3</v>
      </c>
      <c r="Y6" s="1" t="n">
        <v>0</v>
      </c>
      <c r="Z6" s="1" t="n">
        <v>5</v>
      </c>
      <c r="AA6" s="1" t="n">
        <v>0</v>
      </c>
      <c r="AB6" s="1" t="n">
        <v>3</v>
      </c>
      <c r="AC6" s="1" t="n">
        <v>3</v>
      </c>
    </row>
    <row r="7">
      <c r="A7" s="1" t="inlineStr">
        <is>
          <t>muscular dystrophy</t>
        </is>
      </c>
      <c r="B7" s="1" t="inlineStr">
        <is>
          <t>MONDO_0020121</t>
        </is>
      </c>
      <c r="C7" s="1" t="inlineStr">
        <is>
          <t>name</t>
        </is>
      </c>
      <c r="D7" s="1" t="n">
        <v>0.1</v>
      </c>
      <c r="E7" s="1" t="n">
        <v>62</v>
      </c>
      <c r="F7" s="1" t="n">
        <v>6</v>
      </c>
      <c r="G7" s="1" t="n">
        <v>0</v>
      </c>
      <c r="H7" s="1" t="n">
        <v>45</v>
      </c>
      <c r="I7" s="1" t="n">
        <v>1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</row>
    <row r="8">
      <c r="A8" s="1" t="inlineStr">
        <is>
          <t>malignant pleural mesothelioma</t>
        </is>
      </c>
      <c r="B8" s="1" t="inlineStr">
        <is>
          <t>EFO_0000770</t>
        </is>
      </c>
      <c r="C8" s="1" t="inlineStr">
        <is>
          <t>name</t>
        </is>
      </c>
      <c r="D8" s="1" t="n">
        <v>0.1</v>
      </c>
      <c r="E8" s="1" t="n">
        <v>213</v>
      </c>
      <c r="F8" s="1" t="n">
        <v>27</v>
      </c>
      <c r="G8" s="1" t="n">
        <v>0</v>
      </c>
      <c r="H8" s="1" t="n">
        <v>246</v>
      </c>
      <c r="I8" s="1" t="n">
        <v>3</v>
      </c>
      <c r="J8" s="1" t="n">
        <v>4</v>
      </c>
      <c r="K8" s="1" t="n">
        <v>3</v>
      </c>
      <c r="L8" s="1" t="n">
        <v>0</v>
      </c>
      <c r="M8" s="1" t="n">
        <v>0</v>
      </c>
      <c r="N8" s="1" t="n">
        <v>3</v>
      </c>
      <c r="O8" s="1" t="n">
        <v>0</v>
      </c>
      <c r="P8" s="1" t="n">
        <v>5</v>
      </c>
      <c r="Q8" s="1" t="n">
        <v>10</v>
      </c>
      <c r="R8" s="1" t="n">
        <v>3</v>
      </c>
      <c r="S8" s="1" t="n">
        <v>1</v>
      </c>
      <c r="T8" s="1" t="n">
        <v>5</v>
      </c>
      <c r="U8" s="1" t="n">
        <v>6</v>
      </c>
      <c r="V8" s="1" t="n">
        <v>0</v>
      </c>
      <c r="W8" s="1" t="n">
        <v>1</v>
      </c>
      <c r="X8" s="1" t="n">
        <v>3</v>
      </c>
      <c r="Y8" s="1" t="n">
        <v>0</v>
      </c>
      <c r="Z8" s="1" t="n">
        <v>0</v>
      </c>
      <c r="AA8" s="1" t="n">
        <v>1</v>
      </c>
      <c r="AB8" s="1" t="n">
        <v>2</v>
      </c>
      <c r="AC8" s="1" t="n">
        <v>1</v>
      </c>
    </row>
    <row r="9">
      <c r="A9" s="1" t="inlineStr">
        <is>
          <t>osteoarthritis</t>
        </is>
      </c>
      <c r="B9" s="1" t="inlineStr">
        <is>
          <t>MONDO_0005178</t>
        </is>
      </c>
      <c r="C9" s="1" t="inlineStr">
        <is>
          <t>name</t>
        </is>
      </c>
      <c r="D9" s="1" t="n">
        <v>0.1</v>
      </c>
      <c r="E9" s="1" t="n">
        <v>78</v>
      </c>
      <c r="F9" s="1" t="n">
        <v>634</v>
      </c>
      <c r="G9" s="1" t="n">
        <v>3</v>
      </c>
      <c r="H9" s="1" t="n">
        <v>1689</v>
      </c>
      <c r="I9" s="1" t="n">
        <v>35</v>
      </c>
      <c r="J9" s="1" t="n">
        <v>16</v>
      </c>
      <c r="K9" s="1" t="n">
        <v>2</v>
      </c>
      <c r="L9" s="1" t="n">
        <v>21</v>
      </c>
      <c r="M9" s="1" t="n">
        <v>1</v>
      </c>
      <c r="N9" s="1" t="n">
        <v>22</v>
      </c>
      <c r="O9" s="1" t="n">
        <v>1</v>
      </c>
      <c r="P9" s="1" t="n">
        <v>4</v>
      </c>
      <c r="Q9" s="1" t="n">
        <v>8</v>
      </c>
      <c r="R9" s="1" t="n">
        <v>19</v>
      </c>
      <c r="S9" s="1" t="n">
        <v>28</v>
      </c>
      <c r="T9" s="1" t="n">
        <v>0</v>
      </c>
      <c r="U9" s="1" t="n">
        <v>26</v>
      </c>
      <c r="V9" s="1" t="n">
        <v>1</v>
      </c>
      <c r="W9" s="1" t="n">
        <v>0</v>
      </c>
      <c r="X9" s="1" t="n">
        <v>4</v>
      </c>
      <c r="Y9" s="1" t="n">
        <v>0</v>
      </c>
      <c r="Z9" s="1" t="n">
        <v>5</v>
      </c>
      <c r="AA9" s="1" t="n">
        <v>16</v>
      </c>
      <c r="AB9" s="1" t="n">
        <v>7</v>
      </c>
      <c r="AC9" s="1" t="n">
        <v>1</v>
      </c>
    </row>
    <row r="10">
      <c r="A10" s="1" t="inlineStr">
        <is>
          <t>obesity</t>
        </is>
      </c>
      <c r="B10" s="1" t="inlineStr">
        <is>
          <t>EFO_0001073</t>
        </is>
      </c>
      <c r="C10" s="1" t="inlineStr">
        <is>
          <t>name</t>
        </is>
      </c>
      <c r="D10" s="1" t="n">
        <v>0.1</v>
      </c>
      <c r="E10" s="1" t="n">
        <v>184</v>
      </c>
      <c r="F10" s="1" t="n">
        <v>944</v>
      </c>
      <c r="G10" s="1" t="n">
        <v>16</v>
      </c>
      <c r="H10" s="1" t="n">
        <v>1702</v>
      </c>
      <c r="I10" s="1" t="n">
        <v>34</v>
      </c>
      <c r="J10" s="1" t="n">
        <v>12</v>
      </c>
      <c r="K10" s="1" t="n">
        <v>6</v>
      </c>
      <c r="L10" s="1" t="n">
        <v>25</v>
      </c>
      <c r="M10" s="1" t="n">
        <v>1</v>
      </c>
      <c r="N10" s="1" t="n">
        <v>30</v>
      </c>
      <c r="O10" s="1" t="n">
        <v>4</v>
      </c>
      <c r="P10" s="1" t="n">
        <v>19</v>
      </c>
      <c r="Q10" s="1" t="n">
        <v>27</v>
      </c>
      <c r="R10" s="1" t="n">
        <v>14</v>
      </c>
      <c r="S10" s="1" t="n">
        <v>4</v>
      </c>
      <c r="T10" s="1" t="n">
        <v>6</v>
      </c>
      <c r="U10" s="1" t="n">
        <v>36</v>
      </c>
      <c r="V10" s="1" t="n">
        <v>0</v>
      </c>
      <c r="W10" s="1" t="n">
        <v>3</v>
      </c>
      <c r="X10" s="1" t="n">
        <v>8</v>
      </c>
      <c r="Y10" s="1" t="n">
        <v>2</v>
      </c>
      <c r="Z10" s="1" t="n">
        <v>3</v>
      </c>
      <c r="AA10" s="1" t="n">
        <v>1</v>
      </c>
      <c r="AB10" s="1" t="n">
        <v>6</v>
      </c>
      <c r="AC10" s="1" t="n">
        <v>3</v>
      </c>
    </row>
    <row r="11">
      <c r="A11" s="1" t="inlineStr">
        <is>
          <t>glioblastoma multiforme</t>
        </is>
      </c>
      <c r="B11" s="1" t="inlineStr">
        <is>
          <t>EFO_0000519</t>
        </is>
      </c>
      <c r="C11" s="1" t="inlineStr">
        <is>
          <t>name</t>
        </is>
      </c>
      <c r="D11" s="1" t="n">
        <v>0.1</v>
      </c>
      <c r="E11" s="1" t="n">
        <v>245</v>
      </c>
      <c r="F11" s="1" t="n">
        <v>57</v>
      </c>
      <c r="G11" s="1" t="n">
        <v>2</v>
      </c>
      <c r="H11" s="1" t="n">
        <v>1726</v>
      </c>
      <c r="I11" s="1" t="n">
        <v>32</v>
      </c>
      <c r="J11" s="1" t="n">
        <v>50</v>
      </c>
      <c r="K11" s="1" t="n">
        <v>31</v>
      </c>
      <c r="L11" s="1" t="n">
        <v>5</v>
      </c>
      <c r="M11" s="1" t="n">
        <v>0</v>
      </c>
      <c r="N11" s="1" t="n">
        <v>36</v>
      </c>
      <c r="O11" s="1" t="n">
        <v>7</v>
      </c>
      <c r="P11" s="1" t="n">
        <v>33</v>
      </c>
      <c r="Q11" s="1" t="n">
        <v>33</v>
      </c>
      <c r="R11" s="1" t="n">
        <v>1</v>
      </c>
      <c r="S11" s="1" t="n">
        <v>0</v>
      </c>
      <c r="T11" s="1" t="n">
        <v>10</v>
      </c>
      <c r="U11" s="1" t="n">
        <v>26</v>
      </c>
      <c r="V11" s="1" t="n">
        <v>0</v>
      </c>
      <c r="W11" s="1" t="n">
        <v>2</v>
      </c>
      <c r="X11" s="1" t="n">
        <v>13</v>
      </c>
      <c r="Y11" s="1" t="n">
        <v>1</v>
      </c>
      <c r="Z11" s="1" t="n">
        <v>14</v>
      </c>
      <c r="AA11" s="1" t="n">
        <v>0</v>
      </c>
      <c r="AB11" s="1" t="n">
        <v>4</v>
      </c>
      <c r="AC11" s="1" t="n">
        <v>4</v>
      </c>
    </row>
    <row r="12">
      <c r="A12" s="1" t="inlineStr">
        <is>
          <t>epilepsy syndrome</t>
        </is>
      </c>
      <c r="B12" s="1" t="inlineStr">
        <is>
          <t>MONDO_0015650</t>
        </is>
      </c>
      <c r="C12" s="1" t="inlineStr">
        <is>
          <t>name</t>
        </is>
      </c>
      <c r="D12" s="1" t="n">
        <v>0.1</v>
      </c>
      <c r="E12" s="1" t="n">
        <v>289</v>
      </c>
      <c r="F12" s="1" t="n">
        <v>101</v>
      </c>
      <c r="G12" s="1" t="n">
        <v>2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</row>
    <row r="13">
      <c r="A13" s="1" t="inlineStr">
        <is>
          <t>Nicotine addiction</t>
        </is>
      </c>
      <c r="B13" s="1" t="inlineStr">
        <is>
          <t>EFO_0003768</t>
        </is>
      </c>
      <c r="C13" s="1" t="inlineStr">
        <is>
          <t>synonym</t>
        </is>
      </c>
      <c r="D13" s="1" t="n">
        <v>0.1</v>
      </c>
      <c r="E13" s="1" t="n">
        <v>241</v>
      </c>
      <c r="F13" s="1" t="n">
        <v>731</v>
      </c>
      <c r="G13" s="1" t="n">
        <v>18</v>
      </c>
      <c r="H13" s="1" t="n">
        <v>785</v>
      </c>
      <c r="I13" s="1" t="n">
        <v>27</v>
      </c>
      <c r="J13" s="1" t="n">
        <v>9</v>
      </c>
      <c r="K13" s="1" t="n">
        <v>5</v>
      </c>
      <c r="L13" s="1" t="n">
        <v>14</v>
      </c>
      <c r="M13" s="1" t="n">
        <v>1</v>
      </c>
      <c r="N13" s="1" t="n">
        <v>18</v>
      </c>
      <c r="O13" s="1" t="n">
        <v>5</v>
      </c>
      <c r="P13" s="1" t="n">
        <v>7</v>
      </c>
      <c r="Q13" s="1" t="n">
        <v>12</v>
      </c>
      <c r="R13" s="1" t="n">
        <v>5</v>
      </c>
      <c r="S13" s="1" t="n">
        <v>0</v>
      </c>
      <c r="T13" s="1" t="n">
        <v>0</v>
      </c>
      <c r="U13" s="1" t="n">
        <v>20</v>
      </c>
      <c r="V13" s="1" t="n">
        <v>0</v>
      </c>
      <c r="W13" s="1" t="n">
        <v>0</v>
      </c>
      <c r="X13" s="1" t="n">
        <v>2</v>
      </c>
      <c r="Y13" s="1" t="n">
        <v>0</v>
      </c>
      <c r="Z13" s="1" t="n">
        <v>4</v>
      </c>
      <c r="AA13" s="1" t="n">
        <v>1</v>
      </c>
      <c r="AB13" s="1" t="n">
        <v>2</v>
      </c>
      <c r="AC13" s="1" t="n">
        <v>0</v>
      </c>
    </row>
    <row r="14">
      <c r="A14" s="1" t="inlineStr">
        <is>
          <t>esophagus squamous cell carcinoma</t>
        </is>
      </c>
      <c r="B14" s="1" t="inlineStr">
        <is>
          <t>EFO_0005922</t>
        </is>
      </c>
      <c r="C14" s="1" t="inlineStr">
        <is>
          <t>synonym</t>
        </is>
      </c>
      <c r="D14" s="1" t="n">
        <v>0.1</v>
      </c>
      <c r="E14" s="1" t="n">
        <v>201</v>
      </c>
      <c r="F14" s="1" t="n">
        <v>144</v>
      </c>
      <c r="G14" s="1" t="n">
        <v>3</v>
      </c>
      <c r="H14" s="1" t="n">
        <v>512</v>
      </c>
      <c r="I14" s="1" t="n">
        <v>7</v>
      </c>
      <c r="J14" s="1" t="n">
        <v>12</v>
      </c>
      <c r="K14" s="1" t="n">
        <v>3</v>
      </c>
      <c r="L14" s="1" t="n">
        <v>0</v>
      </c>
      <c r="M14" s="1" t="n">
        <v>0</v>
      </c>
      <c r="N14" s="1" t="n">
        <v>3</v>
      </c>
      <c r="O14" s="1" t="n">
        <v>1</v>
      </c>
      <c r="P14" s="1" t="n">
        <v>8</v>
      </c>
      <c r="Q14" s="1" t="n">
        <v>12</v>
      </c>
      <c r="R14" s="1" t="n">
        <v>7</v>
      </c>
      <c r="S14" s="1" t="n">
        <v>0</v>
      </c>
      <c r="T14" s="1" t="n">
        <v>4</v>
      </c>
      <c r="U14" s="1" t="n">
        <v>6</v>
      </c>
      <c r="V14" s="1" t="n">
        <v>1</v>
      </c>
      <c r="W14" s="1" t="n">
        <v>3</v>
      </c>
      <c r="X14" s="1" t="n">
        <v>7</v>
      </c>
      <c r="Y14" s="1" t="n">
        <v>1</v>
      </c>
      <c r="Z14" s="1" t="n">
        <v>2</v>
      </c>
      <c r="AA14" s="1" t="n">
        <v>0</v>
      </c>
      <c r="AB14" s="1" t="n">
        <v>2</v>
      </c>
      <c r="AC14" s="1" t="n">
        <v>2</v>
      </c>
    </row>
    <row r="15">
      <c r="A15" s="1" t="inlineStr">
        <is>
          <t>NASH</t>
        </is>
      </c>
      <c r="B15" s="1" t="inlineStr">
        <is>
          <t>EFO_1001249</t>
        </is>
      </c>
      <c r="C15" s="1" t="inlineStr">
        <is>
          <t>synonym</t>
        </is>
      </c>
      <c r="D15" s="1" t="n">
        <v>0.1</v>
      </c>
      <c r="E15" s="1" t="n">
        <v>379</v>
      </c>
      <c r="F15" s="1" t="n">
        <v>771</v>
      </c>
      <c r="G15" s="1" t="n">
        <v>35</v>
      </c>
      <c r="H15" s="1" t="n">
        <v>486</v>
      </c>
      <c r="I15" s="1" t="n">
        <v>11</v>
      </c>
      <c r="J15" s="1" t="n">
        <v>6</v>
      </c>
      <c r="K15" s="1" t="n">
        <v>6</v>
      </c>
      <c r="L15" s="1" t="n">
        <v>10</v>
      </c>
      <c r="M15" s="1" t="n">
        <v>5</v>
      </c>
      <c r="N15" s="1" t="n">
        <v>11</v>
      </c>
      <c r="O15" s="1" t="n">
        <v>0</v>
      </c>
      <c r="P15" s="1" t="n">
        <v>6</v>
      </c>
      <c r="Q15" s="1" t="n">
        <v>8</v>
      </c>
      <c r="R15" s="1" t="n">
        <v>3</v>
      </c>
      <c r="S15" s="1" t="n">
        <v>0</v>
      </c>
      <c r="T15" s="1" t="n">
        <v>2</v>
      </c>
      <c r="U15" s="1" t="n">
        <v>11</v>
      </c>
      <c r="V15" s="1" t="n">
        <v>0</v>
      </c>
      <c r="W15" s="1" t="n">
        <v>0</v>
      </c>
      <c r="X15" s="1" t="n">
        <v>1</v>
      </c>
      <c r="Y15" s="1" t="n">
        <v>0</v>
      </c>
      <c r="Z15" s="1" t="n">
        <v>0</v>
      </c>
      <c r="AA15" s="1" t="n">
        <v>0</v>
      </c>
      <c r="AB15" s="1" t="n">
        <v>2</v>
      </c>
      <c r="AC15" s="1" t="n">
        <v>1</v>
      </c>
    </row>
    <row r="16">
      <c r="A16" s="1" t="inlineStr">
        <is>
          <t>hepatitis C virus related hepatocellular carcinoma</t>
        </is>
      </c>
      <c r="B16" s="1" t="inlineStr">
        <is>
          <t>EFO_0008504</t>
        </is>
      </c>
      <c r="C16" s="1" t="inlineStr">
        <is>
          <t>synonym</t>
        </is>
      </c>
      <c r="D16" s="1" t="n">
        <v>0.1</v>
      </c>
      <c r="E16" s="1" t="n">
        <v>321</v>
      </c>
      <c r="F16" s="1" t="n">
        <v>122</v>
      </c>
      <c r="G16" s="1" t="n">
        <v>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</row>
    <row r="17">
      <c r="A17" s="1" t="inlineStr">
        <is>
          <t>Premature aging</t>
        </is>
      </c>
      <c r="B17" s="1" t="inlineStr">
        <is>
          <t>MONDO_0019303</t>
        </is>
      </c>
      <c r="C17" s="1" t="inlineStr">
        <is>
          <t>synonym</t>
        </is>
      </c>
      <c r="D17" s="1" t="n">
        <v>0.1</v>
      </c>
      <c r="E17" s="1" t="n">
        <v>205</v>
      </c>
      <c r="F17" s="1" t="n">
        <v>408</v>
      </c>
      <c r="G17" s="1" t="n">
        <v>6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</row>
    <row r="18">
      <c r="A18" s="1" t="inlineStr">
        <is>
          <t>melanoma in situ</t>
        </is>
      </c>
      <c r="B18" s="1" t="n">
        <v>0</v>
      </c>
      <c r="C18" s="1" t="inlineStr">
        <is>
          <t>no_match</t>
        </is>
      </c>
      <c r="D18" s="1" t="n">
        <v>0.1</v>
      </c>
      <c r="E18" s="1" t="n">
        <v>340</v>
      </c>
      <c r="F18" s="1" t="n">
        <v>24</v>
      </c>
      <c r="G18" s="1" t="n">
        <v>3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</row>
    <row r="19">
      <c r="A19" s="1" t="inlineStr">
        <is>
          <t>actinic keratosis</t>
        </is>
      </c>
      <c r="B19" s="1" t="inlineStr">
        <is>
          <t>EFO_0002496</t>
        </is>
      </c>
      <c r="C19" s="1" t="inlineStr">
        <is>
          <t>name</t>
        </is>
      </c>
      <c r="D19" s="1" t="n">
        <v>0.1</v>
      </c>
      <c r="E19" s="1" t="n">
        <v>379</v>
      </c>
      <c r="F19" s="1" t="n">
        <v>47</v>
      </c>
      <c r="G19" s="1" t="n">
        <v>2</v>
      </c>
      <c r="H19" s="1" t="n">
        <v>478</v>
      </c>
      <c r="I19" s="1" t="n">
        <v>11</v>
      </c>
      <c r="J19" s="1" t="n">
        <v>5</v>
      </c>
      <c r="K19" s="1" t="n">
        <v>5</v>
      </c>
      <c r="L19" s="1" t="n">
        <v>2</v>
      </c>
      <c r="M19" s="1" t="n">
        <v>0</v>
      </c>
      <c r="N19" s="1" t="n">
        <v>7</v>
      </c>
      <c r="O19" s="1" t="n">
        <v>1</v>
      </c>
      <c r="P19" s="1" t="n">
        <v>1</v>
      </c>
      <c r="Q19" s="1" t="n">
        <v>5</v>
      </c>
      <c r="R19" s="1" t="n">
        <v>2</v>
      </c>
      <c r="S19" s="1" t="n">
        <v>4</v>
      </c>
      <c r="T19" s="1" t="n">
        <v>0</v>
      </c>
      <c r="U19" s="1" t="n">
        <v>7</v>
      </c>
      <c r="V19" s="1" t="n">
        <v>1</v>
      </c>
      <c r="W19" s="1" t="n">
        <v>0</v>
      </c>
      <c r="X19" s="1" t="n">
        <v>2</v>
      </c>
      <c r="Y19" s="1" t="n">
        <v>0</v>
      </c>
      <c r="Z19" s="1" t="n">
        <v>1</v>
      </c>
      <c r="AA19" s="1" t="n">
        <v>1</v>
      </c>
      <c r="AB19" s="1" t="n">
        <v>1</v>
      </c>
      <c r="AC19" s="1" t="n">
        <v>0</v>
      </c>
    </row>
    <row r="20">
      <c r="A20" s="1" t="inlineStr">
        <is>
          <t>astrocytoma</t>
        </is>
      </c>
      <c r="B20" s="1" t="inlineStr">
        <is>
          <t>EFO_0000272</t>
        </is>
      </c>
      <c r="C20" s="1" t="inlineStr">
        <is>
          <t>name</t>
        </is>
      </c>
      <c r="D20" s="1" t="n">
        <v>0.1</v>
      </c>
      <c r="E20" s="1" t="n">
        <v>166</v>
      </c>
      <c r="F20" s="1" t="n">
        <v>71</v>
      </c>
      <c r="G20" s="1" t="n">
        <v>2</v>
      </c>
      <c r="H20" s="1" t="n">
        <v>267</v>
      </c>
      <c r="I20" s="1" t="n">
        <v>6</v>
      </c>
      <c r="J20" s="1" t="n">
        <v>8</v>
      </c>
      <c r="K20" s="1" t="n">
        <v>1</v>
      </c>
      <c r="L20" s="1" t="n">
        <v>0</v>
      </c>
      <c r="M20" s="1" t="n">
        <v>0</v>
      </c>
      <c r="N20" s="1" t="n">
        <v>1</v>
      </c>
      <c r="O20" s="1" t="n">
        <v>0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</row>
    <row r="21">
      <c r="A21" s="1" t="inlineStr">
        <is>
          <t>fragile X syndrome</t>
        </is>
      </c>
      <c r="B21" s="1" t="inlineStr">
        <is>
          <t>MONDO_0010383</t>
        </is>
      </c>
      <c r="C21" s="1" t="inlineStr">
        <is>
          <t>name</t>
        </is>
      </c>
      <c r="D21" s="1" t="n">
        <v>0.1</v>
      </c>
      <c r="E21" s="1" t="n">
        <v>379</v>
      </c>
      <c r="F21" s="1" t="n">
        <v>24</v>
      </c>
      <c r="G21" s="1" t="n">
        <v>2</v>
      </c>
      <c r="H21" s="1" t="n">
        <v>163</v>
      </c>
      <c r="I21" s="1" t="n">
        <v>6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</row>
    <row r="22">
      <c r="A22" s="1" t="inlineStr">
        <is>
          <t>parasitic protozoa infectious disease</t>
        </is>
      </c>
      <c r="B22" s="1" t="inlineStr">
        <is>
          <t>MONDO_0002428</t>
        </is>
      </c>
      <c r="C22" s="1" t="inlineStr">
        <is>
          <t>synonym</t>
        </is>
      </c>
      <c r="D22" s="1" t="n">
        <v>0.1</v>
      </c>
      <c r="E22" s="1" t="n">
        <v>72</v>
      </c>
      <c r="F22" s="1" t="n">
        <v>690</v>
      </c>
      <c r="G22" s="1" t="n">
        <v>4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</row>
    <row r="23">
      <c r="A23" s="1" t="inlineStr">
        <is>
          <t>lung squamous cell carcinoma</t>
        </is>
      </c>
      <c r="B23" s="1" t="inlineStr">
        <is>
          <t>EFO_0000708</t>
        </is>
      </c>
      <c r="C23" s="1" t="inlineStr">
        <is>
          <t>synonym</t>
        </is>
      </c>
      <c r="D23" s="1" t="n">
        <v>0.1</v>
      </c>
      <c r="E23" s="1" t="n">
        <v>361</v>
      </c>
      <c r="F23" s="1" t="n">
        <v>27</v>
      </c>
      <c r="G23" s="1" t="n">
        <v>0</v>
      </c>
      <c r="H23" s="1" t="n">
        <v>391</v>
      </c>
      <c r="I23" s="1" t="n">
        <v>6</v>
      </c>
      <c r="J23" s="1" t="n">
        <v>14</v>
      </c>
      <c r="K23" s="1" t="n">
        <v>13</v>
      </c>
      <c r="L23" s="1" t="n">
        <v>0</v>
      </c>
      <c r="M23" s="1" t="n">
        <v>0</v>
      </c>
      <c r="N23" s="1" t="n">
        <v>13</v>
      </c>
      <c r="O23" s="1" t="n">
        <v>0</v>
      </c>
      <c r="P23" s="1" t="n">
        <v>9</v>
      </c>
      <c r="Q23" s="1" t="n">
        <v>17</v>
      </c>
      <c r="R23" s="1" t="n">
        <v>4</v>
      </c>
      <c r="S23" s="1" t="n">
        <v>0</v>
      </c>
      <c r="T23" s="1" t="n">
        <v>3</v>
      </c>
      <c r="U23" s="1" t="n">
        <v>10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6</v>
      </c>
      <c r="AA23" s="1" t="n">
        <v>0</v>
      </c>
      <c r="AB23" s="1" t="n">
        <v>5</v>
      </c>
      <c r="AC23" s="1" t="n">
        <v>6</v>
      </c>
    </row>
    <row r="24">
      <c r="A24" s="1" t="inlineStr">
        <is>
          <t>arthritis</t>
        </is>
      </c>
      <c r="B24" s="1" t="inlineStr">
        <is>
          <t>EFO_0005856</t>
        </is>
      </c>
      <c r="C24" s="1" t="inlineStr">
        <is>
          <t>name</t>
        </is>
      </c>
      <c r="D24" s="1" t="n">
        <v>0.1</v>
      </c>
      <c r="E24" s="1" t="n">
        <v>83</v>
      </c>
      <c r="F24" s="1" t="n">
        <v>82</v>
      </c>
      <c r="G24" s="1" t="n">
        <v>1</v>
      </c>
      <c r="H24" s="1" t="n">
        <v>435</v>
      </c>
      <c r="I24" s="1" t="n">
        <v>6</v>
      </c>
      <c r="J24" s="1" t="n">
        <v>2</v>
      </c>
      <c r="K24" s="1" t="n">
        <v>0</v>
      </c>
      <c r="L24" s="1" t="n">
        <v>2</v>
      </c>
      <c r="M24" s="1" t="n">
        <v>0</v>
      </c>
      <c r="N24" s="1" t="n">
        <v>2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2</v>
      </c>
      <c r="AB24" s="1" t="n">
        <v>0</v>
      </c>
      <c r="AC24" s="1" t="n">
        <v>0</v>
      </c>
    </row>
    <row r="25">
      <c r="A25" s="1" t="inlineStr">
        <is>
          <t>melanoma</t>
        </is>
      </c>
      <c r="B25" s="1" t="inlineStr">
        <is>
          <t>EFO_0000756</t>
        </is>
      </c>
      <c r="C25" s="1" t="inlineStr">
        <is>
          <t>name</t>
        </is>
      </c>
      <c r="D25" s="1" t="n">
        <v>0.1</v>
      </c>
      <c r="E25" s="1" t="n">
        <v>31</v>
      </c>
      <c r="F25" s="1" t="n">
        <v>929</v>
      </c>
      <c r="G25" s="1" t="n">
        <v>1</v>
      </c>
      <c r="H25" s="1" t="n">
        <v>2142</v>
      </c>
      <c r="I25" s="1" t="n">
        <v>39</v>
      </c>
      <c r="J25" s="1" t="n">
        <v>39</v>
      </c>
      <c r="K25" s="1" t="n">
        <v>3</v>
      </c>
      <c r="L25" s="1" t="n">
        <v>25</v>
      </c>
      <c r="M25" s="1" t="n">
        <v>0</v>
      </c>
      <c r="N25" s="1" t="n">
        <v>28</v>
      </c>
      <c r="O25" s="1" t="n">
        <v>2</v>
      </c>
      <c r="P25" s="1" t="n">
        <v>26</v>
      </c>
      <c r="Q25" s="1" t="n">
        <v>33</v>
      </c>
      <c r="R25" s="1" t="n">
        <v>5</v>
      </c>
      <c r="S25" s="1" t="n">
        <v>1</v>
      </c>
      <c r="T25" s="1" t="n">
        <v>7</v>
      </c>
      <c r="U25" s="1" t="n">
        <v>21</v>
      </c>
      <c r="V25" s="1" t="n">
        <v>0</v>
      </c>
      <c r="W25" s="1" t="n">
        <v>0</v>
      </c>
      <c r="X25" s="1" t="n">
        <v>12</v>
      </c>
      <c r="Y25" s="1" t="n">
        <v>0</v>
      </c>
      <c r="Z25" s="1" t="n">
        <v>15</v>
      </c>
      <c r="AA25" s="1" t="n">
        <v>1</v>
      </c>
      <c r="AB25" s="1" t="n">
        <v>4</v>
      </c>
      <c r="AC25" s="1" t="n">
        <v>7</v>
      </c>
    </row>
    <row r="26">
      <c r="A26" s="1" t="inlineStr">
        <is>
          <t>pulmonary hypertension</t>
        </is>
      </c>
      <c r="B26" s="1" t="inlineStr">
        <is>
          <t>MONDO_0005149</t>
        </is>
      </c>
      <c r="C26" s="1" t="inlineStr">
        <is>
          <t>name</t>
        </is>
      </c>
      <c r="D26" s="1" t="n">
        <v>0.1</v>
      </c>
      <c r="E26" s="1" t="n">
        <v>209</v>
      </c>
      <c r="F26" s="1" t="n">
        <v>643</v>
      </c>
      <c r="G26" s="1" t="n">
        <v>10</v>
      </c>
      <c r="H26" s="1" t="n">
        <v>447</v>
      </c>
      <c r="I26" s="1" t="n">
        <v>8</v>
      </c>
      <c r="J26" s="1" t="n">
        <v>7</v>
      </c>
      <c r="K26" s="1" t="n">
        <v>6</v>
      </c>
      <c r="L26" s="1" t="n">
        <v>5</v>
      </c>
      <c r="M26" s="1" t="n">
        <v>0</v>
      </c>
      <c r="N26" s="1" t="n">
        <v>11</v>
      </c>
      <c r="O26" s="1" t="n">
        <v>1</v>
      </c>
      <c r="P26" s="1" t="n">
        <v>4</v>
      </c>
      <c r="Q26" s="1" t="n">
        <v>10</v>
      </c>
      <c r="R26" s="1" t="n">
        <v>8</v>
      </c>
      <c r="S26" s="1" t="n">
        <v>4</v>
      </c>
      <c r="T26" s="1" t="n">
        <v>0</v>
      </c>
      <c r="U26" s="1" t="n">
        <v>15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5</v>
      </c>
      <c r="AA26" s="1" t="n">
        <v>3</v>
      </c>
      <c r="AB26" s="1" t="n">
        <v>2</v>
      </c>
      <c r="AC26" s="1" t="n">
        <v>2</v>
      </c>
    </row>
    <row r="27">
      <c r="A27" s="1" t="inlineStr">
        <is>
          <t>Anaplasmosis</t>
        </is>
      </c>
      <c r="B27" s="1" t="inlineStr">
        <is>
          <t>MONDO_0025303</t>
        </is>
      </c>
      <c r="C27" s="1" t="inlineStr">
        <is>
          <t>name</t>
        </is>
      </c>
      <c r="D27" s="1" t="n">
        <v>0.1</v>
      </c>
      <c r="E27" s="1" t="n">
        <v>90</v>
      </c>
      <c r="F27" s="1" t="n">
        <v>108</v>
      </c>
      <c r="G27" s="1" t="n">
        <v>1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</row>
    <row r="28">
      <c r="A28" s="1" t="inlineStr">
        <is>
          <t>pre-eclampsia</t>
        </is>
      </c>
      <c r="B28" s="1" t="inlineStr">
        <is>
          <t>EFO_0000668</t>
        </is>
      </c>
      <c r="C28" s="1" t="inlineStr">
        <is>
          <t>name</t>
        </is>
      </c>
      <c r="D28" s="1" t="n">
        <v>0.1</v>
      </c>
      <c r="E28" s="1" t="n">
        <v>109</v>
      </c>
      <c r="F28" s="1" t="n">
        <v>210</v>
      </c>
      <c r="G28" s="1" t="n">
        <v>1</v>
      </c>
      <c r="H28" s="1" t="n">
        <v>756</v>
      </c>
      <c r="I28" s="1" t="n">
        <v>21</v>
      </c>
      <c r="J28" s="1" t="n">
        <v>5</v>
      </c>
      <c r="K28" s="1" t="n">
        <v>0</v>
      </c>
      <c r="L28" s="1" t="n">
        <v>5</v>
      </c>
      <c r="M28" s="1" t="n">
        <v>0</v>
      </c>
      <c r="N28" s="1" t="n">
        <v>5</v>
      </c>
      <c r="O28" s="1" t="n">
        <v>2</v>
      </c>
      <c r="P28" s="1" t="n">
        <v>1</v>
      </c>
      <c r="Q28" s="1" t="n">
        <v>3</v>
      </c>
      <c r="R28" s="1" t="n">
        <v>5</v>
      </c>
      <c r="S28" s="1" t="n">
        <v>2</v>
      </c>
      <c r="T28" s="1" t="n">
        <v>0</v>
      </c>
      <c r="U28" s="1" t="n">
        <v>2</v>
      </c>
      <c r="V28" s="1" t="n">
        <v>1</v>
      </c>
      <c r="W28" s="1" t="n">
        <v>0</v>
      </c>
      <c r="X28" s="1" t="n">
        <v>4</v>
      </c>
      <c r="Y28" s="1" t="n">
        <v>0</v>
      </c>
      <c r="Z28" s="1" t="n">
        <v>3</v>
      </c>
      <c r="AA28" s="1" t="n">
        <v>2</v>
      </c>
      <c r="AB28" s="1" t="n">
        <v>1</v>
      </c>
      <c r="AC28" s="1" t="n">
        <v>0</v>
      </c>
    </row>
    <row r="29">
      <c r="A29" s="1" t="inlineStr">
        <is>
          <t>Barrett's esophagus</t>
        </is>
      </c>
      <c r="B29" s="1" t="inlineStr">
        <is>
          <t>EFO_0000280</t>
        </is>
      </c>
      <c r="C29" s="1" t="inlineStr">
        <is>
          <t>name</t>
        </is>
      </c>
      <c r="D29" s="1" t="n">
        <v>0.1</v>
      </c>
      <c r="E29" s="1" t="n">
        <v>308</v>
      </c>
      <c r="F29" s="1" t="n">
        <v>1</v>
      </c>
      <c r="G29" s="1" t="n">
        <v>1</v>
      </c>
      <c r="H29" s="1" t="n">
        <v>230</v>
      </c>
      <c r="I29" s="1" t="n">
        <v>7</v>
      </c>
      <c r="J29" s="1" t="n">
        <v>2</v>
      </c>
      <c r="K29" s="1" t="n">
        <v>1</v>
      </c>
      <c r="L29" s="1" t="n">
        <v>0</v>
      </c>
      <c r="M29" s="1" t="n">
        <v>0</v>
      </c>
      <c r="N29" s="1" t="n">
        <v>1</v>
      </c>
      <c r="O29" s="1" t="n">
        <v>0</v>
      </c>
      <c r="P29" s="1" t="n">
        <v>0</v>
      </c>
      <c r="Q29" s="1" t="n">
        <v>1</v>
      </c>
      <c r="R29" s="1" t="n">
        <v>0</v>
      </c>
      <c r="S29" s="1" t="n">
        <v>0</v>
      </c>
      <c r="T29" s="1" t="n">
        <v>1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</row>
    <row r="30">
      <c r="A30" s="1" t="inlineStr">
        <is>
          <t>acute myeloid leukemia</t>
        </is>
      </c>
      <c r="B30" s="1" t="inlineStr">
        <is>
          <t>EFO_0000222</t>
        </is>
      </c>
      <c r="C30" s="1" t="inlineStr">
        <is>
          <t>name</t>
        </is>
      </c>
      <c r="D30" s="1" t="n">
        <v>0.1</v>
      </c>
      <c r="E30" s="1" t="n">
        <v>90</v>
      </c>
      <c r="F30" s="1" t="n">
        <v>33</v>
      </c>
      <c r="G30" s="1" t="n">
        <v>0</v>
      </c>
      <c r="H30" s="1" t="n">
        <v>2215</v>
      </c>
      <c r="I30" s="1" t="n">
        <v>41</v>
      </c>
      <c r="J30" s="1" t="n">
        <v>52</v>
      </c>
      <c r="K30" s="1" t="n">
        <v>12</v>
      </c>
      <c r="L30" s="1" t="n">
        <v>4</v>
      </c>
      <c r="M30" s="1" t="n">
        <v>0</v>
      </c>
      <c r="N30" s="1" t="n">
        <v>16</v>
      </c>
      <c r="O30" s="1" t="n">
        <v>2</v>
      </c>
      <c r="P30" s="1" t="n">
        <v>39</v>
      </c>
      <c r="Q30" s="1" t="n">
        <v>30</v>
      </c>
      <c r="R30" s="1" t="n">
        <v>21</v>
      </c>
      <c r="S30" s="1" t="n">
        <v>7</v>
      </c>
      <c r="T30" s="1" t="n">
        <v>14</v>
      </c>
      <c r="U30" s="1" t="n">
        <v>29</v>
      </c>
      <c r="V30" s="1" t="n">
        <v>1</v>
      </c>
      <c r="W30" s="1" t="n">
        <v>5</v>
      </c>
      <c r="X30" s="1" t="n">
        <v>15</v>
      </c>
      <c r="Y30" s="1" t="n">
        <v>3</v>
      </c>
      <c r="Z30" s="1" t="n">
        <v>14</v>
      </c>
      <c r="AA30" s="1" t="n">
        <v>2</v>
      </c>
      <c r="AB30" s="1" t="n">
        <v>10</v>
      </c>
      <c r="AC30" s="1" t="n">
        <v>6</v>
      </c>
    </row>
    <row r="31">
      <c r="A31" s="1" t="inlineStr">
        <is>
          <t>Diabetic Nephropathy</t>
        </is>
      </c>
      <c r="B31" s="1" t="inlineStr">
        <is>
          <t>EFO_0000401</t>
        </is>
      </c>
      <c r="C31" s="1" t="inlineStr">
        <is>
          <t>name</t>
        </is>
      </c>
      <c r="D31" s="1" t="n">
        <v>0.1</v>
      </c>
      <c r="E31" s="1" t="n">
        <v>326</v>
      </c>
      <c r="F31" s="1" t="n">
        <v>11</v>
      </c>
      <c r="G31" s="1" t="n">
        <v>0</v>
      </c>
      <c r="H31" s="1" t="n">
        <v>507</v>
      </c>
      <c r="I31" s="1" t="n">
        <v>11</v>
      </c>
      <c r="J31" s="1" t="n">
        <v>9</v>
      </c>
      <c r="K31" s="1" t="n">
        <v>9</v>
      </c>
      <c r="L31" s="1" t="n">
        <v>0</v>
      </c>
      <c r="M31" s="1" t="n">
        <v>0</v>
      </c>
      <c r="N31" s="1" t="n">
        <v>9</v>
      </c>
      <c r="O31" s="1" t="n">
        <v>0</v>
      </c>
      <c r="P31" s="1" t="n">
        <v>1</v>
      </c>
      <c r="Q31" s="1" t="n">
        <v>7</v>
      </c>
      <c r="R31" s="1" t="n">
        <v>2</v>
      </c>
      <c r="S31" s="1" t="n">
        <v>1</v>
      </c>
      <c r="T31" s="1" t="n">
        <v>0</v>
      </c>
      <c r="U31" s="1" t="n">
        <v>8</v>
      </c>
      <c r="V31" s="1" t="n">
        <v>0</v>
      </c>
      <c r="W31" s="1" t="n">
        <v>0</v>
      </c>
      <c r="X31" s="1" t="n">
        <v>2</v>
      </c>
      <c r="Y31" s="1" t="n">
        <v>0</v>
      </c>
      <c r="Z31" s="1" t="n">
        <v>0</v>
      </c>
      <c r="AA31" s="1" t="n">
        <v>1</v>
      </c>
      <c r="AB31" s="1" t="n">
        <v>0</v>
      </c>
      <c r="AC31" s="1" t="n">
        <v>0</v>
      </c>
    </row>
    <row r="32">
      <c r="A32" s="1" t="inlineStr">
        <is>
          <t>idiopathic pulmonary fibrosis</t>
        </is>
      </c>
      <c r="B32" s="1" t="inlineStr">
        <is>
          <t>EFO_0000768</t>
        </is>
      </c>
      <c r="C32" s="1" t="inlineStr">
        <is>
          <t>name</t>
        </is>
      </c>
      <c r="D32" s="1" t="n">
        <v>0.1</v>
      </c>
      <c r="E32" s="1" t="n">
        <v>148</v>
      </c>
      <c r="F32" s="1" t="n">
        <v>0</v>
      </c>
      <c r="G32" s="1" t="n">
        <v>0</v>
      </c>
      <c r="H32" s="1" t="n">
        <v>644</v>
      </c>
      <c r="I32" s="1" t="n">
        <v>13</v>
      </c>
      <c r="J32" s="1" t="n">
        <v>11</v>
      </c>
      <c r="K32" s="1" t="n">
        <v>4</v>
      </c>
      <c r="L32" s="1" t="n">
        <v>0</v>
      </c>
      <c r="M32" s="1" t="n">
        <v>0</v>
      </c>
      <c r="N32" s="1" t="n">
        <v>4</v>
      </c>
      <c r="O32" s="1" t="n">
        <v>1</v>
      </c>
      <c r="P32" s="1" t="n">
        <v>0</v>
      </c>
      <c r="Q32" s="1" t="n">
        <v>2</v>
      </c>
      <c r="R32" s="1" t="n">
        <v>3</v>
      </c>
      <c r="S32" s="1" t="n">
        <v>0</v>
      </c>
      <c r="T32" s="1" t="n">
        <v>0</v>
      </c>
      <c r="U32" s="1" t="n">
        <v>3</v>
      </c>
      <c r="V32" s="1" t="n">
        <v>0</v>
      </c>
      <c r="W32" s="1" t="n">
        <v>0</v>
      </c>
      <c r="X32" s="1" t="n">
        <v>1</v>
      </c>
      <c r="Y32" s="1" t="n">
        <v>0</v>
      </c>
      <c r="Z32" s="1" t="n">
        <v>2</v>
      </c>
      <c r="AA32" s="1" t="n">
        <v>0</v>
      </c>
      <c r="AB32" s="1" t="n">
        <v>0</v>
      </c>
      <c r="AC32" s="1" t="n">
        <v>0</v>
      </c>
    </row>
    <row r="33">
      <c r="A33" s="1" t="inlineStr">
        <is>
          <t>papillary thyroid carcinoma</t>
        </is>
      </c>
      <c r="B33" s="1" t="inlineStr">
        <is>
          <t>EFO_0000641</t>
        </is>
      </c>
      <c r="C33" s="1" t="inlineStr">
        <is>
          <t>name</t>
        </is>
      </c>
      <c r="D33" s="1" t="n">
        <v>0.1</v>
      </c>
      <c r="E33" s="1" t="n">
        <v>10</v>
      </c>
      <c r="F33" s="1" t="n">
        <v>612</v>
      </c>
      <c r="G33" s="1" t="n">
        <v>0</v>
      </c>
      <c r="H33" s="1" t="n">
        <v>259</v>
      </c>
      <c r="I33" s="1" t="n">
        <v>5</v>
      </c>
      <c r="J33" s="1" t="n">
        <v>7</v>
      </c>
      <c r="K33" s="1" t="n">
        <v>0</v>
      </c>
      <c r="L33" s="1" t="n">
        <v>2</v>
      </c>
      <c r="M33" s="1" t="n">
        <v>0</v>
      </c>
      <c r="N33" s="1" t="n">
        <v>2</v>
      </c>
      <c r="O33" s="1" t="n">
        <v>0</v>
      </c>
      <c r="P33" s="1" t="n">
        <v>1</v>
      </c>
      <c r="Q33" s="1" t="n">
        <v>1</v>
      </c>
      <c r="R33" s="1" t="n">
        <v>0</v>
      </c>
      <c r="S33" s="1" t="n">
        <v>0</v>
      </c>
      <c r="T33" s="1" t="n">
        <v>0</v>
      </c>
      <c r="U33" s="1" t="n">
        <v>2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</row>
    <row r="34">
      <c r="A34" s="1" t="inlineStr">
        <is>
          <t>inflammatory bowel disease</t>
        </is>
      </c>
      <c r="B34" s="1" t="inlineStr">
        <is>
          <t>EFO_0003767</t>
        </is>
      </c>
      <c r="C34" s="1" t="inlineStr">
        <is>
          <t>name</t>
        </is>
      </c>
      <c r="D34" s="1" t="n">
        <v>0.1</v>
      </c>
      <c r="E34" s="1" t="n">
        <v>346</v>
      </c>
      <c r="F34" s="1" t="n">
        <v>128</v>
      </c>
      <c r="G34" s="1" t="n">
        <v>8</v>
      </c>
      <c r="H34" s="1" t="n">
        <v>538</v>
      </c>
      <c r="I34" s="1" t="n">
        <v>11</v>
      </c>
      <c r="J34" s="1" t="n">
        <v>7</v>
      </c>
      <c r="K34" s="1" t="n">
        <v>6</v>
      </c>
      <c r="L34" s="1" t="n">
        <v>1</v>
      </c>
      <c r="M34" s="1" t="n">
        <v>1</v>
      </c>
      <c r="N34" s="1" t="n">
        <v>6</v>
      </c>
      <c r="O34" s="1" t="n">
        <v>0</v>
      </c>
      <c r="P34" s="1" t="n">
        <v>1</v>
      </c>
      <c r="Q34" s="1" t="n">
        <v>5</v>
      </c>
      <c r="R34" s="1" t="n">
        <v>0</v>
      </c>
      <c r="S34" s="1" t="n">
        <v>0</v>
      </c>
      <c r="T34" s="1" t="n">
        <v>0</v>
      </c>
      <c r="U34" s="1" t="n">
        <v>2</v>
      </c>
      <c r="V34" s="1" t="n">
        <v>0</v>
      </c>
      <c r="W34" s="1" t="n">
        <v>0</v>
      </c>
      <c r="X34" s="1" t="n">
        <v>2</v>
      </c>
      <c r="Y34" s="1" t="n">
        <v>0</v>
      </c>
      <c r="Z34" s="1" t="n">
        <v>2</v>
      </c>
      <c r="AA34" s="1" t="n">
        <v>0</v>
      </c>
      <c r="AB34" s="1" t="n">
        <v>0</v>
      </c>
      <c r="AC34" s="1" t="n">
        <v>0</v>
      </c>
    </row>
    <row r="35">
      <c r="A35" s="1" t="inlineStr">
        <is>
          <t>Parkinson's disease</t>
        </is>
      </c>
      <c r="B35" s="1" t="inlineStr">
        <is>
          <t>MONDO_0005180</t>
        </is>
      </c>
      <c r="C35" s="1" t="inlineStr">
        <is>
          <t>synonym</t>
        </is>
      </c>
      <c r="D35" s="1" t="n">
        <v>0.1</v>
      </c>
      <c r="E35" s="1" t="n">
        <v>262</v>
      </c>
      <c r="F35" s="1" t="n">
        <v>410</v>
      </c>
      <c r="G35" s="1" t="n">
        <v>12</v>
      </c>
      <c r="H35" s="1" t="n">
        <v>1445</v>
      </c>
      <c r="I35" s="1" t="n">
        <v>42</v>
      </c>
      <c r="J35" s="1" t="n">
        <v>11</v>
      </c>
      <c r="K35" s="1" t="n">
        <v>8</v>
      </c>
      <c r="L35" s="1" t="n">
        <v>20</v>
      </c>
      <c r="M35" s="1" t="n">
        <v>1</v>
      </c>
      <c r="N35" s="1" t="n">
        <v>27</v>
      </c>
      <c r="O35" s="1" t="n">
        <v>1</v>
      </c>
      <c r="P35" s="1" t="n">
        <v>7</v>
      </c>
      <c r="Q35" s="1" t="n">
        <v>22</v>
      </c>
      <c r="R35" s="1" t="n">
        <v>8</v>
      </c>
      <c r="S35" s="1" t="n">
        <v>13</v>
      </c>
      <c r="T35" s="1" t="n">
        <v>1</v>
      </c>
      <c r="U35" s="1" t="n">
        <v>22</v>
      </c>
      <c r="V35" s="1" t="n">
        <v>0</v>
      </c>
      <c r="W35" s="1" t="n">
        <v>1</v>
      </c>
      <c r="X35" s="1" t="n">
        <v>12</v>
      </c>
      <c r="Y35" s="1" t="n">
        <v>1</v>
      </c>
      <c r="Z35" s="1" t="n">
        <v>4</v>
      </c>
      <c r="AA35" s="1" t="n">
        <v>5</v>
      </c>
      <c r="AB35" s="1" t="n">
        <v>3</v>
      </c>
      <c r="AC35" s="1" t="n">
        <v>2</v>
      </c>
    </row>
    <row r="36">
      <c r="A36" s="1" t="inlineStr">
        <is>
          <t>sickle cell anemia</t>
        </is>
      </c>
      <c r="B36" s="1" t="inlineStr">
        <is>
          <t>MONDO_0011382</t>
        </is>
      </c>
      <c r="C36" s="1" t="inlineStr">
        <is>
          <t>name</t>
        </is>
      </c>
      <c r="D36" s="1" t="n">
        <v>0.1</v>
      </c>
      <c r="E36" s="1" t="n">
        <v>117</v>
      </c>
      <c r="F36" s="1" t="n">
        <v>948</v>
      </c>
      <c r="G36" s="1" t="n">
        <v>9</v>
      </c>
      <c r="H36" s="1" t="n">
        <v>1124</v>
      </c>
      <c r="I36" s="1" t="n">
        <v>24</v>
      </c>
      <c r="J36" s="1" t="n">
        <v>12</v>
      </c>
      <c r="K36" s="1" t="n">
        <v>3</v>
      </c>
      <c r="L36" s="1" t="n">
        <v>15</v>
      </c>
      <c r="M36" s="1" t="n">
        <v>0</v>
      </c>
      <c r="N36" s="1" t="n">
        <v>18</v>
      </c>
      <c r="O36" s="1" t="n">
        <v>4</v>
      </c>
      <c r="P36" s="1" t="n">
        <v>15</v>
      </c>
      <c r="Q36" s="1" t="n">
        <v>17</v>
      </c>
      <c r="R36" s="1" t="n">
        <v>7</v>
      </c>
      <c r="S36" s="1" t="n">
        <v>2</v>
      </c>
      <c r="T36" s="1" t="n">
        <v>4</v>
      </c>
      <c r="U36" s="1" t="n">
        <v>19</v>
      </c>
      <c r="V36" s="1" t="n">
        <v>1</v>
      </c>
      <c r="W36" s="1" t="n">
        <v>1</v>
      </c>
      <c r="X36" s="1" t="n">
        <v>8</v>
      </c>
      <c r="Y36" s="1" t="n">
        <v>3</v>
      </c>
      <c r="Z36" s="1" t="n">
        <v>7</v>
      </c>
      <c r="AA36" s="1" t="n">
        <v>1</v>
      </c>
      <c r="AB36" s="1" t="n">
        <v>0</v>
      </c>
      <c r="AC36" s="1" t="n">
        <v>1</v>
      </c>
    </row>
    <row r="37">
      <c r="A37" s="1" t="inlineStr">
        <is>
          <t>testicular cancer</t>
        </is>
      </c>
      <c r="B37" s="1" t="inlineStr">
        <is>
          <t>EFO_0005088</t>
        </is>
      </c>
      <c r="C37" s="1" t="inlineStr">
        <is>
          <t>synonym</t>
        </is>
      </c>
      <c r="D37" s="1" t="n">
        <v>0.1</v>
      </c>
      <c r="E37" s="1" t="n">
        <v>379</v>
      </c>
      <c r="F37" s="1" t="n">
        <v>60</v>
      </c>
      <c r="G37" s="1" t="n">
        <v>4</v>
      </c>
      <c r="H37" s="1" t="n">
        <v>145</v>
      </c>
      <c r="I37" s="1" t="n">
        <v>3</v>
      </c>
      <c r="J37" s="1" t="n">
        <v>5</v>
      </c>
      <c r="K37" s="1" t="n">
        <v>5</v>
      </c>
      <c r="L37" s="1" t="n">
        <v>0</v>
      </c>
      <c r="M37" s="1" t="n">
        <v>0</v>
      </c>
      <c r="N37" s="1" t="n">
        <v>5</v>
      </c>
      <c r="O37" s="1" t="n">
        <v>0</v>
      </c>
      <c r="P37" s="1" t="n">
        <v>0</v>
      </c>
      <c r="Q37" s="1" t="n">
        <v>4</v>
      </c>
      <c r="R37" s="1" t="n">
        <v>1</v>
      </c>
      <c r="S37" s="1" t="n">
        <v>0</v>
      </c>
      <c r="T37" s="1" t="n">
        <v>0</v>
      </c>
      <c r="U37" s="1" t="n">
        <v>2</v>
      </c>
      <c r="V37" s="1" t="n">
        <v>0</v>
      </c>
      <c r="W37" s="1" t="n">
        <v>0</v>
      </c>
      <c r="X37" s="1" t="n">
        <v>1</v>
      </c>
      <c r="Y37" s="1" t="n">
        <v>0</v>
      </c>
      <c r="Z37" s="1" t="n">
        <v>2</v>
      </c>
      <c r="AA37" s="1" t="n">
        <v>0</v>
      </c>
      <c r="AB37" s="1" t="n">
        <v>0</v>
      </c>
      <c r="AC37" s="1" t="n">
        <v>0</v>
      </c>
    </row>
    <row r="38">
      <c r="A38" s="1" t="inlineStr">
        <is>
          <t>sarcoidosis</t>
        </is>
      </c>
      <c r="B38" s="1" t="inlineStr">
        <is>
          <t>MONDO_0019338</t>
        </is>
      </c>
      <c r="C38" s="1" t="inlineStr">
        <is>
          <t>name</t>
        </is>
      </c>
      <c r="D38" s="1" t="n">
        <v>0.1</v>
      </c>
      <c r="E38" s="1" t="n">
        <v>208</v>
      </c>
      <c r="F38" s="1" t="n">
        <v>426</v>
      </c>
      <c r="G38" s="1" t="n">
        <v>7</v>
      </c>
      <c r="H38" s="1" t="n">
        <v>376</v>
      </c>
      <c r="I38" s="1" t="n">
        <v>6</v>
      </c>
      <c r="J38" s="1" t="n">
        <v>3</v>
      </c>
      <c r="K38" s="1" t="n">
        <v>3</v>
      </c>
      <c r="L38" s="1" t="n">
        <v>3</v>
      </c>
      <c r="M38" s="1" t="n">
        <v>0</v>
      </c>
      <c r="N38" s="1" t="n">
        <v>6</v>
      </c>
      <c r="O38" s="1" t="n">
        <v>0</v>
      </c>
      <c r="P38" s="1" t="n">
        <v>1</v>
      </c>
      <c r="Q38" s="1" t="n">
        <v>4</v>
      </c>
      <c r="R38" s="1" t="n">
        <v>1</v>
      </c>
      <c r="S38" s="1" t="n">
        <v>3</v>
      </c>
      <c r="T38" s="1" t="n">
        <v>0</v>
      </c>
      <c r="U38" s="1" t="n">
        <v>2</v>
      </c>
      <c r="V38" s="1" t="n">
        <v>0</v>
      </c>
      <c r="W38" s="1" t="n">
        <v>2</v>
      </c>
      <c r="X38" s="1" t="n">
        <v>0</v>
      </c>
      <c r="Y38" s="1" t="n">
        <v>0</v>
      </c>
      <c r="Z38" s="1" t="n">
        <v>1</v>
      </c>
      <c r="AA38" s="1" t="n">
        <v>3</v>
      </c>
      <c r="AB38" s="1" t="n">
        <v>1</v>
      </c>
      <c r="AC38" s="1" t="n">
        <v>0</v>
      </c>
    </row>
    <row r="39">
      <c r="A39" s="1" t="inlineStr">
        <is>
          <t>prolactinoma</t>
        </is>
      </c>
      <c r="B39" s="1" t="inlineStr">
        <is>
          <t>EFO_1000496</t>
        </is>
      </c>
      <c r="C39" s="1" t="inlineStr">
        <is>
          <t>synonym</t>
        </is>
      </c>
      <c r="D39" s="1" t="n">
        <v>0.1</v>
      </c>
      <c r="E39" s="1" t="n">
        <v>2</v>
      </c>
      <c r="F39" s="1" t="n">
        <v>1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</row>
    <row r="40">
      <c r="A40" s="1" t="inlineStr">
        <is>
          <t>adenosquamous cell lung carcinoma</t>
        </is>
      </c>
      <c r="B40" s="1" t="inlineStr">
        <is>
          <t>EFO_0000233</t>
        </is>
      </c>
      <c r="C40" s="1" t="inlineStr">
        <is>
          <t>synonym</t>
        </is>
      </c>
      <c r="D40" s="1" t="n">
        <v>0.1</v>
      </c>
      <c r="E40" s="1" t="n">
        <v>370</v>
      </c>
      <c r="F40" s="1" t="n">
        <v>26</v>
      </c>
      <c r="G40" s="1" t="n">
        <v>1</v>
      </c>
      <c r="H40" s="1" t="n">
        <v>261</v>
      </c>
      <c r="I40" s="1" t="n">
        <v>4</v>
      </c>
      <c r="J40" s="1" t="n">
        <v>6</v>
      </c>
      <c r="K40" s="1" t="n">
        <v>6</v>
      </c>
      <c r="L40" s="1" t="n">
        <v>1</v>
      </c>
      <c r="M40" s="1" t="n">
        <v>0</v>
      </c>
      <c r="N40" s="1" t="n">
        <v>7</v>
      </c>
      <c r="O40" s="1" t="n">
        <v>0</v>
      </c>
      <c r="P40" s="1" t="n">
        <v>2</v>
      </c>
      <c r="Q40" s="1" t="n">
        <v>7</v>
      </c>
      <c r="R40" s="1" t="n">
        <v>2</v>
      </c>
      <c r="S40" s="1" t="n">
        <v>0</v>
      </c>
      <c r="T40" s="1" t="n">
        <v>3</v>
      </c>
      <c r="U40" s="1" t="n">
        <v>8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</row>
    <row r="41">
      <c r="A41" s="1" t="inlineStr">
        <is>
          <t>JRA - Juvenile rheumatoid arthritis</t>
        </is>
      </c>
      <c r="B41" s="1" t="n">
        <v>0</v>
      </c>
      <c r="C41" s="1" t="inlineStr">
        <is>
          <t>no_match</t>
        </is>
      </c>
      <c r="D41" s="1" t="n">
        <v>0.1</v>
      </c>
      <c r="E41" s="1" t="n">
        <v>299</v>
      </c>
      <c r="F41" s="1" t="n">
        <v>32</v>
      </c>
      <c r="G41" s="1" t="n">
        <v>2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</row>
    <row r="42">
      <c r="A42" s="1" t="inlineStr">
        <is>
          <t>lung small cell carcinoma</t>
        </is>
      </c>
      <c r="B42" s="1" t="inlineStr">
        <is>
          <t>EFO_0000702</t>
        </is>
      </c>
      <c r="C42" s="1" t="inlineStr">
        <is>
          <t>synonym</t>
        </is>
      </c>
      <c r="D42" s="1" t="n">
        <v>0.1</v>
      </c>
      <c r="E42" s="1" t="n">
        <v>180</v>
      </c>
      <c r="F42" s="1" t="n">
        <v>27</v>
      </c>
      <c r="G42" s="1" t="n">
        <v>0</v>
      </c>
      <c r="H42" s="1" t="n">
        <v>1215</v>
      </c>
      <c r="I42" s="1" t="n">
        <v>18</v>
      </c>
      <c r="J42" s="1" t="n">
        <v>31</v>
      </c>
      <c r="K42" s="1" t="n">
        <v>15</v>
      </c>
      <c r="L42" s="1" t="n">
        <v>0</v>
      </c>
      <c r="M42" s="1" t="n">
        <v>0</v>
      </c>
      <c r="N42" s="1" t="n">
        <v>15</v>
      </c>
      <c r="O42" s="1" t="n">
        <v>0</v>
      </c>
      <c r="P42" s="1" t="n">
        <v>21</v>
      </c>
      <c r="Q42" s="1" t="n">
        <v>27</v>
      </c>
      <c r="R42" s="1" t="n">
        <v>6</v>
      </c>
      <c r="S42" s="1" t="n">
        <v>1</v>
      </c>
      <c r="T42" s="1" t="n">
        <v>3</v>
      </c>
      <c r="U42" s="1" t="n">
        <v>17</v>
      </c>
      <c r="V42" s="1" t="n">
        <v>0</v>
      </c>
      <c r="W42" s="1" t="n">
        <v>5</v>
      </c>
      <c r="X42" s="1" t="n">
        <v>13</v>
      </c>
      <c r="Y42" s="1" t="n">
        <v>0</v>
      </c>
      <c r="Z42" s="1" t="n">
        <v>9</v>
      </c>
      <c r="AA42" s="1" t="n">
        <v>1</v>
      </c>
      <c r="AB42" s="1" t="n">
        <v>5</v>
      </c>
      <c r="AC42" s="1" t="n">
        <v>2</v>
      </c>
    </row>
    <row r="43">
      <c r="A43" s="1" t="inlineStr">
        <is>
          <t>Schizophrenia</t>
        </is>
      </c>
      <c r="B43" s="1" t="inlineStr">
        <is>
          <t>MONDO_0005090</t>
        </is>
      </c>
      <c r="C43" s="1" t="inlineStr">
        <is>
          <t>name</t>
        </is>
      </c>
      <c r="D43" s="1" t="n">
        <v>0.1</v>
      </c>
      <c r="E43" s="1" t="n">
        <v>6</v>
      </c>
      <c r="F43" s="1" t="n">
        <v>5</v>
      </c>
      <c r="G43" s="1" t="n">
        <v>0</v>
      </c>
      <c r="H43" s="1" t="n">
        <v>2219</v>
      </c>
      <c r="I43" s="1" t="n">
        <v>65</v>
      </c>
      <c r="J43" s="1" t="n">
        <v>15</v>
      </c>
      <c r="K43" s="1" t="n">
        <v>0</v>
      </c>
      <c r="L43" s="1" t="n">
        <v>1</v>
      </c>
      <c r="M43" s="1" t="n">
        <v>0</v>
      </c>
      <c r="N43" s="1" t="n">
        <v>1</v>
      </c>
      <c r="O43" s="1" t="n">
        <v>0</v>
      </c>
      <c r="P43" s="1" t="n">
        <v>0</v>
      </c>
      <c r="Q43" s="1" t="n">
        <v>1</v>
      </c>
      <c r="R43" s="1" t="n">
        <v>1</v>
      </c>
      <c r="S43" s="1" t="n">
        <v>0</v>
      </c>
      <c r="T43" s="1" t="n">
        <v>0</v>
      </c>
      <c r="U43" s="1" t="n">
        <v>1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1</v>
      </c>
      <c r="AC43" s="1" t="n">
        <v>0</v>
      </c>
    </row>
    <row r="44">
      <c r="A44" s="1" t="inlineStr">
        <is>
          <t>colitis</t>
        </is>
      </c>
      <c r="B44" s="1" t="inlineStr">
        <is>
          <t>EFO_0003872</t>
        </is>
      </c>
      <c r="C44" s="1" t="inlineStr">
        <is>
          <t>name</t>
        </is>
      </c>
      <c r="D44" s="1" t="n">
        <v>0.1</v>
      </c>
      <c r="E44" s="1" t="n">
        <v>309</v>
      </c>
      <c r="F44" s="1" t="n">
        <v>45</v>
      </c>
      <c r="G44" s="1" t="n">
        <v>3</v>
      </c>
      <c r="H44" s="1" t="n">
        <v>202</v>
      </c>
      <c r="I44" s="1" t="n">
        <v>5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1</v>
      </c>
      <c r="O44" s="1" t="n">
        <v>0</v>
      </c>
      <c r="P44" s="1" t="n">
        <v>0</v>
      </c>
      <c r="Q44" s="1" t="n">
        <v>1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</row>
    <row r="45">
      <c r="A45" s="1" t="inlineStr">
        <is>
          <t>Simian Acquired Immune Deficiency Syndrome</t>
        </is>
      </c>
      <c r="B45" s="1" t="n">
        <v>0</v>
      </c>
      <c r="C45" s="1" t="inlineStr">
        <is>
          <t>no_match</t>
        </is>
      </c>
      <c r="D45" s="1" t="n">
        <v>0.1</v>
      </c>
      <c r="E45" s="1" t="n">
        <v>86</v>
      </c>
      <c r="F45" s="1" t="n">
        <v>927</v>
      </c>
      <c r="G45" s="1" t="n">
        <v>5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</row>
    <row r="46">
      <c r="A46" s="1" t="inlineStr">
        <is>
          <t>Ischemic stroke</t>
        </is>
      </c>
      <c r="B46" s="1" t="inlineStr">
        <is>
          <t>HP_0002140</t>
        </is>
      </c>
      <c r="C46" s="1" t="inlineStr">
        <is>
          <t>name</t>
        </is>
      </c>
      <c r="D46" s="1" t="n">
        <v>0.1</v>
      </c>
      <c r="E46" s="1" t="n">
        <v>230</v>
      </c>
      <c r="F46" s="1" t="n">
        <v>37</v>
      </c>
      <c r="G46" s="1" t="n">
        <v>1</v>
      </c>
      <c r="H46" s="1" t="n">
        <v>651</v>
      </c>
      <c r="I46" s="1" t="n">
        <v>13</v>
      </c>
      <c r="J46" s="1" t="n">
        <v>7</v>
      </c>
      <c r="K46" s="1" t="n">
        <v>4</v>
      </c>
      <c r="L46" s="1" t="n">
        <v>1</v>
      </c>
      <c r="M46" s="1" t="n">
        <v>0</v>
      </c>
      <c r="N46" s="1" t="n">
        <v>5</v>
      </c>
      <c r="O46" s="1" t="n">
        <v>0</v>
      </c>
      <c r="P46" s="1" t="n">
        <v>6</v>
      </c>
      <c r="Q46" s="1" t="n">
        <v>2</v>
      </c>
      <c r="R46" s="1" t="n">
        <v>1</v>
      </c>
      <c r="S46" s="1" t="n">
        <v>0</v>
      </c>
      <c r="T46" s="1" t="n">
        <v>0</v>
      </c>
      <c r="U46" s="1" t="n">
        <v>1</v>
      </c>
      <c r="V46" s="1" t="n">
        <v>0</v>
      </c>
      <c r="W46" s="1" t="n">
        <v>0</v>
      </c>
      <c r="X46" s="1" t="n">
        <v>4</v>
      </c>
      <c r="Y46" s="1" t="n">
        <v>0</v>
      </c>
      <c r="Z46" s="1" t="n">
        <v>2</v>
      </c>
      <c r="AA46" s="1" t="n">
        <v>0</v>
      </c>
      <c r="AB46" s="1" t="n">
        <v>0</v>
      </c>
      <c r="AC46" s="1" t="n">
        <v>2</v>
      </c>
    </row>
    <row r="47">
      <c r="A47" s="1" t="inlineStr">
        <is>
          <t>alcoholic hepatitis</t>
        </is>
      </c>
      <c r="B47" s="1" t="inlineStr">
        <is>
          <t>EFO_1001345</t>
        </is>
      </c>
      <c r="C47" s="1" t="inlineStr">
        <is>
          <t>synonym</t>
        </is>
      </c>
      <c r="D47" s="1" t="n">
        <v>0.1</v>
      </c>
      <c r="E47" s="1" t="n">
        <v>264</v>
      </c>
      <c r="F47" s="1" t="n">
        <v>11</v>
      </c>
      <c r="G47" s="1" t="n">
        <v>0</v>
      </c>
      <c r="H47" s="1" t="n">
        <v>142</v>
      </c>
      <c r="I47" s="1" t="n">
        <v>4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</row>
    <row r="48">
      <c r="A48" s="1" t="inlineStr">
        <is>
          <t>testis seminoma</t>
        </is>
      </c>
      <c r="B48" s="1" t="inlineStr">
        <is>
          <t>EFO_0003101</t>
        </is>
      </c>
      <c r="C48" s="1" t="inlineStr">
        <is>
          <t>synonym</t>
        </is>
      </c>
      <c r="D48" s="1" t="n">
        <v>0.1</v>
      </c>
      <c r="E48" s="1" t="n">
        <v>164</v>
      </c>
      <c r="F48" s="1" t="n">
        <v>557</v>
      </c>
      <c r="G48" s="1" t="n">
        <v>6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</row>
    <row r="49">
      <c r="A49" s="1" t="inlineStr">
        <is>
          <t>bipolar disorder</t>
        </is>
      </c>
      <c r="B49" s="1" t="inlineStr">
        <is>
          <t>MONDO_0004985</t>
        </is>
      </c>
      <c r="C49" s="1" t="inlineStr">
        <is>
          <t>name</t>
        </is>
      </c>
      <c r="D49" s="1" t="n">
        <v>0.1</v>
      </c>
      <c r="E49" s="1" t="n">
        <v>3</v>
      </c>
      <c r="F49" s="1" t="n">
        <v>101</v>
      </c>
      <c r="G49" s="1" t="n">
        <v>0</v>
      </c>
      <c r="H49" s="1" t="n">
        <v>1146</v>
      </c>
      <c r="I49" s="1" t="n">
        <v>28</v>
      </c>
      <c r="J49" s="1" t="n">
        <v>9</v>
      </c>
      <c r="K49" s="1" t="n">
        <v>1</v>
      </c>
      <c r="L49" s="1" t="n">
        <v>8</v>
      </c>
      <c r="M49" s="1" t="n">
        <v>0</v>
      </c>
      <c r="N49" s="1" t="n">
        <v>9</v>
      </c>
      <c r="O49" s="1" t="n">
        <v>0</v>
      </c>
      <c r="P49" s="1" t="n">
        <v>1</v>
      </c>
      <c r="Q49" s="1" t="n">
        <v>10</v>
      </c>
      <c r="R49" s="1" t="n">
        <v>10</v>
      </c>
      <c r="S49" s="1" t="n">
        <v>10</v>
      </c>
      <c r="T49" s="1" t="n">
        <v>0</v>
      </c>
      <c r="U49" s="1" t="n">
        <v>12</v>
      </c>
      <c r="V49" s="1" t="n">
        <v>0</v>
      </c>
      <c r="W49" s="1" t="n">
        <v>0</v>
      </c>
      <c r="X49" s="1" t="n">
        <v>1</v>
      </c>
      <c r="Y49" s="1" t="n">
        <v>0</v>
      </c>
      <c r="Z49" s="1" t="n">
        <v>7</v>
      </c>
      <c r="AA49" s="1" t="n">
        <v>2</v>
      </c>
      <c r="AB49" s="1" t="n">
        <v>6</v>
      </c>
      <c r="AC49" s="1" t="n">
        <v>3</v>
      </c>
    </row>
    <row r="50">
      <c r="A50" s="1" t="inlineStr">
        <is>
          <t>asthma</t>
        </is>
      </c>
      <c r="B50" s="1" t="inlineStr">
        <is>
          <t>MONDO_0004979</t>
        </is>
      </c>
      <c r="C50" s="1" t="inlineStr">
        <is>
          <t>name</t>
        </is>
      </c>
      <c r="D50" s="1" t="n">
        <v>0.1</v>
      </c>
      <c r="E50" s="1" t="n">
        <v>8</v>
      </c>
      <c r="F50" s="1" t="n">
        <v>4</v>
      </c>
      <c r="G50" s="1" t="n">
        <v>0</v>
      </c>
      <c r="H50" s="1" t="n">
        <v>1993</v>
      </c>
      <c r="I50" s="1" t="n">
        <v>38</v>
      </c>
      <c r="J50" s="1" t="n">
        <v>13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</row>
    <row r="51">
      <c r="A51" s="1" t="inlineStr">
        <is>
          <t>arthropathy</t>
        </is>
      </c>
      <c r="B51" s="1" t="inlineStr">
        <is>
          <t>HP_0003040</t>
        </is>
      </c>
      <c r="C51" s="1" t="inlineStr">
        <is>
          <t>name</t>
        </is>
      </c>
      <c r="D51" s="1" t="n">
        <v>0.1</v>
      </c>
      <c r="E51" s="1" t="n">
        <v>158</v>
      </c>
      <c r="F51" s="1" t="n">
        <v>106</v>
      </c>
      <c r="G51" s="1" t="n">
        <v>2</v>
      </c>
      <c r="H51" s="1" t="n">
        <v>66</v>
      </c>
      <c r="I51" s="1" t="n">
        <v>3</v>
      </c>
      <c r="J51" s="1" t="n">
        <v>1</v>
      </c>
      <c r="K51" s="1" t="n">
        <v>0</v>
      </c>
      <c r="L51" s="1" t="n">
        <v>1</v>
      </c>
      <c r="M51" s="1" t="n">
        <v>0</v>
      </c>
      <c r="N51" s="1" t="n">
        <v>1</v>
      </c>
      <c r="O51" s="1" t="n">
        <v>0</v>
      </c>
      <c r="P51" s="1" t="n">
        <v>0</v>
      </c>
      <c r="Q51" s="1" t="n">
        <v>1</v>
      </c>
      <c r="R51" s="1" t="n">
        <v>1</v>
      </c>
      <c r="S51" s="1" t="n">
        <v>0</v>
      </c>
      <c r="T51" s="1" t="n">
        <v>0</v>
      </c>
      <c r="U51" s="1" t="n">
        <v>1</v>
      </c>
      <c r="V51" s="1" t="n">
        <v>0</v>
      </c>
      <c r="W51" s="1" t="n">
        <v>0</v>
      </c>
      <c r="X51" s="1" t="n">
        <v>1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</row>
    <row r="52">
      <c r="A52" s="1" t="inlineStr">
        <is>
          <t>psoriatic arthritis</t>
        </is>
      </c>
      <c r="B52" s="1" t="inlineStr">
        <is>
          <t>EFO_0003778</t>
        </is>
      </c>
      <c r="C52" s="1" t="inlineStr">
        <is>
          <t>name</t>
        </is>
      </c>
      <c r="D52" s="1" t="n">
        <v>0.1</v>
      </c>
      <c r="E52" s="1" t="n">
        <v>376</v>
      </c>
      <c r="F52" s="1" t="n">
        <v>13</v>
      </c>
      <c r="G52" s="1" t="n">
        <v>1</v>
      </c>
      <c r="H52" s="1" t="n">
        <v>630</v>
      </c>
      <c r="I52" s="1" t="n">
        <v>9</v>
      </c>
      <c r="J52" s="1" t="n">
        <v>6</v>
      </c>
      <c r="K52" s="1" t="n">
        <v>6</v>
      </c>
      <c r="L52" s="1" t="n">
        <v>0</v>
      </c>
      <c r="M52" s="1" t="n">
        <v>0</v>
      </c>
      <c r="N52" s="1" t="n">
        <v>6</v>
      </c>
      <c r="O52" s="1" t="n">
        <v>0</v>
      </c>
      <c r="P52" s="1" t="n">
        <v>1</v>
      </c>
      <c r="Q52" s="1" t="n">
        <v>5</v>
      </c>
      <c r="R52" s="1" t="n">
        <v>5</v>
      </c>
      <c r="S52" s="1" t="n">
        <v>6</v>
      </c>
      <c r="T52" s="1" t="n">
        <v>0</v>
      </c>
      <c r="U52" s="1" t="n">
        <v>5</v>
      </c>
      <c r="V52" s="1" t="n">
        <v>0</v>
      </c>
      <c r="W52" s="1" t="n">
        <v>1</v>
      </c>
      <c r="X52" s="1" t="n">
        <v>4</v>
      </c>
      <c r="Y52" s="1" t="n">
        <v>0</v>
      </c>
      <c r="Z52" s="1" t="n">
        <v>2</v>
      </c>
      <c r="AA52" s="1" t="n">
        <v>4</v>
      </c>
      <c r="AB52" s="1" t="n">
        <v>0</v>
      </c>
      <c r="AC52" s="1" t="n">
        <v>1</v>
      </c>
    </row>
    <row r="53">
      <c r="A53" s="1" t="inlineStr">
        <is>
          <t>dilated cardiomyopathy</t>
        </is>
      </c>
      <c r="B53" s="1" t="inlineStr">
        <is>
          <t>EFO_0000407</t>
        </is>
      </c>
      <c r="C53" s="1" t="inlineStr">
        <is>
          <t>name</t>
        </is>
      </c>
      <c r="D53" s="1" t="n">
        <v>0.1</v>
      </c>
      <c r="E53" s="1" t="n">
        <v>79</v>
      </c>
      <c r="F53" s="1" t="n">
        <v>107</v>
      </c>
      <c r="G53" s="1" t="n">
        <v>2</v>
      </c>
      <c r="H53" s="1" t="n">
        <v>140</v>
      </c>
      <c r="I53" s="1" t="n">
        <v>3</v>
      </c>
      <c r="J53" s="1" t="n">
        <v>2</v>
      </c>
      <c r="K53" s="1" t="n">
        <v>0</v>
      </c>
      <c r="L53" s="1" t="n">
        <v>1</v>
      </c>
      <c r="M53" s="1" t="n">
        <v>0</v>
      </c>
      <c r="N53" s="1" t="n">
        <v>1</v>
      </c>
      <c r="O53" s="1" t="n">
        <v>0</v>
      </c>
      <c r="P53" s="1" t="n">
        <v>0</v>
      </c>
      <c r="Q53" s="1" t="n">
        <v>1</v>
      </c>
      <c r="R53" s="1" t="n">
        <v>0</v>
      </c>
      <c r="S53" s="1" t="n">
        <v>0</v>
      </c>
      <c r="T53" s="1" t="n">
        <v>0</v>
      </c>
      <c r="U53" s="1" t="n">
        <v>1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</row>
    <row r="54">
      <c r="A54" s="1" t="inlineStr">
        <is>
          <t>Down syndrome</t>
        </is>
      </c>
      <c r="B54" s="1" t="inlineStr">
        <is>
          <t>EFO_0001064</t>
        </is>
      </c>
      <c r="C54" s="1" t="inlineStr">
        <is>
          <t>name</t>
        </is>
      </c>
      <c r="D54" s="1" t="n">
        <v>0.1</v>
      </c>
      <c r="E54" s="1" t="n">
        <v>122</v>
      </c>
      <c r="F54" s="1" t="n">
        <v>56</v>
      </c>
      <c r="G54" s="1" t="n">
        <v>1</v>
      </c>
      <c r="H54" s="1" t="n">
        <v>86</v>
      </c>
      <c r="I54" s="1" t="n">
        <v>1</v>
      </c>
      <c r="J54" s="1" t="n">
        <v>1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</row>
    <row r="55">
      <c r="A55" s="1" t="inlineStr">
        <is>
          <t>appendicitis</t>
        </is>
      </c>
      <c r="B55" s="1" t="inlineStr">
        <is>
          <t>EFO_0007149</t>
        </is>
      </c>
      <c r="C55" s="1" t="inlineStr">
        <is>
          <t>name</t>
        </is>
      </c>
      <c r="D55" s="1" t="n">
        <v>0.1</v>
      </c>
      <c r="E55" s="1" t="n">
        <v>245</v>
      </c>
      <c r="F55" s="1" t="n">
        <v>85</v>
      </c>
      <c r="G55" s="1" t="n">
        <v>3</v>
      </c>
      <c r="H55" s="1" t="n">
        <v>149</v>
      </c>
      <c r="I55" s="1" t="n">
        <v>3</v>
      </c>
      <c r="J55" s="1" t="n">
        <v>1</v>
      </c>
      <c r="K55" s="1" t="n">
        <v>0</v>
      </c>
      <c r="L55" s="1" t="n">
        <v>1</v>
      </c>
      <c r="M55" s="1" t="n">
        <v>0</v>
      </c>
      <c r="N55" s="1" t="n">
        <v>1</v>
      </c>
      <c r="O55" s="1" t="n">
        <v>0</v>
      </c>
      <c r="P55" s="1" t="n">
        <v>0</v>
      </c>
      <c r="Q55" s="1" t="n">
        <v>1</v>
      </c>
      <c r="R55" s="1" t="n">
        <v>0</v>
      </c>
      <c r="S55" s="1" t="n">
        <v>0</v>
      </c>
      <c r="T55" s="1" t="n">
        <v>0</v>
      </c>
      <c r="U55" s="1" t="n">
        <v>1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</row>
    <row r="56">
      <c r="A56" s="1" t="inlineStr">
        <is>
          <t>West Nile fever</t>
        </is>
      </c>
      <c r="B56" s="1" t="inlineStr">
        <is>
          <t>MONDO_0002282</t>
        </is>
      </c>
      <c r="C56" s="1" t="inlineStr">
        <is>
          <t>name</t>
        </is>
      </c>
      <c r="D56" s="1" t="n">
        <v>0.1</v>
      </c>
      <c r="E56" s="1" t="n">
        <v>193</v>
      </c>
      <c r="F56" s="1" t="n">
        <v>12</v>
      </c>
      <c r="G56" s="1" t="n">
        <v>1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</row>
    <row r="57">
      <c r="A57" s="1" t="inlineStr">
        <is>
          <t>Eczema</t>
        </is>
      </c>
      <c r="B57" s="1" t="inlineStr">
        <is>
          <t>EFO_0000274</t>
        </is>
      </c>
      <c r="C57" s="1" t="inlineStr">
        <is>
          <t>synonym</t>
        </is>
      </c>
      <c r="D57" s="1" t="n">
        <v>0.1</v>
      </c>
      <c r="E57" s="1" t="n">
        <v>374</v>
      </c>
      <c r="F57" s="1" t="n">
        <v>46</v>
      </c>
      <c r="G57" s="1" t="n">
        <v>2</v>
      </c>
      <c r="H57" s="1" t="n">
        <v>1175</v>
      </c>
      <c r="I57" s="1" t="n">
        <v>24</v>
      </c>
      <c r="J57" s="1" t="n">
        <v>10</v>
      </c>
      <c r="K57" s="1" t="n">
        <v>10</v>
      </c>
      <c r="L57" s="1" t="n">
        <v>0</v>
      </c>
      <c r="M57" s="1" t="n">
        <v>0</v>
      </c>
      <c r="N57" s="1" t="n">
        <v>10</v>
      </c>
      <c r="O57" s="1" t="n">
        <v>2</v>
      </c>
      <c r="P57" s="1" t="n">
        <v>6</v>
      </c>
      <c r="Q57" s="1" t="n">
        <v>2</v>
      </c>
      <c r="R57" s="1" t="n">
        <v>3</v>
      </c>
      <c r="S57" s="1" t="n">
        <v>2</v>
      </c>
      <c r="T57" s="1" t="n">
        <v>1</v>
      </c>
      <c r="U57" s="1" t="n">
        <v>7</v>
      </c>
      <c r="V57" s="1" t="n">
        <v>0</v>
      </c>
      <c r="W57" s="1" t="n">
        <v>2</v>
      </c>
      <c r="X57" s="1" t="n">
        <v>1</v>
      </c>
      <c r="Y57" s="1" t="n">
        <v>0</v>
      </c>
      <c r="Z57" s="1" t="n">
        <v>1</v>
      </c>
      <c r="AA57" s="1" t="n">
        <v>2</v>
      </c>
      <c r="AB57" s="1" t="n">
        <v>0</v>
      </c>
      <c r="AC57" s="1" t="n">
        <v>1</v>
      </c>
    </row>
    <row r="58">
      <c r="A58" s="1" t="inlineStr">
        <is>
          <t>peripartum cardiomyopathy</t>
        </is>
      </c>
      <c r="B58" s="1" t="inlineStr">
        <is>
          <t>EFO_0002628</t>
        </is>
      </c>
      <c r="C58" s="1" t="inlineStr">
        <is>
          <t>name</t>
        </is>
      </c>
      <c r="D58" s="1" t="n">
        <v>0.1</v>
      </c>
      <c r="E58" s="1" t="n">
        <v>232</v>
      </c>
      <c r="F58" s="1" t="n">
        <v>0</v>
      </c>
      <c r="G58" s="1" t="n">
        <v>0</v>
      </c>
      <c r="H58" s="1" t="n">
        <v>8</v>
      </c>
      <c r="I58" s="1" t="n">
        <v>1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</row>
    <row r="59">
      <c r="A59" s="1" t="inlineStr">
        <is>
          <t>Ebola hemorrhagic fever</t>
        </is>
      </c>
      <c r="B59" s="1" t="inlineStr">
        <is>
          <t>EFO_0007243</t>
        </is>
      </c>
      <c r="C59" s="1" t="inlineStr">
        <is>
          <t>name</t>
        </is>
      </c>
      <c r="D59" s="1" t="n">
        <v>0.1</v>
      </c>
      <c r="E59" s="1" t="n">
        <v>188</v>
      </c>
      <c r="F59" s="1" t="n">
        <v>98</v>
      </c>
      <c r="G59" s="1" t="n">
        <v>1</v>
      </c>
      <c r="H59" s="1" t="n">
        <v>44</v>
      </c>
      <c r="I59" s="1" t="n">
        <v>1</v>
      </c>
      <c r="J59" s="1" t="n">
        <v>2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</row>
    <row r="60">
      <c r="A60" s="1" t="inlineStr">
        <is>
          <t>Crohn's disease</t>
        </is>
      </c>
      <c r="B60" s="1" t="inlineStr">
        <is>
          <t>EFO_0000384</t>
        </is>
      </c>
      <c r="C60" s="1" t="inlineStr">
        <is>
          <t>name</t>
        </is>
      </c>
      <c r="D60" s="1" t="n">
        <v>0.1</v>
      </c>
      <c r="E60" s="1" t="n">
        <v>332</v>
      </c>
      <c r="F60" s="1" t="n">
        <v>113</v>
      </c>
      <c r="G60" s="1" t="n">
        <v>5</v>
      </c>
      <c r="H60" s="1" t="n">
        <v>1283</v>
      </c>
      <c r="I60" s="1" t="n">
        <v>27</v>
      </c>
      <c r="J60" s="1" t="n">
        <v>12</v>
      </c>
      <c r="K60" s="1" t="n">
        <v>9</v>
      </c>
      <c r="L60" s="1" t="n">
        <v>2</v>
      </c>
      <c r="M60" s="1" t="n">
        <v>0</v>
      </c>
      <c r="N60" s="1" t="n">
        <v>11</v>
      </c>
      <c r="O60" s="1" t="n">
        <v>0</v>
      </c>
      <c r="P60" s="1" t="n">
        <v>5</v>
      </c>
      <c r="Q60" s="1" t="n">
        <v>7</v>
      </c>
      <c r="R60" s="1" t="n">
        <v>5</v>
      </c>
      <c r="S60" s="1" t="n">
        <v>4</v>
      </c>
      <c r="T60" s="1" t="n">
        <v>0</v>
      </c>
      <c r="U60" s="1" t="n">
        <v>12</v>
      </c>
      <c r="V60" s="1" t="n">
        <v>0</v>
      </c>
      <c r="W60" s="1" t="n">
        <v>0</v>
      </c>
      <c r="X60" s="1" t="n">
        <v>1</v>
      </c>
      <c r="Y60" s="1" t="n">
        <v>1</v>
      </c>
      <c r="Z60" s="1" t="n">
        <v>3</v>
      </c>
      <c r="AA60" s="1" t="n">
        <v>3</v>
      </c>
      <c r="AB60" s="1" t="n">
        <v>0</v>
      </c>
      <c r="AC60" s="1" t="n">
        <v>1</v>
      </c>
    </row>
    <row r="61">
      <c r="A61" s="1" t="inlineStr">
        <is>
          <t>Turner syndrome</t>
        </is>
      </c>
      <c r="B61" s="1" t="inlineStr">
        <is>
          <t>MONDO_0019499</t>
        </is>
      </c>
      <c r="C61" s="1" t="inlineStr">
        <is>
          <t>name</t>
        </is>
      </c>
      <c r="D61" s="1" t="n">
        <v>0.1</v>
      </c>
      <c r="E61" s="1" t="n">
        <v>154</v>
      </c>
      <c r="F61" s="1" t="n">
        <v>408</v>
      </c>
      <c r="G61" s="1" t="n">
        <v>8</v>
      </c>
      <c r="H61" s="1" t="n">
        <v>226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0</v>
      </c>
      <c r="N61" s="1" t="n">
        <v>2</v>
      </c>
      <c r="O61" s="1" t="n">
        <v>0</v>
      </c>
      <c r="P61" s="1" t="n">
        <v>1</v>
      </c>
      <c r="Q61" s="1" t="n">
        <v>0</v>
      </c>
      <c r="R61" s="1" t="n">
        <v>2</v>
      </c>
      <c r="S61" s="1" t="n">
        <v>0</v>
      </c>
      <c r="T61" s="1" t="n">
        <v>0</v>
      </c>
      <c r="U61" s="1" t="n">
        <v>2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1</v>
      </c>
      <c r="AA61" s="1" t="n">
        <v>0</v>
      </c>
      <c r="AB61" s="1" t="n">
        <v>0</v>
      </c>
      <c r="AC61" s="1" t="n">
        <v>0</v>
      </c>
    </row>
    <row r="62">
      <c r="A62" s="1" t="inlineStr">
        <is>
          <t>esophagus adenocarcinoma</t>
        </is>
      </c>
      <c r="B62" s="1" t="inlineStr">
        <is>
          <t>EFO_0000478</t>
        </is>
      </c>
      <c r="C62" s="1" t="inlineStr">
        <is>
          <t>synonym</t>
        </is>
      </c>
      <c r="D62" s="1" t="n">
        <v>0.1</v>
      </c>
      <c r="E62" s="1" t="n">
        <v>282</v>
      </c>
      <c r="F62" s="1" t="n">
        <v>128</v>
      </c>
      <c r="G62" s="1" t="n">
        <v>4</v>
      </c>
      <c r="H62" s="1" t="n">
        <v>382</v>
      </c>
      <c r="I62" s="1" t="n">
        <v>3</v>
      </c>
      <c r="J62" s="1" t="n">
        <v>6</v>
      </c>
      <c r="K62" s="1" t="n">
        <v>5</v>
      </c>
      <c r="L62" s="1" t="n">
        <v>0</v>
      </c>
      <c r="M62" s="1" t="n">
        <v>0</v>
      </c>
      <c r="N62" s="1" t="n">
        <v>5</v>
      </c>
      <c r="O62" s="1" t="n">
        <v>0</v>
      </c>
      <c r="P62" s="1" t="n">
        <v>6</v>
      </c>
      <c r="Q62" s="1" t="n">
        <v>5</v>
      </c>
      <c r="R62" s="1" t="n">
        <v>1</v>
      </c>
      <c r="S62" s="1" t="n">
        <v>0</v>
      </c>
      <c r="T62" s="1" t="n">
        <v>1</v>
      </c>
      <c r="U62" s="1" t="n">
        <v>1</v>
      </c>
      <c r="V62" s="1" t="n">
        <v>0</v>
      </c>
      <c r="W62" s="1" t="n">
        <v>3</v>
      </c>
      <c r="X62" s="1" t="n">
        <v>2</v>
      </c>
      <c r="Y62" s="1" t="n">
        <v>0</v>
      </c>
      <c r="Z62" s="1" t="n">
        <v>4</v>
      </c>
      <c r="AA62" s="1" t="n">
        <v>0</v>
      </c>
      <c r="AB62" s="1" t="n">
        <v>0</v>
      </c>
      <c r="AC62" s="1" t="n">
        <v>1</v>
      </c>
    </row>
    <row r="63">
      <c r="A63" s="1" t="inlineStr">
        <is>
          <t>Marfan syndrome</t>
        </is>
      </c>
      <c r="B63" s="1" t="inlineStr">
        <is>
          <t>MONDO_0007947</t>
        </is>
      </c>
      <c r="C63" s="1" t="inlineStr">
        <is>
          <t>name</t>
        </is>
      </c>
      <c r="D63" s="1" t="n">
        <v>0.1</v>
      </c>
      <c r="E63" s="1" t="n">
        <v>69</v>
      </c>
      <c r="F63" s="1" t="n">
        <v>0</v>
      </c>
      <c r="G63" s="1" t="n">
        <v>0</v>
      </c>
      <c r="H63" s="1" t="n">
        <v>109</v>
      </c>
      <c r="I63" s="1" t="n">
        <v>3</v>
      </c>
      <c r="J63" s="1" t="n">
        <v>2</v>
      </c>
      <c r="K63" s="1" t="n">
        <v>1</v>
      </c>
      <c r="L63" s="1" t="n">
        <v>0</v>
      </c>
      <c r="M63" s="1" t="n">
        <v>0</v>
      </c>
      <c r="N63" s="1" t="n">
        <v>1</v>
      </c>
      <c r="O63" s="1" t="n">
        <v>0</v>
      </c>
      <c r="P63" s="1" t="n">
        <v>0</v>
      </c>
      <c r="Q63" s="1" t="n">
        <v>1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1</v>
      </c>
      <c r="AC63" s="1" t="n">
        <v>0</v>
      </c>
    </row>
    <row r="64">
      <c r="A64" s="1" t="inlineStr">
        <is>
          <t>osteoporosis</t>
        </is>
      </c>
      <c r="B64" s="1" t="inlineStr">
        <is>
          <t>EFO_0003882</t>
        </is>
      </c>
      <c r="C64" s="1" t="inlineStr">
        <is>
          <t>name</t>
        </is>
      </c>
      <c r="D64" s="1" t="n">
        <v>0.1</v>
      </c>
      <c r="E64" s="1" t="n">
        <v>181</v>
      </c>
      <c r="F64" s="1" t="n">
        <v>400</v>
      </c>
      <c r="G64" s="1" t="n">
        <v>9</v>
      </c>
      <c r="H64" s="1" t="n">
        <v>668</v>
      </c>
      <c r="I64" s="1" t="n">
        <v>10</v>
      </c>
      <c r="J64" s="1" t="n">
        <v>2</v>
      </c>
      <c r="K64" s="1" t="n">
        <v>1</v>
      </c>
      <c r="L64" s="1" t="n">
        <v>4</v>
      </c>
      <c r="M64" s="1" t="n">
        <v>0</v>
      </c>
      <c r="N64" s="1" t="n">
        <v>5</v>
      </c>
      <c r="O64" s="1" t="n">
        <v>1</v>
      </c>
      <c r="P64" s="1" t="n">
        <v>3</v>
      </c>
      <c r="Q64" s="1" t="n">
        <v>1</v>
      </c>
      <c r="R64" s="1" t="n">
        <v>4</v>
      </c>
      <c r="S64" s="1" t="n">
        <v>1</v>
      </c>
      <c r="T64" s="1" t="n">
        <v>0</v>
      </c>
      <c r="U64" s="1" t="n">
        <v>6</v>
      </c>
      <c r="V64" s="1" t="n">
        <v>0</v>
      </c>
      <c r="W64" s="1" t="n">
        <v>1</v>
      </c>
      <c r="X64" s="1" t="n">
        <v>0</v>
      </c>
      <c r="Y64" s="1" t="n">
        <v>0</v>
      </c>
      <c r="Z64" s="1" t="n">
        <v>2</v>
      </c>
      <c r="AA64" s="1" t="n">
        <v>1</v>
      </c>
      <c r="AB64" s="1" t="n">
        <v>0</v>
      </c>
      <c r="AC64" s="1" t="n">
        <v>0</v>
      </c>
    </row>
    <row r="65">
      <c r="A65" s="1" t="inlineStr">
        <is>
          <t>multiple myeloma</t>
        </is>
      </c>
      <c r="B65" s="1" t="inlineStr">
        <is>
          <t>EFO_0001378</t>
        </is>
      </c>
      <c r="C65" s="1" t="inlineStr">
        <is>
          <t>name</t>
        </is>
      </c>
      <c r="D65" s="1" t="n">
        <v>0.1</v>
      </c>
      <c r="E65" s="1" t="n">
        <v>152</v>
      </c>
      <c r="F65" s="1" t="n">
        <v>483</v>
      </c>
      <c r="G65" s="1" t="n">
        <v>9</v>
      </c>
      <c r="H65" s="1" t="n">
        <v>2564</v>
      </c>
      <c r="I65" s="1" t="n">
        <v>40</v>
      </c>
      <c r="J65" s="1" t="n">
        <v>62</v>
      </c>
      <c r="K65" s="1" t="n">
        <v>26</v>
      </c>
      <c r="L65" s="1" t="n">
        <v>12</v>
      </c>
      <c r="M65" s="1" t="n">
        <v>3</v>
      </c>
      <c r="N65" s="1" t="n">
        <v>35</v>
      </c>
      <c r="O65" s="1" t="n">
        <v>8</v>
      </c>
      <c r="P65" s="1" t="n">
        <v>47</v>
      </c>
      <c r="Q65" s="1" t="n">
        <v>62</v>
      </c>
      <c r="R65" s="1" t="n">
        <v>26</v>
      </c>
      <c r="S65" s="1" t="n">
        <v>5</v>
      </c>
      <c r="T65" s="1" t="n">
        <v>18</v>
      </c>
      <c r="U65" s="1" t="n">
        <v>45</v>
      </c>
      <c r="V65" s="1" t="n">
        <v>2</v>
      </c>
      <c r="W65" s="1" t="n">
        <v>6</v>
      </c>
      <c r="X65" s="1" t="n">
        <v>18</v>
      </c>
      <c r="Y65" s="1" t="n">
        <v>1</v>
      </c>
      <c r="Z65" s="1" t="n">
        <v>26</v>
      </c>
      <c r="AA65" s="1" t="n">
        <v>2</v>
      </c>
      <c r="AB65" s="1" t="n">
        <v>18</v>
      </c>
      <c r="AC65" s="1" t="n">
        <v>12</v>
      </c>
    </row>
    <row r="66">
      <c r="A66" s="1" t="inlineStr">
        <is>
          <t>prostate cancer</t>
        </is>
      </c>
      <c r="B66" s="1" t="inlineStr">
        <is>
          <t>MONDO_0008315</t>
        </is>
      </c>
      <c r="C66" s="1" t="inlineStr">
        <is>
          <t>name</t>
        </is>
      </c>
      <c r="D66" s="1" t="n">
        <v>0.1</v>
      </c>
      <c r="E66" s="1" t="n">
        <v>180</v>
      </c>
      <c r="F66" s="1" t="n">
        <v>477</v>
      </c>
      <c r="G66" s="1" t="n">
        <v>4</v>
      </c>
      <c r="H66" s="1" t="n">
        <v>3429</v>
      </c>
      <c r="I66" s="1" t="n">
        <v>71</v>
      </c>
      <c r="J66" s="1" t="n">
        <v>61</v>
      </c>
      <c r="K66" s="1" t="n">
        <v>35</v>
      </c>
      <c r="L66" s="1" t="n">
        <v>32</v>
      </c>
      <c r="M66" s="1" t="n">
        <v>2</v>
      </c>
      <c r="N66" s="1" t="n">
        <v>65</v>
      </c>
      <c r="O66" s="1" t="n">
        <v>7</v>
      </c>
      <c r="P66" s="1" t="n">
        <v>74</v>
      </c>
      <c r="Q66" s="1" t="n">
        <v>119</v>
      </c>
      <c r="R66" s="1" t="n">
        <v>54</v>
      </c>
      <c r="S66" s="1" t="n">
        <v>11</v>
      </c>
      <c r="T66" s="1" t="n">
        <v>36</v>
      </c>
      <c r="U66" s="1" t="n">
        <v>90</v>
      </c>
      <c r="V66" s="1" t="n">
        <v>1</v>
      </c>
      <c r="W66" s="1" t="n">
        <v>14</v>
      </c>
      <c r="X66" s="1" t="n">
        <v>30</v>
      </c>
      <c r="Y66" s="1" t="n">
        <v>2</v>
      </c>
      <c r="Z66" s="1" t="n">
        <v>49</v>
      </c>
      <c r="AA66" s="1" t="n">
        <v>6</v>
      </c>
      <c r="AB66" s="1" t="n">
        <v>19</v>
      </c>
      <c r="AC66" s="1" t="n">
        <v>18</v>
      </c>
    </row>
    <row r="67">
      <c r="A67" s="1" t="inlineStr">
        <is>
          <t>breast adenocarcinoma</t>
        </is>
      </c>
      <c r="B67" s="1" t="inlineStr">
        <is>
          <t>EFO_0000304</t>
        </is>
      </c>
      <c r="C67" s="1" t="inlineStr">
        <is>
          <t>name</t>
        </is>
      </c>
      <c r="D67" s="1" t="n">
        <v>0.1</v>
      </c>
      <c r="E67" s="1" t="n">
        <v>265</v>
      </c>
      <c r="F67" s="1" t="n">
        <v>110</v>
      </c>
      <c r="G67" s="1" t="n">
        <v>4</v>
      </c>
      <c r="H67" s="1" t="n">
        <v>512</v>
      </c>
      <c r="I67" s="1" t="n">
        <v>9</v>
      </c>
      <c r="J67" s="1" t="n">
        <v>12</v>
      </c>
      <c r="K67" s="1" t="n">
        <v>9</v>
      </c>
      <c r="L67" s="1" t="n">
        <v>2</v>
      </c>
      <c r="M67" s="1" t="n">
        <v>0</v>
      </c>
      <c r="N67" s="1" t="n">
        <v>11</v>
      </c>
      <c r="O67" s="1" t="n">
        <v>0</v>
      </c>
      <c r="P67" s="1" t="n">
        <v>5</v>
      </c>
      <c r="Q67" s="1" t="n">
        <v>4</v>
      </c>
      <c r="R67" s="1" t="n">
        <v>11</v>
      </c>
      <c r="S67" s="1" t="n">
        <v>0</v>
      </c>
      <c r="T67" s="1" t="n">
        <v>10</v>
      </c>
      <c r="U67" s="1" t="n">
        <v>6</v>
      </c>
      <c r="V67" s="1" t="n">
        <v>0</v>
      </c>
      <c r="W67" s="1" t="n">
        <v>0</v>
      </c>
      <c r="X67" s="1" t="n">
        <v>0</v>
      </c>
      <c r="Y67" s="1" t="n">
        <v>2</v>
      </c>
      <c r="Z67" s="1" t="n">
        <v>2</v>
      </c>
      <c r="AA67" s="1" t="n">
        <v>0</v>
      </c>
      <c r="AB67" s="1" t="n">
        <v>0</v>
      </c>
      <c r="AC67" s="1" t="n">
        <v>0</v>
      </c>
    </row>
    <row r="68">
      <c r="A68" s="1" t="inlineStr">
        <is>
          <t>systemic lupus erythematosus</t>
        </is>
      </c>
      <c r="B68" s="1" t="inlineStr">
        <is>
          <t>MONDO_0007915</t>
        </is>
      </c>
      <c r="C68" s="1" t="inlineStr">
        <is>
          <t>name</t>
        </is>
      </c>
      <c r="D68" s="1" t="n">
        <v>0.1</v>
      </c>
      <c r="E68" s="1" t="n">
        <v>267</v>
      </c>
      <c r="F68" s="1" t="n">
        <v>346</v>
      </c>
      <c r="G68" s="1" t="n">
        <v>13</v>
      </c>
      <c r="H68" s="1" t="n">
        <v>1071</v>
      </c>
      <c r="I68" s="1" t="n">
        <v>20</v>
      </c>
      <c r="J68" s="1" t="n">
        <v>15</v>
      </c>
      <c r="K68" s="1" t="n">
        <v>9</v>
      </c>
      <c r="L68" s="1" t="n">
        <v>9</v>
      </c>
      <c r="M68" s="1" t="n">
        <v>1</v>
      </c>
      <c r="N68" s="1" t="n">
        <v>17</v>
      </c>
      <c r="O68" s="1" t="n">
        <v>2</v>
      </c>
      <c r="P68" s="1" t="n">
        <v>6</v>
      </c>
      <c r="Q68" s="1" t="n">
        <v>11</v>
      </c>
      <c r="R68" s="1" t="n">
        <v>3</v>
      </c>
      <c r="S68" s="1" t="n">
        <v>3</v>
      </c>
      <c r="T68" s="1" t="n">
        <v>0</v>
      </c>
      <c r="U68" s="1" t="n">
        <v>14</v>
      </c>
      <c r="V68" s="1" t="n">
        <v>0</v>
      </c>
      <c r="W68" s="1" t="n">
        <v>1</v>
      </c>
      <c r="X68" s="1" t="n">
        <v>2</v>
      </c>
      <c r="Y68" s="1" t="n">
        <v>0</v>
      </c>
      <c r="Z68" s="1" t="n">
        <v>4</v>
      </c>
      <c r="AA68" s="1" t="n">
        <v>3</v>
      </c>
      <c r="AB68" s="1" t="n">
        <v>0</v>
      </c>
      <c r="AC68" s="1" t="n">
        <v>1</v>
      </c>
    </row>
    <row r="69">
      <c r="A69" s="1" t="inlineStr">
        <is>
          <t>primary open angle glaucoma</t>
        </is>
      </c>
      <c r="B69" s="1" t="inlineStr">
        <is>
          <t>EFO_0004190</t>
        </is>
      </c>
      <c r="C69" s="1" t="inlineStr">
        <is>
          <t>synonym</t>
        </is>
      </c>
      <c r="D69" s="1" t="n">
        <v>0.1</v>
      </c>
      <c r="E69" s="1" t="n">
        <v>98</v>
      </c>
      <c r="F69" s="1" t="n">
        <v>391</v>
      </c>
      <c r="G69" s="1" t="n">
        <v>3</v>
      </c>
      <c r="H69" s="1" t="n">
        <v>215</v>
      </c>
      <c r="I69" s="1" t="n">
        <v>8</v>
      </c>
      <c r="J69" s="1" t="n">
        <v>3</v>
      </c>
      <c r="K69" s="1" t="n">
        <v>0</v>
      </c>
      <c r="L69" s="1" t="n">
        <v>4</v>
      </c>
      <c r="M69" s="1" t="n">
        <v>0</v>
      </c>
      <c r="N69" s="1" t="n">
        <v>4</v>
      </c>
      <c r="O69" s="1" t="n">
        <v>0</v>
      </c>
      <c r="P69" s="1" t="n">
        <v>0</v>
      </c>
      <c r="Q69" s="1" t="n">
        <v>1</v>
      </c>
      <c r="R69" s="1" t="n">
        <v>3</v>
      </c>
      <c r="S69" s="1" t="n">
        <v>4</v>
      </c>
      <c r="T69" s="1" t="n">
        <v>1</v>
      </c>
      <c r="U69" s="1" t="n">
        <v>4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2</v>
      </c>
      <c r="AB69" s="1" t="n">
        <v>0</v>
      </c>
      <c r="AC69" s="1" t="n">
        <v>1</v>
      </c>
    </row>
    <row r="70">
      <c r="A70" s="1" t="inlineStr">
        <is>
          <t>serous cystadenocarcinoma</t>
        </is>
      </c>
      <c r="B70" s="1" t="inlineStr">
        <is>
          <t>MONDO_0024621</t>
        </is>
      </c>
      <c r="C70" s="1" t="inlineStr">
        <is>
          <t>name</t>
        </is>
      </c>
      <c r="D70" s="1" t="n">
        <v>0.1</v>
      </c>
      <c r="E70" s="1" t="n">
        <v>58</v>
      </c>
      <c r="F70" s="1" t="n">
        <v>875</v>
      </c>
      <c r="G70" s="1" t="n">
        <v>2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</row>
    <row r="71">
      <c r="A71" s="1" t="inlineStr">
        <is>
          <t>diabetes mellitus</t>
        </is>
      </c>
      <c r="B71" s="1" t="inlineStr">
        <is>
          <t>EFO_0000400</t>
        </is>
      </c>
      <c r="C71" s="1" t="inlineStr">
        <is>
          <t>name</t>
        </is>
      </c>
      <c r="D71" s="1" t="n">
        <v>0.1</v>
      </c>
      <c r="E71" s="1" t="n">
        <v>377</v>
      </c>
      <c r="F71" s="1" t="n">
        <v>0</v>
      </c>
      <c r="G71" s="1" t="n">
        <v>0</v>
      </c>
      <c r="H71" s="1" t="n">
        <v>2122</v>
      </c>
      <c r="I71" s="1" t="n">
        <v>46</v>
      </c>
      <c r="J71" s="1" t="n">
        <v>19</v>
      </c>
      <c r="K71" s="1" t="n">
        <v>19</v>
      </c>
      <c r="L71" s="1" t="n">
        <v>0</v>
      </c>
      <c r="M71" s="1" t="n">
        <v>0</v>
      </c>
      <c r="N71" s="1" t="n">
        <v>19</v>
      </c>
      <c r="O71" s="1" t="n">
        <v>1</v>
      </c>
      <c r="P71" s="1" t="n">
        <v>8</v>
      </c>
      <c r="Q71" s="1" t="n">
        <v>6</v>
      </c>
      <c r="R71" s="1" t="n">
        <v>13</v>
      </c>
      <c r="S71" s="1" t="n">
        <v>18</v>
      </c>
      <c r="T71" s="1" t="n">
        <v>1</v>
      </c>
      <c r="U71" s="1" t="n">
        <v>22</v>
      </c>
      <c r="V71" s="1" t="n">
        <v>0</v>
      </c>
      <c r="W71" s="1" t="n">
        <v>4</v>
      </c>
      <c r="X71" s="1" t="n">
        <v>3</v>
      </c>
      <c r="Y71" s="1" t="n">
        <v>0</v>
      </c>
      <c r="Z71" s="1" t="n">
        <v>5</v>
      </c>
      <c r="AA71" s="1" t="n">
        <v>7</v>
      </c>
      <c r="AB71" s="1" t="n">
        <v>3</v>
      </c>
      <c r="AC71" s="1" t="n">
        <v>1</v>
      </c>
    </row>
    <row r="72">
      <c r="A72" s="1" t="inlineStr">
        <is>
          <t>familial hypercholesterolemia</t>
        </is>
      </c>
      <c r="B72" s="1" t="inlineStr">
        <is>
          <t>EFO_0004911</t>
        </is>
      </c>
      <c r="C72" s="1" t="inlineStr">
        <is>
          <t>name</t>
        </is>
      </c>
      <c r="D72" s="1" t="n">
        <v>0.1</v>
      </c>
      <c r="E72" s="1" t="n">
        <v>262</v>
      </c>
      <c r="F72" s="1" t="n">
        <v>83</v>
      </c>
      <c r="G72" s="1" t="n">
        <v>2</v>
      </c>
      <c r="H72" s="1" t="n">
        <v>181</v>
      </c>
      <c r="I72" s="1" t="n">
        <v>1</v>
      </c>
      <c r="J72" s="1" t="n">
        <v>2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</row>
    <row r="73">
      <c r="A73" s="1" t="inlineStr">
        <is>
          <t>colon adenoma</t>
        </is>
      </c>
      <c r="B73" s="1" t="inlineStr">
        <is>
          <t>MONDO_0000527</t>
        </is>
      </c>
      <c r="C73" s="1" t="inlineStr">
        <is>
          <t>name</t>
        </is>
      </c>
      <c r="D73" s="1" t="n">
        <v>0.1</v>
      </c>
      <c r="E73" s="1" t="n">
        <v>237</v>
      </c>
      <c r="F73" s="1" t="n">
        <v>188</v>
      </c>
      <c r="G73" s="1" t="n">
        <v>5</v>
      </c>
      <c r="H73" s="1" t="n">
        <v>42</v>
      </c>
      <c r="I73" s="1" t="n">
        <v>1</v>
      </c>
      <c r="J73" s="1" t="n">
        <v>1</v>
      </c>
      <c r="K73" s="1" t="n">
        <v>0</v>
      </c>
      <c r="L73" s="1" t="n">
        <v>1</v>
      </c>
      <c r="M73" s="1" t="n">
        <v>0</v>
      </c>
      <c r="N73" s="1" t="n">
        <v>1</v>
      </c>
      <c r="O73" s="1" t="n">
        <v>0</v>
      </c>
      <c r="P73" s="1" t="n">
        <v>0</v>
      </c>
      <c r="Q73" s="1" t="n">
        <v>0</v>
      </c>
      <c r="R73" s="1" t="n">
        <v>1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1</v>
      </c>
      <c r="AA73" s="1" t="n">
        <v>0</v>
      </c>
      <c r="AB73" s="1" t="n">
        <v>0</v>
      </c>
      <c r="AC73" s="1" t="n">
        <v>0</v>
      </c>
    </row>
    <row r="74">
      <c r="A74" s="1" t="inlineStr">
        <is>
          <t>dengue disease</t>
        </is>
      </c>
      <c r="B74" s="1" t="inlineStr">
        <is>
          <t>EFO_0005547</t>
        </is>
      </c>
      <c r="C74" s="1" t="inlineStr">
        <is>
          <t>name</t>
        </is>
      </c>
      <c r="D74" s="1" t="n">
        <v>0.1</v>
      </c>
      <c r="E74" s="1" t="n">
        <v>296</v>
      </c>
      <c r="F74" s="1" t="n">
        <v>104</v>
      </c>
      <c r="G74" s="1" t="n">
        <v>6</v>
      </c>
      <c r="H74" s="1" t="n">
        <v>142</v>
      </c>
      <c r="I74" s="1" t="n">
        <v>3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1</v>
      </c>
      <c r="O74" s="1" t="n">
        <v>0</v>
      </c>
      <c r="P74" s="1" t="n">
        <v>0</v>
      </c>
      <c r="Q74" s="1" t="n">
        <v>1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</row>
    <row r="75">
      <c r="A75" s="1" t="inlineStr">
        <is>
          <t>Septic Shock</t>
        </is>
      </c>
      <c r="B75" s="1" t="inlineStr">
        <is>
          <t>EFO_0006834</t>
        </is>
      </c>
      <c r="C75" s="1" t="inlineStr">
        <is>
          <t>name</t>
        </is>
      </c>
      <c r="D75" s="1" t="n">
        <v>0.1</v>
      </c>
      <c r="E75" s="1" t="n">
        <v>0</v>
      </c>
      <c r="F75" s="1" t="n">
        <v>0</v>
      </c>
      <c r="G75" s="1" t="n">
        <v>0</v>
      </c>
      <c r="H75" s="1" t="n">
        <v>690</v>
      </c>
      <c r="I75" s="1" t="n">
        <v>12</v>
      </c>
      <c r="J75" s="1" t="n">
        <v>2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</row>
    <row r="76">
      <c r="A76" s="1" t="inlineStr">
        <is>
          <t>cystitis</t>
        </is>
      </c>
      <c r="B76" s="1" t="inlineStr">
        <is>
          <t>EFO_1000025</t>
        </is>
      </c>
      <c r="C76" s="1" t="inlineStr">
        <is>
          <t>name</t>
        </is>
      </c>
      <c r="D76" s="1" t="n">
        <v>0.1</v>
      </c>
      <c r="E76" s="1" t="n">
        <v>60</v>
      </c>
      <c r="F76" s="1" t="n">
        <v>1</v>
      </c>
      <c r="G76" s="1" t="n">
        <v>0</v>
      </c>
      <c r="H76" s="1" t="n">
        <v>21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</row>
    <row r="77">
      <c r="A77" s="1" t="inlineStr">
        <is>
          <t>chronic granulomatous disease</t>
        </is>
      </c>
      <c r="B77" s="1" t="inlineStr">
        <is>
          <t>MONDO_0018305</t>
        </is>
      </c>
      <c r="C77" s="1" t="inlineStr">
        <is>
          <t>name</t>
        </is>
      </c>
      <c r="D77" s="1" t="n">
        <v>0.1</v>
      </c>
      <c r="E77" s="1" t="n">
        <v>318</v>
      </c>
      <c r="F77" s="1" t="n">
        <v>71</v>
      </c>
      <c r="G77" s="1" t="n">
        <v>3</v>
      </c>
      <c r="H77" s="1" t="n">
        <v>275</v>
      </c>
      <c r="I77" s="1" t="n">
        <v>3</v>
      </c>
      <c r="J77" s="1" t="n">
        <v>4</v>
      </c>
      <c r="K77" s="1" t="n">
        <v>3</v>
      </c>
      <c r="L77" s="1" t="n">
        <v>0</v>
      </c>
      <c r="M77" s="1" t="n">
        <v>0</v>
      </c>
      <c r="N77" s="1" t="n">
        <v>3</v>
      </c>
      <c r="O77" s="1" t="n">
        <v>1</v>
      </c>
      <c r="P77" s="1" t="n">
        <v>5</v>
      </c>
      <c r="Q77" s="1" t="n">
        <v>0</v>
      </c>
      <c r="R77" s="1" t="n">
        <v>0</v>
      </c>
      <c r="S77" s="1" t="n">
        <v>0</v>
      </c>
      <c r="T77" s="1" t="n">
        <v>1</v>
      </c>
      <c r="U77" s="1" t="n">
        <v>0</v>
      </c>
      <c r="V77" s="1" t="n">
        <v>1</v>
      </c>
      <c r="W77" s="1" t="n">
        <v>0</v>
      </c>
      <c r="X77" s="1" t="n">
        <v>2</v>
      </c>
      <c r="Y77" s="1" t="n">
        <v>0</v>
      </c>
      <c r="Z77" s="1" t="n">
        <v>2</v>
      </c>
      <c r="AA77" s="1" t="n">
        <v>0</v>
      </c>
      <c r="AB77" s="1" t="n">
        <v>0</v>
      </c>
      <c r="AC77" s="1" t="n">
        <v>0</v>
      </c>
    </row>
    <row r="78">
      <c r="A78" s="1" t="inlineStr">
        <is>
          <t>ulcerative colitis</t>
        </is>
      </c>
      <c r="B78" s="1" t="inlineStr">
        <is>
          <t>EFO_0000729</t>
        </is>
      </c>
      <c r="C78" s="1" t="inlineStr">
        <is>
          <t>name</t>
        </is>
      </c>
      <c r="D78" s="1" t="n">
        <v>0.1</v>
      </c>
      <c r="E78" s="1" t="n">
        <v>208</v>
      </c>
      <c r="F78" s="1" t="n">
        <v>130</v>
      </c>
      <c r="G78" s="1" t="n">
        <v>1</v>
      </c>
      <c r="H78" s="1" t="n">
        <v>1192</v>
      </c>
      <c r="I78" s="1" t="n">
        <v>24</v>
      </c>
      <c r="J78" s="1" t="n">
        <v>10</v>
      </c>
      <c r="K78" s="1" t="n">
        <v>5</v>
      </c>
      <c r="L78" s="1" t="n">
        <v>5</v>
      </c>
      <c r="M78" s="1" t="n">
        <v>0</v>
      </c>
      <c r="N78" s="1" t="n">
        <v>10</v>
      </c>
      <c r="O78" s="1" t="n">
        <v>0</v>
      </c>
      <c r="P78" s="1" t="n">
        <v>6</v>
      </c>
      <c r="Q78" s="1" t="n">
        <v>12</v>
      </c>
      <c r="R78" s="1" t="n">
        <v>11</v>
      </c>
      <c r="S78" s="1" t="n">
        <v>9</v>
      </c>
      <c r="T78" s="1" t="n">
        <v>2</v>
      </c>
      <c r="U78" s="1" t="n">
        <v>10</v>
      </c>
      <c r="V78" s="1" t="n">
        <v>0</v>
      </c>
      <c r="W78" s="1" t="n">
        <v>5</v>
      </c>
      <c r="X78" s="1" t="n">
        <v>4</v>
      </c>
      <c r="Y78" s="1" t="n">
        <v>0</v>
      </c>
      <c r="Z78" s="1" t="n">
        <v>7</v>
      </c>
      <c r="AA78" s="1" t="n">
        <v>4</v>
      </c>
      <c r="AB78" s="1" t="n">
        <v>6</v>
      </c>
      <c r="AC78" s="1" t="n">
        <v>0</v>
      </c>
    </row>
    <row r="79">
      <c r="A79" s="1" t="inlineStr">
        <is>
          <t>LGLL - Large granular lymphocytic leukemia</t>
        </is>
      </c>
      <c r="B79" s="1" t="n">
        <v>0</v>
      </c>
      <c r="C79" s="1" t="inlineStr">
        <is>
          <t>no_match</t>
        </is>
      </c>
      <c r="D79" s="1" t="n">
        <v>0.1</v>
      </c>
      <c r="E79" s="1" t="n">
        <v>348</v>
      </c>
      <c r="F79" s="1" t="n">
        <v>93</v>
      </c>
      <c r="G79" s="1" t="n">
        <v>6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</row>
    <row r="80">
      <c r="A80" s="1" t="inlineStr">
        <is>
          <t>sporadic breast cancer</t>
        </is>
      </c>
      <c r="B80" s="1" t="n">
        <v>0</v>
      </c>
      <c r="C80" s="1" t="inlineStr">
        <is>
          <t>no_match</t>
        </is>
      </c>
      <c r="D80" s="1" t="n">
        <v>0.1</v>
      </c>
      <c r="E80" s="1" t="n">
        <v>253</v>
      </c>
      <c r="F80" s="1" t="n">
        <v>669</v>
      </c>
      <c r="G80" s="1" t="n">
        <v>20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</row>
    <row r="81">
      <c r="A81" s="1" t="inlineStr">
        <is>
          <t>polycystic ovary syndrome</t>
        </is>
      </c>
      <c r="B81" s="1" t="inlineStr">
        <is>
          <t>EFO_0000660</t>
        </is>
      </c>
      <c r="C81" s="1" t="inlineStr">
        <is>
          <t>name</t>
        </is>
      </c>
      <c r="D81" s="1" t="n">
        <v>0.1</v>
      </c>
      <c r="E81" s="1" t="n">
        <v>25</v>
      </c>
      <c r="F81" s="1" t="n">
        <v>106</v>
      </c>
      <c r="G81" s="1" t="n">
        <v>0</v>
      </c>
      <c r="H81" s="1" t="n">
        <v>720</v>
      </c>
      <c r="I81" s="1" t="n">
        <v>16</v>
      </c>
      <c r="J81" s="1" t="n">
        <v>7</v>
      </c>
      <c r="K81" s="1" t="n">
        <v>1</v>
      </c>
      <c r="L81" s="1" t="n">
        <v>2</v>
      </c>
      <c r="M81" s="1" t="n">
        <v>0</v>
      </c>
      <c r="N81" s="1" t="n">
        <v>3</v>
      </c>
      <c r="O81" s="1" t="n">
        <v>0</v>
      </c>
      <c r="P81" s="1" t="n">
        <v>1</v>
      </c>
      <c r="Q81" s="1" t="n">
        <v>0</v>
      </c>
      <c r="R81" s="1" t="n">
        <v>3</v>
      </c>
      <c r="S81" s="1" t="n">
        <v>0</v>
      </c>
      <c r="T81" s="1" t="n">
        <v>0</v>
      </c>
      <c r="U81" s="1" t="n">
        <v>3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1</v>
      </c>
      <c r="AC81" s="1" t="n">
        <v>0</v>
      </c>
    </row>
    <row r="82">
      <c r="A82" s="1" t="inlineStr">
        <is>
          <t>cystic fibrosis</t>
        </is>
      </c>
      <c r="B82" s="1" t="inlineStr">
        <is>
          <t>MONDO_0009061</t>
        </is>
      </c>
      <c r="C82" s="1" t="inlineStr">
        <is>
          <t>name</t>
        </is>
      </c>
      <c r="D82" s="1" t="n">
        <v>0.1</v>
      </c>
      <c r="E82" s="1" t="n">
        <v>338</v>
      </c>
      <c r="F82" s="1" t="n">
        <v>108</v>
      </c>
      <c r="G82" s="1" t="n">
        <v>4</v>
      </c>
      <c r="H82" s="1" t="n">
        <v>555</v>
      </c>
      <c r="I82" s="1" t="n">
        <v>8</v>
      </c>
      <c r="J82" s="1" t="n">
        <v>5</v>
      </c>
      <c r="K82" s="1" t="n">
        <v>4</v>
      </c>
      <c r="L82" s="1" t="n">
        <v>1</v>
      </c>
      <c r="M82" s="1" t="n">
        <v>0</v>
      </c>
      <c r="N82" s="1" t="n">
        <v>5</v>
      </c>
      <c r="O82" s="1" t="n">
        <v>0</v>
      </c>
      <c r="P82" s="1" t="n">
        <v>2</v>
      </c>
      <c r="Q82" s="1" t="n">
        <v>4</v>
      </c>
      <c r="R82" s="1" t="n">
        <v>3</v>
      </c>
      <c r="S82" s="1" t="n">
        <v>0</v>
      </c>
      <c r="T82" s="1" t="n">
        <v>0</v>
      </c>
      <c r="U82" s="1" t="n">
        <v>7</v>
      </c>
      <c r="V82" s="1" t="n">
        <v>0</v>
      </c>
      <c r="W82" s="1" t="n">
        <v>0</v>
      </c>
      <c r="X82" s="1" t="n">
        <v>1</v>
      </c>
      <c r="Y82" s="1" t="n">
        <v>0</v>
      </c>
      <c r="Z82" s="1" t="n">
        <v>1</v>
      </c>
      <c r="AA82" s="1" t="n">
        <v>0</v>
      </c>
      <c r="AB82" s="1" t="n">
        <v>0</v>
      </c>
      <c r="AC82" s="1" t="n">
        <v>0</v>
      </c>
    </row>
    <row r="83">
      <c r="A83" s="1" t="inlineStr">
        <is>
          <t>pancreatic cancer</t>
        </is>
      </c>
      <c r="B83" s="1" t="inlineStr">
        <is>
          <t>EFO_1000359</t>
        </is>
      </c>
      <c r="C83" s="1" t="inlineStr">
        <is>
          <t>synonym</t>
        </is>
      </c>
      <c r="D83" s="1" t="n">
        <v>0.1</v>
      </c>
      <c r="E83" s="1" t="n">
        <v>69</v>
      </c>
      <c r="F83" s="1" t="n">
        <v>797</v>
      </c>
      <c r="G83" s="1" t="n">
        <v>1</v>
      </c>
      <c r="H83" s="1" t="n">
        <v>357</v>
      </c>
      <c r="I83" s="1" t="n">
        <v>7</v>
      </c>
      <c r="J83" s="1" t="n">
        <v>11</v>
      </c>
      <c r="K83" s="1" t="n">
        <v>4</v>
      </c>
      <c r="L83" s="1" t="n">
        <v>1</v>
      </c>
      <c r="M83" s="1" t="n">
        <v>1</v>
      </c>
      <c r="N83" s="1" t="n">
        <v>4</v>
      </c>
      <c r="O83" s="1" t="n">
        <v>0</v>
      </c>
      <c r="P83" s="1" t="n">
        <v>6</v>
      </c>
      <c r="Q83" s="1" t="n">
        <v>10</v>
      </c>
      <c r="R83" s="1" t="n">
        <v>2</v>
      </c>
      <c r="S83" s="1" t="n">
        <v>0</v>
      </c>
      <c r="T83" s="1" t="n">
        <v>4</v>
      </c>
      <c r="U83" s="1" t="n">
        <v>4</v>
      </c>
      <c r="V83" s="1" t="n">
        <v>0</v>
      </c>
      <c r="W83" s="1" t="n">
        <v>4</v>
      </c>
      <c r="X83" s="1" t="n">
        <v>5</v>
      </c>
      <c r="Y83" s="1" t="n">
        <v>0</v>
      </c>
      <c r="Z83" s="1" t="n">
        <v>0</v>
      </c>
      <c r="AA83" s="1" t="n">
        <v>0</v>
      </c>
      <c r="AB83" s="1" t="n">
        <v>1</v>
      </c>
      <c r="AC83" s="1" t="n">
        <v>0</v>
      </c>
    </row>
    <row r="84">
      <c r="A84" s="1" t="inlineStr">
        <is>
          <t>uterine fibroid</t>
        </is>
      </c>
      <c r="B84" s="1" t="inlineStr">
        <is>
          <t>EFO_0000731</t>
        </is>
      </c>
      <c r="C84" s="1" t="inlineStr">
        <is>
          <t>name</t>
        </is>
      </c>
      <c r="D84" s="1" t="n">
        <v>0.1</v>
      </c>
      <c r="E84" s="1" t="n">
        <v>116</v>
      </c>
      <c r="F84" s="1" t="n">
        <v>489</v>
      </c>
      <c r="G84" s="1" t="n">
        <v>4</v>
      </c>
      <c r="H84" s="1" t="n">
        <v>275</v>
      </c>
      <c r="I84" s="1" t="n">
        <v>7</v>
      </c>
      <c r="J84" s="1" t="n">
        <v>3</v>
      </c>
      <c r="K84" s="1" t="n">
        <v>0</v>
      </c>
      <c r="L84" s="1" t="n">
        <v>3</v>
      </c>
      <c r="M84" s="1" t="n">
        <v>0</v>
      </c>
      <c r="N84" s="1" t="n">
        <v>3</v>
      </c>
      <c r="O84" s="1" t="n">
        <v>0</v>
      </c>
      <c r="P84" s="1" t="n">
        <v>2</v>
      </c>
      <c r="Q84" s="1" t="n">
        <v>2</v>
      </c>
      <c r="R84" s="1" t="n">
        <v>1</v>
      </c>
      <c r="S84" s="1" t="n">
        <v>0</v>
      </c>
      <c r="T84" s="1" t="n">
        <v>0</v>
      </c>
      <c r="U84" s="1" t="n">
        <v>4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1</v>
      </c>
      <c r="AA84" s="1" t="n">
        <v>0</v>
      </c>
      <c r="AB84" s="1" t="n">
        <v>0</v>
      </c>
      <c r="AC84" s="1" t="n">
        <v>0</v>
      </c>
    </row>
    <row r="85">
      <c r="A85" s="1" t="inlineStr">
        <is>
          <t>chronic obstructive pulmonary disease</t>
        </is>
      </c>
      <c r="B85" s="1" t="inlineStr">
        <is>
          <t>EFO_0000341</t>
        </is>
      </c>
      <c r="C85" s="1" t="inlineStr">
        <is>
          <t>name</t>
        </is>
      </c>
      <c r="D85" s="1" t="n">
        <v>0.1</v>
      </c>
      <c r="E85" s="1" t="n">
        <v>206</v>
      </c>
      <c r="F85" s="1" t="n">
        <v>183</v>
      </c>
      <c r="G85" s="1" t="n">
        <v>7</v>
      </c>
      <c r="H85" s="1" t="n">
        <v>1577</v>
      </c>
      <c r="I85" s="1" t="n">
        <v>29</v>
      </c>
      <c r="J85" s="1" t="n">
        <v>15</v>
      </c>
      <c r="K85" s="1" t="n">
        <v>11</v>
      </c>
      <c r="L85" s="1" t="n">
        <v>6</v>
      </c>
      <c r="M85" s="1" t="n">
        <v>1</v>
      </c>
      <c r="N85" s="1" t="n">
        <v>16</v>
      </c>
      <c r="O85" s="1" t="n">
        <v>2</v>
      </c>
      <c r="P85" s="1" t="n">
        <v>6</v>
      </c>
      <c r="Q85" s="1" t="n">
        <v>17</v>
      </c>
      <c r="R85" s="1" t="n">
        <v>19</v>
      </c>
      <c r="S85" s="1" t="n">
        <v>12</v>
      </c>
      <c r="T85" s="1" t="n">
        <v>0</v>
      </c>
      <c r="U85" s="1" t="n">
        <v>24</v>
      </c>
      <c r="V85" s="1" t="n">
        <v>0</v>
      </c>
      <c r="W85" s="1" t="n">
        <v>2</v>
      </c>
      <c r="X85" s="1" t="n">
        <v>10</v>
      </c>
      <c r="Y85" s="1" t="n">
        <v>0</v>
      </c>
      <c r="Z85" s="1" t="n">
        <v>7</v>
      </c>
      <c r="AA85" s="1" t="n">
        <v>3</v>
      </c>
      <c r="AB85" s="1" t="n">
        <v>7</v>
      </c>
      <c r="AC85" s="1" t="n">
        <v>3</v>
      </c>
    </row>
    <row r="86">
      <c r="A86" s="1" t="inlineStr">
        <is>
          <t>inclusion body myositis</t>
        </is>
      </c>
      <c r="B86" s="1" t="inlineStr">
        <is>
          <t>EFO_0007323</t>
        </is>
      </c>
      <c r="C86" s="1" t="inlineStr">
        <is>
          <t>name</t>
        </is>
      </c>
      <c r="D86" s="1" t="n">
        <v>0.1</v>
      </c>
      <c r="E86" s="1" t="n">
        <v>361</v>
      </c>
      <c r="F86" s="1" t="n">
        <v>11</v>
      </c>
      <c r="G86" s="1" t="n">
        <v>0</v>
      </c>
      <c r="H86" s="1" t="n">
        <v>69</v>
      </c>
      <c r="I86" s="1" t="n">
        <v>1</v>
      </c>
      <c r="J86" s="1" t="n">
        <v>1</v>
      </c>
      <c r="K86" s="1" t="n">
        <v>1</v>
      </c>
      <c r="L86" s="1" t="n">
        <v>1</v>
      </c>
      <c r="M86" s="1" t="n">
        <v>0</v>
      </c>
      <c r="N86" s="1" t="n">
        <v>2</v>
      </c>
      <c r="O86" s="1" t="n">
        <v>0</v>
      </c>
      <c r="P86" s="1" t="n">
        <v>0</v>
      </c>
      <c r="Q86" s="1" t="n">
        <v>1</v>
      </c>
      <c r="R86" s="1" t="n">
        <v>1</v>
      </c>
      <c r="S86" s="1" t="n">
        <v>0</v>
      </c>
      <c r="T86" s="1" t="n">
        <v>0</v>
      </c>
      <c r="U86" s="1" t="n">
        <v>1</v>
      </c>
      <c r="V86" s="1" t="n">
        <v>0</v>
      </c>
      <c r="W86" s="1" t="n">
        <v>0</v>
      </c>
      <c r="X86" s="1" t="n">
        <v>1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</row>
    <row r="87">
      <c r="A87" s="1" t="inlineStr">
        <is>
          <t>renal cell carcinoma</t>
        </is>
      </c>
      <c r="B87" s="1" t="inlineStr">
        <is>
          <t>EFO_0000681</t>
        </is>
      </c>
      <c r="C87" s="1" t="inlineStr">
        <is>
          <t>name</t>
        </is>
      </c>
      <c r="D87" s="1" t="n">
        <v>0.1</v>
      </c>
      <c r="E87" s="1" t="n">
        <v>181</v>
      </c>
      <c r="F87" s="1" t="n">
        <v>465</v>
      </c>
      <c r="G87" s="1" t="n">
        <v>8</v>
      </c>
      <c r="H87" s="1" t="n">
        <v>1279</v>
      </c>
      <c r="I87" s="1" t="n">
        <v>19</v>
      </c>
      <c r="J87" s="1" t="n">
        <v>32</v>
      </c>
      <c r="K87" s="1" t="n">
        <v>16</v>
      </c>
      <c r="L87" s="1" t="n">
        <v>9</v>
      </c>
      <c r="M87" s="1" t="n">
        <v>2</v>
      </c>
      <c r="N87" s="1" t="n">
        <v>23</v>
      </c>
      <c r="O87" s="1" t="n">
        <v>1</v>
      </c>
      <c r="P87" s="1" t="n">
        <v>22</v>
      </c>
      <c r="Q87" s="1" t="n">
        <v>20</v>
      </c>
      <c r="R87" s="1" t="n">
        <v>6</v>
      </c>
      <c r="S87" s="1" t="n">
        <v>5</v>
      </c>
      <c r="T87" s="1" t="n">
        <v>9</v>
      </c>
      <c r="U87" s="1" t="n">
        <v>19</v>
      </c>
      <c r="V87" s="1" t="n">
        <v>0</v>
      </c>
      <c r="W87" s="1" t="n">
        <v>1</v>
      </c>
      <c r="X87" s="1" t="n">
        <v>6</v>
      </c>
      <c r="Y87" s="1" t="n">
        <v>0</v>
      </c>
      <c r="Z87" s="1" t="n">
        <v>11</v>
      </c>
      <c r="AA87" s="1" t="n">
        <v>3</v>
      </c>
      <c r="AB87" s="1" t="n">
        <v>3</v>
      </c>
      <c r="AC87" s="1" t="n">
        <v>2</v>
      </c>
    </row>
    <row r="88">
      <c r="A88" s="1" t="inlineStr">
        <is>
          <t>Leukemia, Chronic T-Cell</t>
        </is>
      </c>
      <c r="B88" s="1" t="n">
        <v>0</v>
      </c>
      <c r="C88" s="1" t="inlineStr">
        <is>
          <t>no_match</t>
        </is>
      </c>
      <c r="D88" s="1" t="n">
        <v>0.1</v>
      </c>
      <c r="E88" s="1" t="n">
        <v>182</v>
      </c>
      <c r="F88" s="1" t="n">
        <v>82</v>
      </c>
      <c r="G88" s="1" t="n">
        <v>2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</row>
    <row r="89">
      <c r="A89" s="1" t="inlineStr">
        <is>
          <t>anterior horn cell disease</t>
        </is>
      </c>
      <c r="B89" s="1" t="inlineStr">
        <is>
          <t>EFO_0003782</t>
        </is>
      </c>
      <c r="C89" s="1" t="inlineStr">
        <is>
          <t>synonym</t>
        </is>
      </c>
      <c r="D89" s="1" t="n">
        <v>0.1</v>
      </c>
      <c r="E89" s="1" t="n">
        <v>242</v>
      </c>
      <c r="F89" s="1" t="n">
        <v>72</v>
      </c>
      <c r="G89" s="1" t="n">
        <v>0</v>
      </c>
      <c r="H89" s="1" t="n">
        <v>38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</row>
    <row r="90">
      <c r="A90" s="1" t="inlineStr">
        <is>
          <t>MELAS syndrome</t>
        </is>
      </c>
      <c r="B90" s="1" t="inlineStr">
        <is>
          <t>MONDO_0010789</t>
        </is>
      </c>
      <c r="C90" s="1" t="inlineStr">
        <is>
          <t>name</t>
        </is>
      </c>
      <c r="D90" s="1" t="n">
        <v>0.1</v>
      </c>
      <c r="E90" s="1" t="n">
        <v>187</v>
      </c>
      <c r="F90" s="1" t="n">
        <v>161</v>
      </c>
      <c r="G90" s="1" t="n">
        <v>5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</row>
    <row r="91">
      <c r="A91" s="1" t="inlineStr">
        <is>
          <t>stomach cancer</t>
        </is>
      </c>
      <c r="B91" s="1" t="inlineStr">
        <is>
          <t>EFO_0003897</t>
        </is>
      </c>
      <c r="C91" s="1" t="inlineStr">
        <is>
          <t>synonym</t>
        </is>
      </c>
      <c r="D91" s="1" t="n">
        <v>0.1</v>
      </c>
      <c r="E91" s="1" t="n">
        <v>118</v>
      </c>
      <c r="F91" s="1" t="n">
        <v>304</v>
      </c>
      <c r="G91" s="1" t="n">
        <v>7</v>
      </c>
      <c r="H91" s="1" t="n">
        <v>486</v>
      </c>
      <c r="I91" s="1" t="n">
        <v>6</v>
      </c>
      <c r="J91" s="1" t="n">
        <v>12</v>
      </c>
      <c r="K91" s="1" t="n">
        <v>3</v>
      </c>
      <c r="L91" s="1" t="n">
        <v>1</v>
      </c>
      <c r="M91" s="1" t="n">
        <v>1</v>
      </c>
      <c r="N91" s="1" t="n">
        <v>3</v>
      </c>
      <c r="O91" s="1" t="n">
        <v>0</v>
      </c>
      <c r="P91" s="1" t="n">
        <v>4</v>
      </c>
      <c r="Q91" s="1" t="n">
        <v>12</v>
      </c>
      <c r="R91" s="1" t="n">
        <v>5</v>
      </c>
      <c r="S91" s="1" t="n">
        <v>1</v>
      </c>
      <c r="T91" s="1" t="n">
        <v>2</v>
      </c>
      <c r="U91" s="1" t="n">
        <v>7</v>
      </c>
      <c r="V91" s="1" t="n">
        <v>0</v>
      </c>
      <c r="W91" s="1" t="n">
        <v>2</v>
      </c>
      <c r="X91" s="1" t="n">
        <v>3</v>
      </c>
      <c r="Y91" s="1" t="n">
        <v>0</v>
      </c>
      <c r="Z91" s="1" t="n">
        <v>1</v>
      </c>
      <c r="AA91" s="1" t="n">
        <v>1</v>
      </c>
      <c r="AB91" s="1" t="n">
        <v>6</v>
      </c>
      <c r="AC91" s="1" t="n">
        <v>0</v>
      </c>
    </row>
    <row r="92">
      <c r="A92" s="1" t="inlineStr">
        <is>
          <t>pancreatic invasive intraductal papillary-mucinous carcinoma</t>
        </is>
      </c>
      <c r="B92" s="1" t="n">
        <v>0</v>
      </c>
      <c r="C92" s="1" t="inlineStr">
        <is>
          <t>no_match</t>
        </is>
      </c>
      <c r="D92" s="1" t="n">
        <v>0.1</v>
      </c>
      <c r="E92" s="1" t="n">
        <v>121</v>
      </c>
      <c r="F92" s="1" t="n">
        <v>704</v>
      </c>
      <c r="G92" s="1" t="n">
        <v>7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</row>
    <row r="93">
      <c r="A93" s="1" t="inlineStr">
        <is>
          <t>post-traumatic stress disorder</t>
        </is>
      </c>
      <c r="B93" s="1" t="inlineStr">
        <is>
          <t>EFO_0001358</t>
        </is>
      </c>
      <c r="C93" s="1" t="inlineStr">
        <is>
          <t>name</t>
        </is>
      </c>
      <c r="D93" s="1" t="n">
        <v>0.1</v>
      </c>
      <c r="E93" s="1" t="n">
        <v>193</v>
      </c>
      <c r="F93" s="1" t="n">
        <v>525</v>
      </c>
      <c r="G93" s="1" t="n">
        <v>12</v>
      </c>
      <c r="H93" s="1" t="n">
        <v>762</v>
      </c>
      <c r="I93" s="1" t="n">
        <v>19</v>
      </c>
      <c r="J93" s="1" t="n">
        <v>1</v>
      </c>
      <c r="K93" s="1" t="n">
        <v>0</v>
      </c>
      <c r="L93" s="1" t="n">
        <v>8</v>
      </c>
      <c r="M93" s="1" t="n">
        <v>0</v>
      </c>
      <c r="N93" s="1" t="n">
        <v>8</v>
      </c>
      <c r="O93" s="1" t="n">
        <v>0</v>
      </c>
      <c r="P93" s="1" t="n">
        <v>4</v>
      </c>
      <c r="Q93" s="1" t="n">
        <v>4</v>
      </c>
      <c r="R93" s="1" t="n">
        <v>7</v>
      </c>
      <c r="S93" s="1" t="n">
        <v>0</v>
      </c>
      <c r="T93" s="1" t="n">
        <v>0</v>
      </c>
      <c r="U93" s="1" t="n">
        <v>10</v>
      </c>
      <c r="V93" s="1" t="n">
        <v>0</v>
      </c>
      <c r="W93" s="1" t="n">
        <v>0</v>
      </c>
      <c r="X93" s="1" t="n">
        <v>2</v>
      </c>
      <c r="Y93" s="1" t="n">
        <v>0</v>
      </c>
      <c r="Z93" s="1" t="n">
        <v>2</v>
      </c>
      <c r="AA93" s="1" t="n">
        <v>0</v>
      </c>
      <c r="AB93" s="1" t="n">
        <v>1</v>
      </c>
      <c r="AC93" s="1" t="n">
        <v>0</v>
      </c>
    </row>
    <row r="94">
      <c r="A94" s="1" t="inlineStr">
        <is>
          <t>nonspecific interstitial pneumonia</t>
        </is>
      </c>
      <c r="B94" s="1" t="n">
        <v>0</v>
      </c>
      <c r="C94" s="1" t="inlineStr">
        <is>
          <t>no_match</t>
        </is>
      </c>
      <c r="D94" s="1" t="n">
        <v>0.1</v>
      </c>
      <c r="E94" s="1" t="n">
        <v>27</v>
      </c>
      <c r="F94" s="1" t="n">
        <v>8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</row>
    <row r="95">
      <c r="A95" s="1" t="inlineStr">
        <is>
          <t>nephrosclerosis</t>
        </is>
      </c>
      <c r="B95" s="1" t="inlineStr">
        <is>
          <t>EFO_1000041</t>
        </is>
      </c>
      <c r="C95" s="1" t="inlineStr">
        <is>
          <t>name</t>
        </is>
      </c>
      <c r="D95" s="1" t="n">
        <v>0.1</v>
      </c>
      <c r="E95" s="1" t="n">
        <v>238</v>
      </c>
      <c r="F95" s="1" t="n">
        <v>680</v>
      </c>
      <c r="G95" s="1" t="n">
        <v>15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</row>
    <row r="96">
      <c r="A96" s="1" t="inlineStr">
        <is>
          <t>ovarian serous carcinoma</t>
        </is>
      </c>
      <c r="B96" s="1" t="inlineStr">
        <is>
          <t>EFO_1001516</t>
        </is>
      </c>
      <c r="C96" s="1" t="inlineStr">
        <is>
          <t>name</t>
        </is>
      </c>
      <c r="D96" s="1" t="n">
        <v>0.1</v>
      </c>
      <c r="E96" s="1" t="n">
        <v>46</v>
      </c>
      <c r="F96" s="1" t="n">
        <v>330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</row>
    <row r="97">
      <c r="A97" s="1" t="inlineStr">
        <is>
          <t>Alzheimer's disease</t>
        </is>
      </c>
      <c r="B97" s="1" t="inlineStr">
        <is>
          <t>MONDO_0004975</t>
        </is>
      </c>
      <c r="C97" s="1" t="inlineStr">
        <is>
          <t>synonym</t>
        </is>
      </c>
      <c r="D97" s="1" t="n">
        <v>0.1</v>
      </c>
      <c r="E97" s="1" t="n">
        <v>284</v>
      </c>
      <c r="F97" s="1" t="n">
        <v>72</v>
      </c>
      <c r="G97" s="1" t="n">
        <v>1</v>
      </c>
      <c r="H97" s="1" t="n">
        <v>1595</v>
      </c>
      <c r="I97" s="1" t="n">
        <v>37</v>
      </c>
      <c r="J97" s="1" t="n">
        <v>13</v>
      </c>
      <c r="K97" s="1" t="n">
        <v>8</v>
      </c>
      <c r="L97" s="1" t="n">
        <v>3</v>
      </c>
      <c r="M97" s="1" t="n">
        <v>0</v>
      </c>
      <c r="N97" s="1" t="n">
        <v>11</v>
      </c>
      <c r="O97" s="1" t="n">
        <v>2</v>
      </c>
      <c r="P97" s="1" t="n">
        <v>4</v>
      </c>
      <c r="Q97" s="1" t="n">
        <v>6</v>
      </c>
      <c r="R97" s="1" t="n">
        <v>8</v>
      </c>
      <c r="S97" s="1" t="n">
        <v>0</v>
      </c>
      <c r="T97" s="1" t="n">
        <v>0</v>
      </c>
      <c r="U97" s="1" t="n">
        <v>14</v>
      </c>
      <c r="V97" s="1" t="n">
        <v>1</v>
      </c>
      <c r="W97" s="1" t="n">
        <v>0</v>
      </c>
      <c r="X97" s="1" t="n">
        <v>0</v>
      </c>
      <c r="Y97" s="1" t="n">
        <v>0</v>
      </c>
      <c r="Z97" s="1" t="n">
        <v>3</v>
      </c>
      <c r="AA97" s="1" t="n">
        <v>0</v>
      </c>
      <c r="AB97" s="1" t="n">
        <v>1</v>
      </c>
      <c r="AC97" s="1" t="n">
        <v>1</v>
      </c>
    </row>
    <row r="98">
      <c r="A98" s="1" t="inlineStr">
        <is>
          <t>Hereditary gingival fibromatosis</t>
        </is>
      </c>
      <c r="B98" s="1" t="inlineStr">
        <is>
          <t>MONDO_0016070</t>
        </is>
      </c>
      <c r="C98" s="1" t="inlineStr">
        <is>
          <t>name</t>
        </is>
      </c>
      <c r="D98" s="1" t="n">
        <v>0.1</v>
      </c>
      <c r="E98" s="1" t="n">
        <v>83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</row>
    <row r="99">
      <c r="A99" s="1" t="inlineStr">
        <is>
          <t>Osteolysis</t>
        </is>
      </c>
      <c r="B99" s="1" t="inlineStr">
        <is>
          <t>HP_0002797</t>
        </is>
      </c>
      <c r="C99" s="1" t="inlineStr">
        <is>
          <t>name</t>
        </is>
      </c>
      <c r="D99" s="1" t="n">
        <v>0.1</v>
      </c>
      <c r="E99" s="1" t="n">
        <v>278</v>
      </c>
      <c r="F99" s="1" t="n">
        <v>451</v>
      </c>
      <c r="G99" s="1" t="n">
        <v>16</v>
      </c>
      <c r="H99" s="1" t="n">
        <v>11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</row>
    <row r="100">
      <c r="A100" s="1" t="inlineStr">
        <is>
          <t>familial combined hyperlipidemia</t>
        </is>
      </c>
      <c r="B100" s="1" t="n">
        <v>0</v>
      </c>
      <c r="C100" s="1" t="inlineStr">
        <is>
          <t>no_match</t>
        </is>
      </c>
      <c r="D100" s="1" t="n">
        <v>0.1</v>
      </c>
      <c r="E100" s="1" t="n">
        <v>337</v>
      </c>
      <c r="F100" s="1" t="n">
        <v>45</v>
      </c>
      <c r="G100" s="1" t="n">
        <v>3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</row>
    <row r="101">
      <c r="A101" s="1" t="inlineStr">
        <is>
          <t>Williams-Beuren syndrome</t>
        </is>
      </c>
      <c r="B101" s="1" t="inlineStr">
        <is>
          <t>MONDO_0008678</t>
        </is>
      </c>
      <c r="C101" s="1" t="inlineStr">
        <is>
          <t>synonym</t>
        </is>
      </c>
      <c r="D101" s="1" t="n">
        <v>0.1</v>
      </c>
      <c r="E101" s="1" t="n">
        <v>215</v>
      </c>
      <c r="F101" s="1" t="n">
        <v>540</v>
      </c>
      <c r="G101" s="1" t="n">
        <v>10</v>
      </c>
      <c r="H101" s="1" t="n">
        <v>5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</row>
    <row r="102">
      <c r="A102" s="1" t="inlineStr">
        <is>
          <t>Lewy body dementia</t>
        </is>
      </c>
      <c r="B102" s="1" t="inlineStr">
        <is>
          <t>EFO_0006792</t>
        </is>
      </c>
      <c r="C102" s="1" t="inlineStr">
        <is>
          <t>name</t>
        </is>
      </c>
      <c r="D102" s="1" t="n">
        <v>0.1</v>
      </c>
      <c r="E102" s="1" t="n">
        <v>217</v>
      </c>
      <c r="F102" s="1" t="n">
        <v>48</v>
      </c>
      <c r="G102" s="1" t="n">
        <v>0</v>
      </c>
      <c r="H102" s="1" t="n">
        <v>50</v>
      </c>
      <c r="I102" s="1" t="n">
        <v>2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</row>
    <row r="103">
      <c r="A103" s="1" t="inlineStr">
        <is>
          <t>leukemia</t>
        </is>
      </c>
      <c r="B103" s="1" t="inlineStr">
        <is>
          <t>EFO_0000565</t>
        </is>
      </c>
      <c r="C103" s="1" t="inlineStr">
        <is>
          <t>name</t>
        </is>
      </c>
      <c r="D103" s="1" t="n">
        <v>0.1</v>
      </c>
      <c r="E103" s="1" t="n">
        <v>0</v>
      </c>
      <c r="F103" s="1" t="n">
        <v>0</v>
      </c>
      <c r="G103" s="1" t="n">
        <v>0</v>
      </c>
      <c r="H103" s="1" t="n">
        <v>2283</v>
      </c>
      <c r="I103" s="1" t="n">
        <v>39</v>
      </c>
      <c r="J103" s="1" t="n">
        <v>42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</row>
    <row r="104">
      <c r="A104" s="1" t="inlineStr">
        <is>
          <t>Human immunodeficiency virus infectious disease</t>
        </is>
      </c>
      <c r="B104" s="1" t="inlineStr">
        <is>
          <t>EFO_0000764</t>
        </is>
      </c>
      <c r="C104" s="1" t="inlineStr">
        <is>
          <t>synonym</t>
        </is>
      </c>
      <c r="D104" s="1" t="n">
        <v>0.1</v>
      </c>
      <c r="E104" s="1" t="n">
        <v>104</v>
      </c>
      <c r="F104" s="1" t="n">
        <v>128</v>
      </c>
      <c r="G104" s="1" t="n">
        <v>2</v>
      </c>
      <c r="H104" s="1" t="n">
        <v>2224</v>
      </c>
      <c r="I104" s="1" t="n">
        <v>46</v>
      </c>
      <c r="J104" s="1" t="n">
        <v>19</v>
      </c>
      <c r="K104" s="1" t="n">
        <v>3</v>
      </c>
      <c r="L104" s="1" t="n">
        <v>8</v>
      </c>
      <c r="M104" s="1" t="n">
        <v>0</v>
      </c>
      <c r="N104" s="1" t="n">
        <v>11</v>
      </c>
      <c r="O104" s="1" t="n">
        <v>0</v>
      </c>
      <c r="P104" s="1" t="n">
        <v>12</v>
      </c>
      <c r="Q104" s="1" t="n">
        <v>10</v>
      </c>
      <c r="R104" s="1" t="n">
        <v>2</v>
      </c>
      <c r="S104" s="1" t="n">
        <v>0</v>
      </c>
      <c r="T104" s="1" t="n">
        <v>0</v>
      </c>
      <c r="U104" s="1" t="n">
        <v>15</v>
      </c>
      <c r="V104" s="1" t="n">
        <v>0</v>
      </c>
      <c r="W104" s="1" t="n">
        <v>0</v>
      </c>
      <c r="X104" s="1" t="n">
        <v>1</v>
      </c>
      <c r="Y104" s="1" t="n">
        <v>0</v>
      </c>
      <c r="Z104" s="1" t="n">
        <v>6</v>
      </c>
      <c r="AA104" s="1" t="n">
        <v>0</v>
      </c>
      <c r="AB104" s="1" t="n">
        <v>1</v>
      </c>
      <c r="AC104" s="1" t="n">
        <v>1</v>
      </c>
    </row>
    <row r="105">
      <c r="A105" s="1" t="inlineStr">
        <is>
          <t>scleroderma</t>
        </is>
      </c>
      <c r="B105" s="1" t="inlineStr">
        <is>
          <t>EFO_1001993</t>
        </is>
      </c>
      <c r="C105" s="1" t="inlineStr">
        <is>
          <t>name</t>
        </is>
      </c>
      <c r="D105" s="1" t="n">
        <v>0.1</v>
      </c>
      <c r="E105" s="1" t="n">
        <v>231</v>
      </c>
      <c r="F105" s="1" t="n">
        <v>459</v>
      </c>
      <c r="G105" s="1" t="n">
        <v>20</v>
      </c>
      <c r="H105" s="1" t="n">
        <v>224</v>
      </c>
      <c r="I105" s="1" t="n">
        <v>4</v>
      </c>
      <c r="J105" s="1" t="n">
        <v>1</v>
      </c>
      <c r="K105" s="1" t="n">
        <v>1</v>
      </c>
      <c r="L105" s="1" t="n">
        <v>2</v>
      </c>
      <c r="M105" s="1" t="n">
        <v>0</v>
      </c>
      <c r="N105" s="1" t="n">
        <v>3</v>
      </c>
      <c r="O105" s="1" t="n">
        <v>0</v>
      </c>
      <c r="P105" s="1" t="n">
        <v>1</v>
      </c>
      <c r="Q105" s="1" t="n">
        <v>2</v>
      </c>
      <c r="R105" s="1" t="n">
        <v>0</v>
      </c>
      <c r="S105" s="1" t="n">
        <v>0</v>
      </c>
      <c r="T105" s="1" t="n">
        <v>0</v>
      </c>
      <c r="U105" s="1" t="n">
        <v>1</v>
      </c>
      <c r="V105" s="1" t="n">
        <v>0</v>
      </c>
      <c r="W105" s="1" t="n">
        <v>0</v>
      </c>
      <c r="X105" s="1" t="n">
        <v>1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1</v>
      </c>
    </row>
    <row r="106">
      <c r="A106" s="1" t="inlineStr">
        <is>
          <t>cervix carcinoma</t>
        </is>
      </c>
      <c r="B106" s="1" t="inlineStr">
        <is>
          <t>EFO_0001061</t>
        </is>
      </c>
      <c r="C106" s="1" t="inlineStr">
        <is>
          <t>synonym</t>
        </is>
      </c>
      <c r="D106" s="1" t="n">
        <v>0.1</v>
      </c>
      <c r="E106" s="1" t="n">
        <v>0</v>
      </c>
      <c r="F106" s="1" t="n">
        <v>0</v>
      </c>
      <c r="G106" s="1" t="n">
        <v>0</v>
      </c>
      <c r="H106" s="1" t="n">
        <v>293</v>
      </c>
      <c r="I106" s="1" t="n">
        <v>3</v>
      </c>
      <c r="J106" s="1" t="n">
        <v>5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</row>
    <row r="107">
      <c r="A107" s="1" t="inlineStr">
        <is>
          <t>autoimmune thrombocytopenic purpura</t>
        </is>
      </c>
      <c r="B107" s="1" t="inlineStr">
        <is>
          <t>EFO_0007160</t>
        </is>
      </c>
      <c r="C107" s="1" t="inlineStr">
        <is>
          <t>name</t>
        </is>
      </c>
      <c r="D107" s="1" t="n">
        <v>0.1</v>
      </c>
      <c r="E107" s="1" t="n">
        <v>379</v>
      </c>
      <c r="F107" s="1" t="n">
        <v>50</v>
      </c>
      <c r="G107" s="1" t="n">
        <v>3</v>
      </c>
      <c r="H107" s="1" t="n">
        <v>605</v>
      </c>
      <c r="I107" s="1" t="n">
        <v>16</v>
      </c>
      <c r="J107" s="1" t="n">
        <v>11</v>
      </c>
      <c r="K107" s="1" t="n">
        <v>11</v>
      </c>
      <c r="L107" s="1" t="n">
        <v>2</v>
      </c>
      <c r="M107" s="1" t="n">
        <v>0</v>
      </c>
      <c r="N107" s="1" t="n">
        <v>13</v>
      </c>
      <c r="O107" s="1" t="n">
        <v>0</v>
      </c>
      <c r="P107" s="1" t="n">
        <v>2</v>
      </c>
      <c r="Q107" s="1" t="n">
        <v>18</v>
      </c>
      <c r="R107" s="1" t="n">
        <v>14</v>
      </c>
      <c r="S107" s="1" t="n">
        <v>7</v>
      </c>
      <c r="T107" s="1" t="n">
        <v>4</v>
      </c>
      <c r="U107" s="1" t="n">
        <v>9</v>
      </c>
      <c r="V107" s="1" t="n">
        <v>0</v>
      </c>
      <c r="W107" s="1" t="n">
        <v>6</v>
      </c>
      <c r="X107" s="1" t="n">
        <v>6</v>
      </c>
      <c r="Y107" s="1" t="n">
        <v>0</v>
      </c>
      <c r="Z107" s="1" t="n">
        <v>1</v>
      </c>
      <c r="AA107" s="1" t="n">
        <v>3</v>
      </c>
      <c r="AB107" s="1" t="n">
        <v>6</v>
      </c>
      <c r="AC107" s="1" t="n">
        <v>6</v>
      </c>
    </row>
    <row r="108">
      <c r="A108" s="1" t="inlineStr">
        <is>
          <t>Acute Lung Injury</t>
        </is>
      </c>
      <c r="B108" s="1" t="inlineStr">
        <is>
          <t>EFO_0004610</t>
        </is>
      </c>
      <c r="C108" s="1" t="inlineStr">
        <is>
          <t>name</t>
        </is>
      </c>
      <c r="D108" s="1" t="n">
        <v>0.1</v>
      </c>
      <c r="E108" s="1" t="n">
        <v>242</v>
      </c>
      <c r="F108" s="1" t="n">
        <v>40</v>
      </c>
      <c r="G108" s="1" t="n">
        <v>0</v>
      </c>
      <c r="H108" s="1" t="n">
        <v>231</v>
      </c>
      <c r="I108" s="1" t="n">
        <v>5</v>
      </c>
      <c r="J108" s="1" t="n">
        <v>4</v>
      </c>
      <c r="K108" s="1" t="n">
        <v>2</v>
      </c>
      <c r="L108" s="1" t="n">
        <v>1</v>
      </c>
      <c r="M108" s="1" t="n">
        <v>0</v>
      </c>
      <c r="N108" s="1" t="n">
        <v>3</v>
      </c>
      <c r="O108" s="1" t="n">
        <v>0</v>
      </c>
      <c r="P108" s="1" t="n">
        <v>1</v>
      </c>
      <c r="Q108" s="1" t="n">
        <v>1</v>
      </c>
      <c r="R108" s="1" t="n">
        <v>0</v>
      </c>
      <c r="S108" s="1" t="n">
        <v>0</v>
      </c>
      <c r="T108" s="1" t="n">
        <v>0</v>
      </c>
      <c r="U108" s="1" t="n">
        <v>1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1</v>
      </c>
    </row>
    <row r="109">
      <c r="A109" s="1" t="inlineStr">
        <is>
          <t>dystonia</t>
        </is>
      </c>
      <c r="B109" s="1" t="inlineStr">
        <is>
          <t>HP_0001332</t>
        </is>
      </c>
      <c r="C109" s="1" t="inlineStr">
        <is>
          <t>name</t>
        </is>
      </c>
      <c r="D109" s="1" t="n">
        <v>0.1</v>
      </c>
      <c r="E109" s="1" t="n">
        <v>215</v>
      </c>
      <c r="F109" s="1" t="n">
        <v>10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</row>
    <row r="110">
      <c r="A110" s="1" t="inlineStr">
        <is>
          <t>severe acute respiratory syndrome</t>
        </is>
      </c>
      <c r="B110" s="1" t="inlineStr">
        <is>
          <t>EFO_0000694</t>
        </is>
      </c>
      <c r="C110" s="1" t="inlineStr">
        <is>
          <t>name</t>
        </is>
      </c>
      <c r="D110" s="1" t="n">
        <v>0.1</v>
      </c>
      <c r="E110" s="1" t="n">
        <v>304</v>
      </c>
      <c r="F110" s="1" t="n">
        <v>366</v>
      </c>
      <c r="G110" s="1" t="n">
        <v>11</v>
      </c>
      <c r="H110" s="1" t="n">
        <v>694</v>
      </c>
      <c r="I110" s="1" t="n">
        <v>14</v>
      </c>
      <c r="J110" s="1" t="n">
        <v>9</v>
      </c>
      <c r="K110" s="1" t="n">
        <v>7</v>
      </c>
      <c r="L110" s="1" t="n">
        <v>5</v>
      </c>
      <c r="M110" s="1" t="n">
        <v>1</v>
      </c>
      <c r="N110" s="1" t="n">
        <v>11</v>
      </c>
      <c r="O110" s="1" t="n">
        <v>0</v>
      </c>
      <c r="P110" s="1" t="n">
        <v>4</v>
      </c>
      <c r="Q110" s="1" t="n">
        <v>4</v>
      </c>
      <c r="R110" s="1" t="n">
        <v>6</v>
      </c>
      <c r="S110" s="1" t="n">
        <v>0</v>
      </c>
      <c r="T110" s="1" t="n">
        <v>1</v>
      </c>
      <c r="U110" s="1" t="n">
        <v>3</v>
      </c>
      <c r="V110" s="1" t="n">
        <v>0</v>
      </c>
      <c r="W110" s="1" t="n">
        <v>1</v>
      </c>
      <c r="X110" s="1" t="n">
        <v>4</v>
      </c>
      <c r="Y110" s="1" t="n">
        <v>0</v>
      </c>
      <c r="Z110" s="1" t="n">
        <v>3</v>
      </c>
      <c r="AA110" s="1" t="n">
        <v>0</v>
      </c>
      <c r="AB110" s="1" t="n">
        <v>0</v>
      </c>
      <c r="AC110" s="1" t="n">
        <v>2</v>
      </c>
    </row>
    <row r="111">
      <c r="A111" s="1" t="inlineStr">
        <is>
          <t>nasopharynx carcinoma</t>
        </is>
      </c>
      <c r="B111" s="1" t="inlineStr">
        <is>
          <t>MONDO_0015459</t>
        </is>
      </c>
      <c r="C111" s="1" t="inlineStr">
        <is>
          <t>synonym</t>
        </is>
      </c>
      <c r="D111" s="1" t="n">
        <v>0.1</v>
      </c>
      <c r="E111" s="1" t="n">
        <v>154</v>
      </c>
      <c r="F111" s="1" t="n">
        <v>700</v>
      </c>
      <c r="G111" s="1" t="n">
        <v>6</v>
      </c>
      <c r="H111" s="1" t="n">
        <v>540</v>
      </c>
      <c r="I111" s="1" t="n">
        <v>7</v>
      </c>
      <c r="J111" s="1" t="n">
        <v>16</v>
      </c>
      <c r="K111" s="1" t="n">
        <v>7</v>
      </c>
      <c r="L111" s="1" t="n">
        <v>5</v>
      </c>
      <c r="M111" s="1" t="n">
        <v>1</v>
      </c>
      <c r="N111" s="1" t="n">
        <v>11</v>
      </c>
      <c r="O111" s="1" t="n">
        <v>0</v>
      </c>
      <c r="P111" s="1" t="n">
        <v>4</v>
      </c>
      <c r="Q111" s="1" t="n">
        <v>17</v>
      </c>
      <c r="R111" s="1" t="n">
        <v>7</v>
      </c>
      <c r="S111" s="1" t="n">
        <v>0</v>
      </c>
      <c r="T111" s="1" t="n">
        <v>4</v>
      </c>
      <c r="U111" s="1" t="n">
        <v>6</v>
      </c>
      <c r="V111" s="1" t="n">
        <v>0</v>
      </c>
      <c r="W111" s="1" t="n">
        <v>8</v>
      </c>
      <c r="X111" s="1" t="n">
        <v>4</v>
      </c>
      <c r="Y111" s="1" t="n">
        <v>0</v>
      </c>
      <c r="Z111" s="1" t="n">
        <v>1</v>
      </c>
      <c r="AA111" s="1" t="n">
        <v>0</v>
      </c>
      <c r="AB111" s="1" t="n">
        <v>4</v>
      </c>
      <c r="AC111" s="1" t="n">
        <v>1</v>
      </c>
    </row>
    <row r="112">
      <c r="A112" s="1" t="inlineStr">
        <is>
          <t>Polymyositis</t>
        </is>
      </c>
      <c r="B112" s="1" t="inlineStr">
        <is>
          <t>EFO_0003063</t>
        </is>
      </c>
      <c r="C112" s="1" t="inlineStr">
        <is>
          <t>name</t>
        </is>
      </c>
      <c r="D112" s="1" t="n">
        <v>0.1</v>
      </c>
      <c r="E112" s="1" t="n">
        <v>327</v>
      </c>
      <c r="F112" s="1" t="n">
        <v>106</v>
      </c>
      <c r="G112" s="1" t="n">
        <v>4</v>
      </c>
      <c r="H112" s="1" t="n">
        <v>116</v>
      </c>
      <c r="I112" s="1" t="n">
        <v>3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</row>
    <row r="113">
      <c r="A113" s="1" t="inlineStr">
        <is>
          <t>Helicobacter pylori gastrointestinal tract infection</t>
        </is>
      </c>
      <c r="B113" s="1" t="n">
        <v>0</v>
      </c>
      <c r="C113" s="1" t="inlineStr">
        <is>
          <t>no_match</t>
        </is>
      </c>
      <c r="D113" s="1" t="n">
        <v>0.1</v>
      </c>
      <c r="E113" s="1" t="n">
        <v>144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</row>
    <row r="114">
      <c r="A114" s="1" t="inlineStr">
        <is>
          <t>skin squamous cell carcinoma</t>
        </is>
      </c>
      <c r="B114" s="1" t="inlineStr">
        <is>
          <t>MONDO_0002529</t>
        </is>
      </c>
      <c r="C114" s="1" t="inlineStr">
        <is>
          <t>name</t>
        </is>
      </c>
      <c r="D114" s="1" t="n">
        <v>0.1</v>
      </c>
      <c r="E114" s="1" t="n">
        <v>329</v>
      </c>
      <c r="F114" s="1" t="n">
        <v>464</v>
      </c>
      <c r="G114" s="1" t="n">
        <v>22</v>
      </c>
      <c r="H114" s="1" t="n">
        <v>76</v>
      </c>
      <c r="I114" s="1" t="n">
        <v>0</v>
      </c>
      <c r="J114" s="1" t="n">
        <v>2</v>
      </c>
      <c r="K114" s="1" t="n">
        <v>2</v>
      </c>
      <c r="L114" s="1" t="n">
        <v>0</v>
      </c>
      <c r="M114" s="1" t="n">
        <v>0</v>
      </c>
      <c r="N114" s="1" t="n">
        <v>2</v>
      </c>
      <c r="O114" s="1" t="n">
        <v>0</v>
      </c>
      <c r="P114" s="1" t="n">
        <v>1</v>
      </c>
      <c r="Q114" s="1" t="n">
        <v>2</v>
      </c>
      <c r="R114" s="1" t="n">
        <v>0</v>
      </c>
      <c r="S114" s="1" t="n">
        <v>0</v>
      </c>
      <c r="T114" s="1" t="n">
        <v>1</v>
      </c>
      <c r="U114" s="1" t="n">
        <v>2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</row>
    <row r="115">
      <c r="A115" s="1" t="inlineStr">
        <is>
          <t>Waldenstrom Macroglobulinemia</t>
        </is>
      </c>
      <c r="B115" s="1" t="inlineStr">
        <is>
          <t>EFO_0009441</t>
        </is>
      </c>
      <c r="C115" s="1" t="inlineStr">
        <is>
          <t>name</t>
        </is>
      </c>
      <c r="D115" s="1" t="n">
        <v>0.1</v>
      </c>
      <c r="E115" s="1" t="n">
        <v>278</v>
      </c>
      <c r="F115" s="1" t="n">
        <v>613</v>
      </c>
      <c r="G115" s="1" t="n">
        <v>25</v>
      </c>
      <c r="H115" s="1" t="n">
        <v>560</v>
      </c>
      <c r="I115" s="1" t="n">
        <v>8</v>
      </c>
      <c r="J115" s="1" t="n">
        <v>13</v>
      </c>
      <c r="K115" s="1" t="n">
        <v>6</v>
      </c>
      <c r="L115" s="1" t="n">
        <v>4</v>
      </c>
      <c r="M115" s="1" t="n">
        <v>0</v>
      </c>
      <c r="N115" s="1" t="n">
        <v>10</v>
      </c>
      <c r="O115" s="1" t="n">
        <v>0</v>
      </c>
      <c r="P115" s="1" t="n">
        <v>4</v>
      </c>
      <c r="Q115" s="1" t="n">
        <v>10</v>
      </c>
      <c r="R115" s="1" t="n">
        <v>2</v>
      </c>
      <c r="S115" s="1" t="n">
        <v>0</v>
      </c>
      <c r="T115" s="1" t="n">
        <v>0</v>
      </c>
      <c r="U115" s="1" t="n">
        <v>12</v>
      </c>
      <c r="V115" s="1" t="n">
        <v>0</v>
      </c>
      <c r="W115" s="1" t="n">
        <v>1</v>
      </c>
      <c r="X115" s="1" t="n">
        <v>1</v>
      </c>
      <c r="Y115" s="1" t="n">
        <v>0</v>
      </c>
      <c r="Z115" s="1" t="n">
        <v>2</v>
      </c>
      <c r="AA115" s="1" t="n">
        <v>0</v>
      </c>
      <c r="AB115" s="1" t="n">
        <v>0</v>
      </c>
      <c r="AC115" s="1" t="n">
        <v>0</v>
      </c>
    </row>
    <row r="116">
      <c r="A116" s="1" t="inlineStr">
        <is>
          <t>epidermolysis bullosa simplex</t>
        </is>
      </c>
      <c r="B116" s="1" t="inlineStr">
        <is>
          <t>MONDO_0017610</t>
        </is>
      </c>
      <c r="C116" s="1" t="inlineStr">
        <is>
          <t>name</t>
        </is>
      </c>
      <c r="D116" s="1" t="n">
        <v>0.1</v>
      </c>
      <c r="E116" s="1" t="n">
        <v>213</v>
      </c>
      <c r="F116" s="1" t="n">
        <v>17</v>
      </c>
      <c r="G116" s="1" t="n">
        <v>1</v>
      </c>
      <c r="H116" s="1" t="n">
        <v>11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</row>
    <row r="117">
      <c r="A117" s="1" t="inlineStr">
        <is>
          <t>allergic asthma</t>
        </is>
      </c>
      <c r="B117" s="1" t="inlineStr">
        <is>
          <t>MONDO_0004784</t>
        </is>
      </c>
      <c r="C117" s="1" t="inlineStr">
        <is>
          <t>name</t>
        </is>
      </c>
      <c r="D117" s="1" t="n">
        <v>0.1</v>
      </c>
      <c r="E117" s="1" t="n">
        <v>92</v>
      </c>
      <c r="F117" s="1" t="n">
        <v>152</v>
      </c>
      <c r="G117" s="1" t="n">
        <v>1</v>
      </c>
      <c r="H117" s="1" t="n">
        <v>162</v>
      </c>
      <c r="I117" s="1" t="n">
        <v>2</v>
      </c>
      <c r="J117" s="1" t="n">
        <v>0</v>
      </c>
      <c r="K117" s="1" t="n">
        <v>0</v>
      </c>
      <c r="L117" s="1" t="n">
        <v>2</v>
      </c>
      <c r="M117" s="1" t="n">
        <v>0</v>
      </c>
      <c r="N117" s="1" t="n">
        <v>2</v>
      </c>
      <c r="O117" s="1" t="n">
        <v>0</v>
      </c>
      <c r="P117" s="1" t="n">
        <v>1</v>
      </c>
      <c r="Q117" s="1" t="n">
        <v>0</v>
      </c>
      <c r="R117" s="1" t="n">
        <v>1</v>
      </c>
      <c r="S117" s="1" t="n">
        <v>0</v>
      </c>
      <c r="T117" s="1" t="n">
        <v>0</v>
      </c>
      <c r="U117" s="1" t="n">
        <v>1</v>
      </c>
      <c r="V117" s="1" t="n">
        <v>0</v>
      </c>
      <c r="W117" s="1" t="n">
        <v>0</v>
      </c>
      <c r="X117" s="1" t="n">
        <v>1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</row>
    <row r="118">
      <c r="A118" s="1" t="inlineStr">
        <is>
          <t>tuberculosis</t>
        </is>
      </c>
      <c r="B118" s="1" t="inlineStr">
        <is>
          <t>MONDO_0018076</t>
        </is>
      </c>
      <c r="C118" s="1" t="inlineStr">
        <is>
          <t>name</t>
        </is>
      </c>
      <c r="D118" s="1" t="n">
        <v>0.1</v>
      </c>
      <c r="E118" s="1" t="n">
        <v>334</v>
      </c>
      <c r="F118" s="1" t="n">
        <v>508</v>
      </c>
      <c r="G118" s="1" t="n">
        <v>28</v>
      </c>
      <c r="H118" s="1" t="n">
        <v>589</v>
      </c>
      <c r="I118" s="1" t="n">
        <v>12</v>
      </c>
      <c r="J118" s="1" t="n">
        <v>9</v>
      </c>
      <c r="K118" s="1" t="n">
        <v>8</v>
      </c>
      <c r="L118" s="1" t="n">
        <v>3</v>
      </c>
      <c r="M118" s="1" t="n">
        <v>1</v>
      </c>
      <c r="N118" s="1" t="n">
        <v>10</v>
      </c>
      <c r="O118" s="1" t="n">
        <v>0</v>
      </c>
      <c r="P118" s="1" t="n">
        <v>3</v>
      </c>
      <c r="Q118" s="1" t="n">
        <v>6</v>
      </c>
      <c r="R118" s="1" t="n">
        <v>2</v>
      </c>
      <c r="S118" s="1" t="n">
        <v>0</v>
      </c>
      <c r="T118" s="1" t="n">
        <v>0</v>
      </c>
      <c r="U118" s="1" t="n">
        <v>4</v>
      </c>
      <c r="V118" s="1" t="n">
        <v>0</v>
      </c>
      <c r="W118" s="1" t="n">
        <v>3</v>
      </c>
      <c r="X118" s="1" t="n">
        <v>2</v>
      </c>
      <c r="Y118" s="1" t="n">
        <v>0</v>
      </c>
      <c r="Z118" s="1" t="n">
        <v>0</v>
      </c>
      <c r="AA118" s="1" t="n">
        <v>0</v>
      </c>
      <c r="AB118" s="1" t="n">
        <v>2</v>
      </c>
      <c r="AC118" s="1" t="n">
        <v>0</v>
      </c>
    </row>
    <row r="119">
      <c r="A119" s="1" t="inlineStr">
        <is>
          <t>macular degeneration</t>
        </is>
      </c>
      <c r="B119" s="1" t="inlineStr">
        <is>
          <t>EFO_0009606</t>
        </is>
      </c>
      <c r="C119" s="1" t="inlineStr">
        <is>
          <t>name</t>
        </is>
      </c>
      <c r="D119" s="1" t="n">
        <v>0.1</v>
      </c>
      <c r="E119" s="1" t="n">
        <v>106</v>
      </c>
      <c r="F119" s="1" t="n">
        <v>144</v>
      </c>
      <c r="G119" s="1" t="n">
        <v>2</v>
      </c>
      <c r="H119" s="1" t="n">
        <v>336</v>
      </c>
      <c r="I119" s="1" t="n">
        <v>4</v>
      </c>
      <c r="J119" s="1" t="n">
        <v>4</v>
      </c>
      <c r="K119" s="1" t="n">
        <v>0</v>
      </c>
      <c r="L119" s="1" t="n">
        <v>1</v>
      </c>
      <c r="M119" s="1" t="n">
        <v>0</v>
      </c>
      <c r="N119" s="1" t="n">
        <v>1</v>
      </c>
      <c r="O119" s="1" t="n">
        <v>0</v>
      </c>
      <c r="P119" s="1" t="n">
        <v>0</v>
      </c>
      <c r="Q119" s="1" t="n">
        <v>0</v>
      </c>
      <c r="R119" s="1" t="n">
        <v>1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1</v>
      </c>
      <c r="AC119" s="1" t="n">
        <v>0</v>
      </c>
    </row>
    <row r="120">
      <c r="A120" s="1" t="inlineStr">
        <is>
          <t>MDS - Myelodysplastic syndrome</t>
        </is>
      </c>
      <c r="B120" s="1" t="n">
        <v>0</v>
      </c>
      <c r="C120" s="1" t="inlineStr">
        <is>
          <t>no_match</t>
        </is>
      </c>
      <c r="D120" s="1" t="n">
        <v>0.1</v>
      </c>
      <c r="E120" s="1" t="n">
        <v>242</v>
      </c>
      <c r="F120" s="1" t="n">
        <v>747</v>
      </c>
      <c r="G120" s="1" t="n">
        <v>21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</row>
    <row r="121">
      <c r="A121" s="1" t="inlineStr">
        <is>
          <t>myotonic dystrophy type 1</t>
        </is>
      </c>
      <c r="B121" s="1" t="inlineStr">
        <is>
          <t>MONDO_0008056</t>
        </is>
      </c>
      <c r="C121" s="1" t="inlineStr">
        <is>
          <t>name</t>
        </is>
      </c>
      <c r="D121" s="1" t="n">
        <v>0.1</v>
      </c>
      <c r="E121" s="1" t="n">
        <v>182</v>
      </c>
      <c r="F121" s="1" t="n">
        <v>548</v>
      </c>
      <c r="G121" s="1" t="n">
        <v>11</v>
      </c>
      <c r="H121" s="1" t="n">
        <v>4</v>
      </c>
      <c r="I121" s="1" t="n">
        <v>1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</row>
    <row r="122">
      <c r="A122" s="1" t="inlineStr">
        <is>
          <t>Senescence</t>
        </is>
      </c>
      <c r="B122" s="1" t="n">
        <v>0</v>
      </c>
      <c r="C122" s="1" t="inlineStr">
        <is>
          <t>no_match</t>
        </is>
      </c>
      <c r="D122" s="1" t="n">
        <v>0.1</v>
      </c>
      <c r="E122" s="1" t="n">
        <v>155</v>
      </c>
      <c r="F122" s="1" t="n">
        <v>62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</row>
    <row r="123">
      <c r="A123" s="1" t="inlineStr">
        <is>
          <t>Lung transplant rejection</t>
        </is>
      </c>
      <c r="B123" s="1" t="n">
        <v>0</v>
      </c>
      <c r="C123" s="1" t="inlineStr">
        <is>
          <t>no_match</t>
        </is>
      </c>
      <c r="D123" s="1" t="n">
        <v>0.1</v>
      </c>
      <c r="E123" s="1" t="n">
        <v>333</v>
      </c>
      <c r="F123" s="1" t="n">
        <v>131</v>
      </c>
      <c r="G123" s="1" t="n">
        <v>8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</row>
    <row r="124">
      <c r="A124" s="1" t="inlineStr">
        <is>
          <t>autism spectrum disorder</t>
        </is>
      </c>
      <c r="B124" s="1" t="inlineStr">
        <is>
          <t>EFO_0003756</t>
        </is>
      </c>
      <c r="C124" s="1" t="inlineStr">
        <is>
          <t>name</t>
        </is>
      </c>
      <c r="D124" s="1" t="n">
        <v>0.1</v>
      </c>
      <c r="E124" s="1" t="n">
        <v>237</v>
      </c>
      <c r="F124" s="1" t="n">
        <v>25</v>
      </c>
      <c r="G124" s="1" t="n">
        <v>0</v>
      </c>
      <c r="H124" s="1" t="n">
        <v>366</v>
      </c>
      <c r="I124" s="1" t="n">
        <v>14</v>
      </c>
      <c r="J124" s="1" t="n">
        <v>3</v>
      </c>
      <c r="K124" s="1" t="n">
        <v>0</v>
      </c>
      <c r="L124" s="1" t="n">
        <v>1</v>
      </c>
      <c r="M124" s="1" t="n">
        <v>0</v>
      </c>
      <c r="N124" s="1" t="n">
        <v>1</v>
      </c>
      <c r="O124" s="1" t="n">
        <v>0</v>
      </c>
      <c r="P124" s="1" t="n">
        <v>0</v>
      </c>
      <c r="Q124" s="1" t="n">
        <v>1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1</v>
      </c>
    </row>
    <row r="125">
      <c r="A125" s="1" t="inlineStr">
        <is>
          <t>tendinitis</t>
        </is>
      </c>
      <c r="B125" s="1" t="inlineStr">
        <is>
          <t>MONDO_0004857</t>
        </is>
      </c>
      <c r="C125" s="1" t="inlineStr">
        <is>
          <t>name</t>
        </is>
      </c>
      <c r="D125" s="1" t="n">
        <v>0.1</v>
      </c>
      <c r="E125" s="1" t="n">
        <v>79</v>
      </c>
      <c r="F125" s="1" t="n">
        <v>201</v>
      </c>
      <c r="G125" s="1" t="n">
        <v>0</v>
      </c>
      <c r="H125" s="1" t="n">
        <v>203</v>
      </c>
      <c r="I125" s="1" t="n">
        <v>2</v>
      </c>
      <c r="J125" s="1" t="n">
        <v>1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</row>
    <row r="126">
      <c r="A126" s="1" t="inlineStr">
        <is>
          <t>discoid lupus erythematosus</t>
        </is>
      </c>
      <c r="B126" s="1" t="inlineStr">
        <is>
          <t>MONDO_0019558</t>
        </is>
      </c>
      <c r="C126" s="1" t="inlineStr">
        <is>
          <t>name</t>
        </is>
      </c>
      <c r="D126" s="1" t="n">
        <v>0.1</v>
      </c>
      <c r="E126" s="1" t="n">
        <v>359</v>
      </c>
      <c r="F126" s="1" t="n">
        <v>11</v>
      </c>
      <c r="G126" s="1" t="n">
        <v>1</v>
      </c>
      <c r="H126" s="1" t="n">
        <v>84</v>
      </c>
      <c r="I126" s="1" t="n">
        <v>1</v>
      </c>
      <c r="J126" s="1" t="n">
        <v>2</v>
      </c>
      <c r="K126" s="1" t="n">
        <v>2</v>
      </c>
      <c r="L126" s="1" t="n">
        <v>0</v>
      </c>
      <c r="M126" s="1" t="n">
        <v>0</v>
      </c>
      <c r="N126" s="1" t="n">
        <v>2</v>
      </c>
      <c r="O126" s="1" t="n">
        <v>2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2</v>
      </c>
      <c r="AA126" s="1" t="n">
        <v>0</v>
      </c>
      <c r="AB126" s="1" t="n">
        <v>0</v>
      </c>
      <c r="AC126" s="1" t="n">
        <v>0</v>
      </c>
    </row>
    <row r="127">
      <c r="A127" s="1" t="inlineStr">
        <is>
          <t>type 1 diabetes mellitus</t>
        </is>
      </c>
      <c r="B127" s="1" t="inlineStr">
        <is>
          <t>MONDO_0005147</t>
        </is>
      </c>
      <c r="C127" s="1" t="inlineStr">
        <is>
          <t>name</t>
        </is>
      </c>
      <c r="D127" s="1" t="n">
        <v>0.1</v>
      </c>
      <c r="E127" s="1" t="n">
        <v>183</v>
      </c>
      <c r="F127" s="1" t="n">
        <v>290</v>
      </c>
      <c r="G127" s="1" t="n">
        <v>4</v>
      </c>
      <c r="H127" s="1" t="n">
        <v>1788</v>
      </c>
      <c r="I127" s="1" t="n">
        <v>31</v>
      </c>
      <c r="J127" s="1" t="n">
        <v>12</v>
      </c>
      <c r="K127" s="1" t="n">
        <v>3</v>
      </c>
      <c r="L127" s="1" t="n">
        <v>11</v>
      </c>
      <c r="M127" s="1" t="n">
        <v>0</v>
      </c>
      <c r="N127" s="1" t="n">
        <v>14</v>
      </c>
      <c r="O127" s="1" t="n">
        <v>2</v>
      </c>
      <c r="P127" s="1" t="n">
        <v>5</v>
      </c>
      <c r="Q127" s="1" t="n">
        <v>16</v>
      </c>
      <c r="R127" s="1" t="n">
        <v>11</v>
      </c>
      <c r="S127" s="1" t="n">
        <v>0</v>
      </c>
      <c r="T127" s="1" t="n">
        <v>1</v>
      </c>
      <c r="U127" s="1" t="n">
        <v>19</v>
      </c>
      <c r="V127" s="1" t="n">
        <v>1</v>
      </c>
      <c r="W127" s="1" t="n">
        <v>1</v>
      </c>
      <c r="X127" s="1" t="n">
        <v>5</v>
      </c>
      <c r="Y127" s="1" t="n">
        <v>0</v>
      </c>
      <c r="Z127" s="1" t="n">
        <v>4</v>
      </c>
      <c r="AA127" s="1" t="n">
        <v>0</v>
      </c>
      <c r="AB127" s="1" t="n">
        <v>0</v>
      </c>
      <c r="AC127" s="1" t="n">
        <v>3</v>
      </c>
    </row>
    <row r="128">
      <c r="A128" s="1" t="inlineStr">
        <is>
          <t>dermatomyositis</t>
        </is>
      </c>
      <c r="B128" s="1" t="inlineStr">
        <is>
          <t>EFO_0000398</t>
        </is>
      </c>
      <c r="C128" s="1" t="inlineStr">
        <is>
          <t>name</t>
        </is>
      </c>
      <c r="D128" s="1" t="n">
        <v>0.1</v>
      </c>
      <c r="E128" s="1" t="n">
        <v>193</v>
      </c>
      <c r="F128" s="1" t="n">
        <v>119</v>
      </c>
      <c r="G128" s="1" t="n">
        <v>2</v>
      </c>
      <c r="H128" s="1" t="n">
        <v>293</v>
      </c>
      <c r="I128" s="1" t="n">
        <v>5</v>
      </c>
      <c r="J128" s="1" t="n">
        <v>2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</row>
    <row r="129">
      <c r="A129" s="1" t="inlineStr">
        <is>
          <t>influenza</t>
        </is>
      </c>
      <c r="B129" s="1" t="inlineStr">
        <is>
          <t>EFO_0007328</t>
        </is>
      </c>
      <c r="C129" s="1" t="inlineStr">
        <is>
          <t>name</t>
        </is>
      </c>
      <c r="D129" s="1" t="n">
        <v>0.1</v>
      </c>
      <c r="E129" s="1" t="n">
        <v>227</v>
      </c>
      <c r="F129" s="1" t="n">
        <v>69</v>
      </c>
      <c r="G129" s="1" t="n">
        <v>3</v>
      </c>
      <c r="H129" s="1" t="n">
        <v>813</v>
      </c>
      <c r="I129" s="1" t="n">
        <v>19</v>
      </c>
      <c r="J129" s="1" t="n">
        <v>6</v>
      </c>
      <c r="K129" s="1" t="n">
        <v>3</v>
      </c>
      <c r="L129" s="1" t="n">
        <v>2</v>
      </c>
      <c r="M129" s="1" t="n">
        <v>0</v>
      </c>
      <c r="N129" s="1" t="n">
        <v>5</v>
      </c>
      <c r="O129" s="1" t="n">
        <v>0</v>
      </c>
      <c r="P129" s="1" t="n">
        <v>1</v>
      </c>
      <c r="Q129" s="1" t="n">
        <v>0</v>
      </c>
      <c r="R129" s="1" t="n">
        <v>4</v>
      </c>
      <c r="S129" s="1" t="n">
        <v>0</v>
      </c>
      <c r="T129" s="1" t="n">
        <v>0</v>
      </c>
      <c r="U129" s="1" t="n">
        <v>1</v>
      </c>
      <c r="V129" s="1" t="n">
        <v>0</v>
      </c>
      <c r="W129" s="1" t="n">
        <v>1</v>
      </c>
      <c r="X129" s="1" t="n">
        <v>3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</row>
    <row r="130">
      <c r="A130" s="1" t="inlineStr">
        <is>
          <t>acne</t>
        </is>
      </c>
      <c r="B130" s="1" t="inlineStr">
        <is>
          <t>EFO_0003894</t>
        </is>
      </c>
      <c r="C130" s="1" t="inlineStr">
        <is>
          <t>name</t>
        </is>
      </c>
      <c r="D130" s="1" t="n">
        <v>0.1</v>
      </c>
      <c r="E130" s="1" t="n">
        <v>289</v>
      </c>
      <c r="F130" s="1" t="n">
        <v>158</v>
      </c>
      <c r="G130" s="1" t="n">
        <v>9</v>
      </c>
      <c r="H130" s="1" t="n">
        <v>394</v>
      </c>
      <c r="I130" s="1" t="n">
        <v>11</v>
      </c>
      <c r="J130" s="1" t="n">
        <v>7</v>
      </c>
      <c r="K130" s="1" t="n">
        <v>6</v>
      </c>
      <c r="L130" s="1" t="n">
        <v>2</v>
      </c>
      <c r="M130" s="1" t="n">
        <v>0</v>
      </c>
      <c r="N130" s="1" t="n">
        <v>8</v>
      </c>
      <c r="O130" s="1" t="n">
        <v>1</v>
      </c>
      <c r="P130" s="1" t="n">
        <v>5</v>
      </c>
      <c r="Q130" s="1" t="n">
        <v>8</v>
      </c>
      <c r="R130" s="1" t="n">
        <v>5</v>
      </c>
      <c r="S130" s="1" t="n">
        <v>11</v>
      </c>
      <c r="T130" s="1" t="n">
        <v>1</v>
      </c>
      <c r="U130" s="1" t="n">
        <v>15</v>
      </c>
      <c r="V130" s="1" t="n">
        <v>0</v>
      </c>
      <c r="W130" s="1" t="n">
        <v>0</v>
      </c>
      <c r="X130" s="1" t="n">
        <v>2</v>
      </c>
      <c r="Y130" s="1" t="n">
        <v>0</v>
      </c>
      <c r="Z130" s="1" t="n">
        <v>2</v>
      </c>
      <c r="AA130" s="1" t="n">
        <v>5</v>
      </c>
      <c r="AB130" s="1" t="n">
        <v>5</v>
      </c>
      <c r="AC130" s="1" t="n">
        <v>0</v>
      </c>
    </row>
    <row r="131">
      <c r="A131" s="1" t="inlineStr">
        <is>
          <t>lung adenocarcinoma</t>
        </is>
      </c>
      <c r="B131" s="1" t="inlineStr">
        <is>
          <t>EFO_0000571</t>
        </is>
      </c>
      <c r="C131" s="1" t="inlineStr">
        <is>
          <t>name</t>
        </is>
      </c>
      <c r="D131" s="1" t="n">
        <v>0.1</v>
      </c>
      <c r="E131" s="1" t="n">
        <v>146</v>
      </c>
      <c r="F131" s="1" t="n">
        <v>236</v>
      </c>
      <c r="G131" s="1" t="n">
        <v>3</v>
      </c>
      <c r="H131" s="1" t="n">
        <v>466</v>
      </c>
      <c r="I131" s="1" t="n">
        <v>6</v>
      </c>
      <c r="J131" s="1" t="n">
        <v>13</v>
      </c>
      <c r="K131" s="1" t="n">
        <v>10</v>
      </c>
      <c r="L131" s="1" t="n">
        <v>2</v>
      </c>
      <c r="M131" s="1" t="n">
        <v>0</v>
      </c>
      <c r="N131" s="1" t="n">
        <v>12</v>
      </c>
      <c r="O131" s="1" t="n">
        <v>1</v>
      </c>
      <c r="P131" s="1" t="n">
        <v>8</v>
      </c>
      <c r="Q131" s="1" t="n">
        <v>13</v>
      </c>
      <c r="R131" s="1" t="n">
        <v>6</v>
      </c>
      <c r="S131" s="1" t="n">
        <v>0</v>
      </c>
      <c r="T131" s="1" t="n">
        <v>1</v>
      </c>
      <c r="U131" s="1" t="n">
        <v>13</v>
      </c>
      <c r="V131" s="1" t="n">
        <v>0</v>
      </c>
      <c r="W131" s="1" t="n">
        <v>0</v>
      </c>
      <c r="X131" s="1" t="n">
        <v>2</v>
      </c>
      <c r="Y131" s="1" t="n">
        <v>0</v>
      </c>
      <c r="Z131" s="1" t="n">
        <v>9</v>
      </c>
      <c r="AA131" s="1" t="n">
        <v>0</v>
      </c>
      <c r="AB131" s="1" t="n">
        <v>2</v>
      </c>
      <c r="AC131" s="1" t="n">
        <v>1</v>
      </c>
    </row>
    <row r="132">
      <c r="A132" s="1" t="inlineStr">
        <is>
          <t>Teratospermia</t>
        </is>
      </c>
      <c r="B132" s="1" t="inlineStr">
        <is>
          <t>HP_0012864</t>
        </is>
      </c>
      <c r="C132" s="1" t="inlineStr">
        <is>
          <t>synonym</t>
        </is>
      </c>
      <c r="D132" s="1" t="n">
        <v>0.1</v>
      </c>
      <c r="E132" s="1" t="n">
        <v>179</v>
      </c>
      <c r="F132" s="1" t="n">
        <v>135</v>
      </c>
      <c r="G132" s="1" t="n">
        <v>3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</row>
    <row r="133">
      <c r="A133" s="1" t="inlineStr">
        <is>
          <t>androgen insensitivity syndrome</t>
        </is>
      </c>
      <c r="B133" s="1" t="inlineStr">
        <is>
          <t>MONDO_0019154</t>
        </is>
      </c>
      <c r="C133" s="1" t="inlineStr">
        <is>
          <t>name</t>
        </is>
      </c>
      <c r="D133" s="1" t="n">
        <v>0.1</v>
      </c>
      <c r="E133" s="1" t="n">
        <v>7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</row>
    <row r="134">
      <c r="A134" s="1" t="inlineStr">
        <is>
          <t>HIV encephalitis</t>
        </is>
      </c>
      <c r="B134" s="1" t="inlineStr">
        <is>
          <t>EFO_0002608</t>
        </is>
      </c>
      <c r="C134" s="1" t="inlineStr">
        <is>
          <t>synonym</t>
        </is>
      </c>
      <c r="D134" s="1" t="n">
        <v>0.1</v>
      </c>
      <c r="E134" s="1" t="n">
        <v>274</v>
      </c>
      <c r="F134" s="1" t="n">
        <v>2</v>
      </c>
      <c r="G134" s="1" t="n">
        <v>0</v>
      </c>
      <c r="H134" s="1" t="n">
        <v>5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</row>
    <row r="135">
      <c r="A135" s="1" t="inlineStr">
        <is>
          <t>anemia</t>
        </is>
      </c>
      <c r="B135" s="1" t="inlineStr">
        <is>
          <t>MONDO_0002280</t>
        </is>
      </c>
      <c r="C135" s="1" t="inlineStr">
        <is>
          <t>name</t>
        </is>
      </c>
      <c r="D135" s="1" t="n">
        <v>0.1</v>
      </c>
      <c r="E135" s="1" t="n">
        <v>261</v>
      </c>
      <c r="F135" s="1" t="n">
        <v>198</v>
      </c>
      <c r="G135" s="1" t="n">
        <v>11</v>
      </c>
      <c r="H135" s="1" t="n">
        <v>243</v>
      </c>
      <c r="I135" s="1" t="n">
        <v>5</v>
      </c>
      <c r="J135" s="1" t="n">
        <v>3</v>
      </c>
      <c r="K135" s="1" t="n">
        <v>3</v>
      </c>
      <c r="L135" s="1" t="n">
        <v>2</v>
      </c>
      <c r="M135" s="1" t="n">
        <v>0</v>
      </c>
      <c r="N135" s="1" t="n">
        <v>5</v>
      </c>
      <c r="O135" s="1" t="n">
        <v>0</v>
      </c>
      <c r="P135" s="1" t="n">
        <v>0</v>
      </c>
      <c r="Q135" s="1" t="n">
        <v>2</v>
      </c>
      <c r="R135" s="1" t="n">
        <v>0</v>
      </c>
      <c r="S135" s="1" t="n">
        <v>1</v>
      </c>
      <c r="T135" s="1" t="n">
        <v>0</v>
      </c>
      <c r="U135" s="1" t="n">
        <v>0</v>
      </c>
      <c r="V135" s="1" t="n">
        <v>0</v>
      </c>
      <c r="W135" s="1" t="n">
        <v>2</v>
      </c>
      <c r="X135" s="1" t="n">
        <v>0</v>
      </c>
      <c r="Y135" s="1" t="n">
        <v>0</v>
      </c>
      <c r="Z135" s="1" t="n">
        <v>0</v>
      </c>
      <c r="AA135" s="1" t="n">
        <v>1</v>
      </c>
      <c r="AB135" s="1" t="n">
        <v>0</v>
      </c>
      <c r="AC135" s="1" t="n">
        <v>0</v>
      </c>
    </row>
    <row r="136">
      <c r="A136" s="1" t="inlineStr">
        <is>
          <t>Huntington's disease</t>
        </is>
      </c>
      <c r="B136" s="1" t="inlineStr">
        <is>
          <t>MONDO_0007739</t>
        </is>
      </c>
      <c r="C136" s="1" t="inlineStr">
        <is>
          <t>synonym</t>
        </is>
      </c>
      <c r="D136" s="1" t="n">
        <v>0.1</v>
      </c>
      <c r="E136" s="1" t="n">
        <v>0</v>
      </c>
      <c r="F136" s="1" t="n">
        <v>0</v>
      </c>
      <c r="G136" s="1" t="n">
        <v>0</v>
      </c>
      <c r="H136" s="1" t="n">
        <v>240</v>
      </c>
      <c r="I136" s="1" t="n">
        <v>11</v>
      </c>
      <c r="J136" s="1" t="n">
        <v>2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</row>
    <row r="137">
      <c r="A137" s="1" t="inlineStr">
        <is>
          <t>type 2 diabetes mellitus</t>
        </is>
      </c>
      <c r="B137" s="1" t="inlineStr">
        <is>
          <t>MONDO_0005148</t>
        </is>
      </c>
      <c r="C137" s="1" t="inlineStr">
        <is>
          <t>name</t>
        </is>
      </c>
      <c r="D137" s="1" t="n">
        <v>0.1</v>
      </c>
      <c r="E137" s="1" t="n">
        <v>312</v>
      </c>
      <c r="F137" s="1" t="n">
        <v>776</v>
      </c>
      <c r="G137" s="1" t="n">
        <v>28</v>
      </c>
      <c r="H137" s="1" t="n">
        <v>2321</v>
      </c>
      <c r="I137" s="1" t="n">
        <v>56</v>
      </c>
      <c r="J137" s="1" t="n">
        <v>21</v>
      </c>
      <c r="K137" s="1" t="n">
        <v>14</v>
      </c>
      <c r="L137" s="1" t="n">
        <v>32</v>
      </c>
      <c r="M137" s="1" t="n">
        <v>3</v>
      </c>
      <c r="N137" s="1" t="n">
        <v>43</v>
      </c>
      <c r="O137" s="1" t="n">
        <v>4</v>
      </c>
      <c r="P137" s="1" t="n">
        <v>37</v>
      </c>
      <c r="Q137" s="1" t="n">
        <v>29</v>
      </c>
      <c r="R137" s="1" t="n">
        <v>50</v>
      </c>
      <c r="S137" s="1" t="n">
        <v>20</v>
      </c>
      <c r="T137" s="1" t="n">
        <v>9</v>
      </c>
      <c r="U137" s="1" t="n">
        <v>59</v>
      </c>
      <c r="V137" s="1" t="n">
        <v>3</v>
      </c>
      <c r="W137" s="1" t="n">
        <v>10</v>
      </c>
      <c r="X137" s="1" t="n">
        <v>10</v>
      </c>
      <c r="Y137" s="1" t="n">
        <v>4</v>
      </c>
      <c r="Z137" s="1" t="n">
        <v>18</v>
      </c>
      <c r="AA137" s="1" t="n">
        <v>6</v>
      </c>
      <c r="AB137" s="1" t="n">
        <v>12</v>
      </c>
      <c r="AC137" s="1" t="n">
        <v>9</v>
      </c>
    </row>
    <row r="138">
      <c r="A138" s="1" t="inlineStr">
        <is>
          <t>Hypoxia</t>
        </is>
      </c>
      <c r="B138" s="1" t="inlineStr">
        <is>
          <t>EFO_0009444</t>
        </is>
      </c>
      <c r="C138" s="1" t="inlineStr">
        <is>
          <t>name</t>
        </is>
      </c>
      <c r="D138" s="1" t="n">
        <v>0.1</v>
      </c>
      <c r="E138" s="1" t="n">
        <v>282</v>
      </c>
      <c r="F138" s="1" t="n">
        <v>100</v>
      </c>
      <c r="G138" s="1" t="n">
        <v>3</v>
      </c>
      <c r="H138" s="1" t="n">
        <v>153</v>
      </c>
      <c r="I138" s="1" t="n">
        <v>3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</row>
    <row r="139">
      <c r="A139" s="1" t="inlineStr">
        <is>
          <t>liver cirrhosis</t>
        </is>
      </c>
      <c r="B139" s="1" t="inlineStr">
        <is>
          <t>EFO_0001422</t>
        </is>
      </c>
      <c r="C139" s="1" t="inlineStr">
        <is>
          <t>synonym</t>
        </is>
      </c>
      <c r="D139" s="1" t="n">
        <v>0.1</v>
      </c>
      <c r="E139" s="1" t="n">
        <v>24</v>
      </c>
      <c r="F139" s="1" t="n">
        <v>67</v>
      </c>
      <c r="G139" s="1" t="n">
        <v>1</v>
      </c>
      <c r="H139" s="1" t="n">
        <v>727</v>
      </c>
      <c r="I139" s="1" t="n">
        <v>20</v>
      </c>
      <c r="J139" s="1" t="n">
        <v>10</v>
      </c>
      <c r="K139" s="1" t="n">
        <v>1</v>
      </c>
      <c r="L139" s="1" t="n">
        <v>1</v>
      </c>
      <c r="M139" s="1" t="n">
        <v>0</v>
      </c>
      <c r="N139" s="1" t="n">
        <v>2</v>
      </c>
      <c r="O139" s="1" t="n">
        <v>0</v>
      </c>
      <c r="P139" s="1" t="n">
        <v>0</v>
      </c>
      <c r="Q139" s="1" t="n">
        <v>1</v>
      </c>
      <c r="R139" s="1" t="n">
        <v>0</v>
      </c>
      <c r="S139" s="1" t="n">
        <v>1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1</v>
      </c>
      <c r="Y139" s="1" t="n">
        <v>0</v>
      </c>
      <c r="Z139" s="1" t="n">
        <v>0</v>
      </c>
      <c r="AA139" s="1" t="n">
        <v>1</v>
      </c>
      <c r="AB139" s="1" t="n">
        <v>0</v>
      </c>
      <c r="AC139" s="1" t="n">
        <v>0</v>
      </c>
    </row>
    <row r="140">
      <c r="A140" s="1" t="inlineStr">
        <is>
          <t>allergic contact dermatitis</t>
        </is>
      </c>
      <c r="B140" s="1" t="inlineStr">
        <is>
          <t>EFO_1000668</t>
        </is>
      </c>
      <c r="C140" s="1" t="inlineStr">
        <is>
          <t>name</t>
        </is>
      </c>
      <c r="D140" s="1" t="n">
        <v>0.1</v>
      </c>
      <c r="E140" s="1" t="n">
        <v>314</v>
      </c>
      <c r="F140" s="1" t="n">
        <v>136</v>
      </c>
      <c r="G140" s="1" t="n">
        <v>4</v>
      </c>
      <c r="H140" s="1" t="n">
        <v>17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</row>
    <row r="141">
      <c r="A141" s="1" t="inlineStr">
        <is>
          <t>myocardial infarction</t>
        </is>
      </c>
      <c r="B141" s="1" t="inlineStr">
        <is>
          <t>EFO_0000612</t>
        </is>
      </c>
      <c r="C141" s="1" t="inlineStr">
        <is>
          <t>name</t>
        </is>
      </c>
      <c r="D141" s="1" t="n">
        <v>0.1</v>
      </c>
      <c r="E141" s="1" t="n">
        <v>327</v>
      </c>
      <c r="F141" s="1" t="n">
        <v>183</v>
      </c>
      <c r="G141" s="1" t="n">
        <v>10</v>
      </c>
      <c r="H141" s="1" t="n">
        <v>1312</v>
      </c>
      <c r="I141" s="1" t="n">
        <v>30</v>
      </c>
      <c r="J141" s="1" t="n">
        <v>13</v>
      </c>
      <c r="K141" s="1" t="n">
        <v>11</v>
      </c>
      <c r="L141" s="1" t="n">
        <v>3</v>
      </c>
      <c r="M141" s="1" t="n">
        <v>1</v>
      </c>
      <c r="N141" s="1" t="n">
        <v>13</v>
      </c>
      <c r="O141" s="1" t="n">
        <v>0</v>
      </c>
      <c r="P141" s="1" t="n">
        <v>0</v>
      </c>
      <c r="Q141" s="1" t="n">
        <v>6</v>
      </c>
      <c r="R141" s="1" t="n">
        <v>6</v>
      </c>
      <c r="S141" s="1" t="n">
        <v>8</v>
      </c>
      <c r="T141" s="1" t="n">
        <v>0</v>
      </c>
      <c r="U141" s="1" t="n">
        <v>8</v>
      </c>
      <c r="V141" s="1" t="n">
        <v>0</v>
      </c>
      <c r="W141" s="1" t="n">
        <v>1</v>
      </c>
      <c r="X141" s="1" t="n">
        <v>1</v>
      </c>
      <c r="Y141" s="1" t="n">
        <v>0</v>
      </c>
      <c r="Z141" s="1" t="n">
        <v>2</v>
      </c>
      <c r="AA141" s="1" t="n">
        <v>5</v>
      </c>
      <c r="AB141" s="1" t="n">
        <v>3</v>
      </c>
      <c r="AC141" s="1" t="n">
        <v>0</v>
      </c>
    </row>
    <row r="142">
      <c r="A142" s="1" t="inlineStr">
        <is>
          <t>Psoriasis vulgaris</t>
        </is>
      </c>
      <c r="B142" s="1" t="inlineStr">
        <is>
          <t>EFO_1001494</t>
        </is>
      </c>
      <c r="C142" s="1" t="inlineStr">
        <is>
          <t>name</t>
        </is>
      </c>
      <c r="D142" s="1" t="n">
        <v>0.1</v>
      </c>
      <c r="E142" s="1" t="n">
        <v>320</v>
      </c>
      <c r="F142" s="1" t="n">
        <v>336</v>
      </c>
      <c r="G142" s="1" t="n">
        <v>17</v>
      </c>
      <c r="H142" s="1" t="n">
        <v>658</v>
      </c>
      <c r="I142" s="1" t="n">
        <v>6</v>
      </c>
      <c r="J142" s="1" t="n">
        <v>7</v>
      </c>
      <c r="K142" s="1" t="n">
        <v>7</v>
      </c>
      <c r="L142" s="1" t="n">
        <v>1</v>
      </c>
      <c r="M142" s="1" t="n">
        <v>1</v>
      </c>
      <c r="N142" s="1" t="n">
        <v>7</v>
      </c>
      <c r="O142" s="1" t="n">
        <v>1</v>
      </c>
      <c r="P142" s="1" t="n">
        <v>3</v>
      </c>
      <c r="Q142" s="1" t="n">
        <v>4</v>
      </c>
      <c r="R142" s="1" t="n">
        <v>2</v>
      </c>
      <c r="S142" s="1" t="n">
        <v>7</v>
      </c>
      <c r="T142" s="1" t="n">
        <v>0</v>
      </c>
      <c r="U142" s="1" t="n">
        <v>11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3</v>
      </c>
      <c r="AB142" s="1" t="n">
        <v>2</v>
      </c>
      <c r="AC142" s="1" t="n">
        <v>1</v>
      </c>
    </row>
    <row r="143">
      <c r="A143" s="1" t="inlineStr">
        <is>
          <t>alcohol abuse</t>
        </is>
      </c>
      <c r="B143" s="1" t="inlineStr">
        <is>
          <t>MONDO_0002046</t>
        </is>
      </c>
      <c r="C143" s="1" t="inlineStr">
        <is>
          <t>name</t>
        </is>
      </c>
      <c r="D143" s="1" t="n">
        <v>0.1</v>
      </c>
      <c r="E143" s="1" t="n">
        <v>6</v>
      </c>
      <c r="F143" s="1" t="n">
        <v>25</v>
      </c>
      <c r="G143" s="1" t="n">
        <v>0</v>
      </c>
      <c r="H143" s="1" t="n">
        <v>131</v>
      </c>
      <c r="I143" s="1" t="n">
        <v>7</v>
      </c>
      <c r="J143" s="1" t="n">
        <v>2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</row>
    <row r="144">
      <c r="A144" s="1" t="inlineStr">
        <is>
          <t>monoclonal gammopathy of uncertain significance</t>
        </is>
      </c>
      <c r="B144" s="1" t="inlineStr">
        <is>
          <t>EFO_0000203</t>
        </is>
      </c>
      <c r="C144" s="1" t="inlineStr">
        <is>
          <t>synonym</t>
        </is>
      </c>
      <c r="D144" s="1" t="n">
        <v>0.1</v>
      </c>
      <c r="E144" s="1" t="n">
        <v>293</v>
      </c>
      <c r="F144" s="1" t="n">
        <v>370</v>
      </c>
      <c r="G144" s="1" t="n">
        <v>11</v>
      </c>
      <c r="H144" s="1" t="n">
        <v>33</v>
      </c>
      <c r="I144" s="1" t="n">
        <v>1</v>
      </c>
      <c r="J144" s="1" t="n">
        <v>1</v>
      </c>
      <c r="K144" s="1" t="n">
        <v>1</v>
      </c>
      <c r="L144" s="1" t="n">
        <v>1</v>
      </c>
      <c r="M144" s="1" t="n">
        <v>1</v>
      </c>
      <c r="N144" s="1" t="n">
        <v>1</v>
      </c>
      <c r="O144" s="1" t="n">
        <v>0</v>
      </c>
      <c r="P144" s="1" t="n">
        <v>0</v>
      </c>
      <c r="Q144" s="1" t="n">
        <v>1</v>
      </c>
      <c r="R144" s="1" t="n">
        <v>0</v>
      </c>
      <c r="S144" s="1" t="n">
        <v>0</v>
      </c>
      <c r="T144" s="1" t="n">
        <v>0</v>
      </c>
      <c r="U144" s="1" t="n">
        <v>1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</row>
    <row r="145">
      <c r="A145" s="1" t="inlineStr">
        <is>
          <t>colon cancer</t>
        </is>
      </c>
      <c r="B145" s="1" t="inlineStr">
        <is>
          <t>EFO_1001950</t>
        </is>
      </c>
      <c r="C145" s="1" t="inlineStr">
        <is>
          <t>synonym</t>
        </is>
      </c>
      <c r="D145" s="1" t="n">
        <v>0.1</v>
      </c>
      <c r="E145" s="1" t="n">
        <v>224</v>
      </c>
      <c r="F145" s="1" t="n">
        <v>95</v>
      </c>
      <c r="G145" s="1" t="n">
        <v>4</v>
      </c>
      <c r="H145" s="1" t="n">
        <v>159</v>
      </c>
      <c r="I145" s="1" t="n">
        <v>2</v>
      </c>
      <c r="J145" s="1" t="n">
        <v>5</v>
      </c>
      <c r="K145" s="1" t="n">
        <v>4</v>
      </c>
      <c r="L145" s="1" t="n">
        <v>0</v>
      </c>
      <c r="M145" s="1" t="n">
        <v>0</v>
      </c>
      <c r="N145" s="1" t="n">
        <v>4</v>
      </c>
      <c r="O145" s="1" t="n">
        <v>0</v>
      </c>
      <c r="P145" s="1" t="n">
        <v>0</v>
      </c>
      <c r="Q145" s="1" t="n">
        <v>4</v>
      </c>
      <c r="R145" s="1" t="n">
        <v>0</v>
      </c>
      <c r="S145" s="1" t="n">
        <v>0</v>
      </c>
      <c r="T145" s="1" t="n">
        <v>1</v>
      </c>
      <c r="U145" s="1" t="n">
        <v>0</v>
      </c>
      <c r="V145" s="1" t="n">
        <v>0</v>
      </c>
      <c r="W145" s="1" t="n">
        <v>0</v>
      </c>
      <c r="X145" s="1" t="n">
        <v>3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</row>
    <row r="146">
      <c r="A146" s="1" t="inlineStr">
        <is>
          <t>hepatitis C</t>
        </is>
      </c>
      <c r="B146" s="1" t="inlineStr">
        <is>
          <t>EFO_0003047</t>
        </is>
      </c>
      <c r="C146" s="1" t="inlineStr">
        <is>
          <t>synonym</t>
        </is>
      </c>
      <c r="D146" s="1" t="n">
        <v>0.1</v>
      </c>
      <c r="E146" s="1" t="n">
        <v>37</v>
      </c>
      <c r="F146" s="1" t="n">
        <v>65</v>
      </c>
      <c r="G146" s="1" t="n">
        <v>0</v>
      </c>
      <c r="H146" s="1" t="n">
        <v>648</v>
      </c>
      <c r="I146" s="1" t="n">
        <v>15</v>
      </c>
      <c r="J146" s="1" t="n">
        <v>7</v>
      </c>
      <c r="K146" s="1" t="n">
        <v>0</v>
      </c>
      <c r="L146" s="1" t="n">
        <v>2</v>
      </c>
      <c r="M146" s="1" t="n">
        <v>0</v>
      </c>
      <c r="N146" s="1" t="n">
        <v>2</v>
      </c>
      <c r="O146" s="1" t="n">
        <v>0</v>
      </c>
      <c r="P146" s="1" t="n">
        <v>1</v>
      </c>
      <c r="Q146" s="1" t="n">
        <v>1</v>
      </c>
      <c r="R146" s="1" t="n">
        <v>0</v>
      </c>
      <c r="S146" s="1" t="n">
        <v>0</v>
      </c>
      <c r="T146" s="1" t="n">
        <v>0</v>
      </c>
      <c r="U146" s="1" t="n">
        <v>1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1</v>
      </c>
    </row>
    <row r="147">
      <c r="A147" s="1" t="inlineStr">
        <is>
          <t>Squamous cell carcinoma of mouth</t>
        </is>
      </c>
      <c r="B147" s="1" t="inlineStr">
        <is>
          <t>EFO_0000199</t>
        </is>
      </c>
      <c r="C147" s="1" t="inlineStr">
        <is>
          <t>synonym</t>
        </is>
      </c>
      <c r="D147" s="1" t="n">
        <v>0.1</v>
      </c>
      <c r="E147" s="1" t="n">
        <v>379</v>
      </c>
      <c r="F147" s="1" t="n">
        <v>1177</v>
      </c>
      <c r="G147" s="1" t="n">
        <v>58</v>
      </c>
      <c r="H147" s="1" t="n">
        <v>401</v>
      </c>
      <c r="I147" s="1" t="n">
        <v>7</v>
      </c>
      <c r="J147" s="1" t="n">
        <v>8</v>
      </c>
      <c r="K147" s="1" t="n">
        <v>8</v>
      </c>
      <c r="L147" s="1" t="n">
        <v>7</v>
      </c>
      <c r="M147" s="1" t="n">
        <v>3</v>
      </c>
      <c r="N147" s="1" t="n">
        <v>12</v>
      </c>
      <c r="O147" s="1" t="n">
        <v>1</v>
      </c>
      <c r="P147" s="1" t="n">
        <v>1</v>
      </c>
      <c r="Q147" s="1" t="n">
        <v>13</v>
      </c>
      <c r="R147" s="1" t="n">
        <v>4</v>
      </c>
      <c r="S147" s="1" t="n">
        <v>0</v>
      </c>
      <c r="T147" s="1" t="n">
        <v>4</v>
      </c>
      <c r="U147" s="1" t="n">
        <v>7</v>
      </c>
      <c r="V147" s="1" t="n">
        <v>0</v>
      </c>
      <c r="W147" s="1" t="n">
        <v>1</v>
      </c>
      <c r="X147" s="1" t="n">
        <v>6</v>
      </c>
      <c r="Y147" s="1" t="n">
        <v>0</v>
      </c>
      <c r="Z147" s="1" t="n">
        <v>0</v>
      </c>
      <c r="AA147" s="1" t="n">
        <v>0</v>
      </c>
      <c r="AB147" s="1" t="n">
        <v>1</v>
      </c>
      <c r="AC147" s="1" t="n">
        <v>0</v>
      </c>
    </row>
    <row r="148">
      <c r="A148" s="1" t="inlineStr">
        <is>
          <t>Vulvar intraepithelial tumor</t>
        </is>
      </c>
      <c r="B148" s="1" t="inlineStr">
        <is>
          <t>EFO_0002627</t>
        </is>
      </c>
      <c r="C148" s="1" t="inlineStr">
        <is>
          <t>synonym</t>
        </is>
      </c>
      <c r="D148" s="1" t="n">
        <v>0.1</v>
      </c>
      <c r="E148" s="1" t="n">
        <v>266</v>
      </c>
      <c r="F148" s="1" t="n">
        <v>413</v>
      </c>
      <c r="G148" s="1" t="n">
        <v>12</v>
      </c>
      <c r="H148" s="1" t="n">
        <v>8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</row>
    <row r="149">
      <c r="A149" s="1" t="inlineStr">
        <is>
          <t>bronchopulmonary dysplasia</t>
        </is>
      </c>
      <c r="B149" s="1" t="inlineStr">
        <is>
          <t>MONDO_0019091</t>
        </is>
      </c>
      <c r="C149" s="1" t="inlineStr">
        <is>
          <t>name</t>
        </is>
      </c>
      <c r="D149" s="1" t="n">
        <v>0.1</v>
      </c>
      <c r="E149" s="1" t="n">
        <v>159</v>
      </c>
      <c r="F149" s="1" t="n">
        <v>39</v>
      </c>
      <c r="G149" s="1" t="n">
        <v>0</v>
      </c>
      <c r="H149" s="1" t="n">
        <v>448</v>
      </c>
      <c r="I149" s="1" t="n">
        <v>6</v>
      </c>
      <c r="J149" s="1" t="n">
        <v>4</v>
      </c>
      <c r="K149" s="1" t="n">
        <v>2</v>
      </c>
      <c r="L149" s="1" t="n">
        <v>1</v>
      </c>
      <c r="M149" s="1" t="n">
        <v>0</v>
      </c>
      <c r="N149" s="1" t="n">
        <v>3</v>
      </c>
      <c r="O149" s="1" t="n">
        <v>0</v>
      </c>
      <c r="P149" s="1" t="n">
        <v>1</v>
      </c>
      <c r="Q149" s="1" t="n">
        <v>3</v>
      </c>
      <c r="R149" s="1" t="n">
        <v>2</v>
      </c>
      <c r="S149" s="1" t="n">
        <v>0</v>
      </c>
      <c r="T149" s="1" t="n">
        <v>0</v>
      </c>
      <c r="U149" s="1" t="n">
        <v>4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1</v>
      </c>
      <c r="AC149" s="1" t="n">
        <v>1</v>
      </c>
    </row>
    <row r="150">
      <c r="A150" s="1" t="inlineStr">
        <is>
          <t>Setleis syndrome</t>
        </is>
      </c>
      <c r="B150" s="1" t="inlineStr">
        <is>
          <t>MONDO_0013996</t>
        </is>
      </c>
      <c r="C150" s="1" t="inlineStr">
        <is>
          <t>synonym</t>
        </is>
      </c>
      <c r="D150" s="1" t="n">
        <v>0.1</v>
      </c>
      <c r="E150" s="1" t="n">
        <v>152</v>
      </c>
      <c r="F150" s="1" t="n">
        <v>402</v>
      </c>
      <c r="G150" s="1" t="n">
        <v>7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</row>
    <row r="151">
      <c r="A151" s="1" t="inlineStr">
        <is>
          <t>psoriasis</t>
        </is>
      </c>
      <c r="B151" s="1" t="inlineStr">
        <is>
          <t>EFO_0000676</t>
        </is>
      </c>
      <c r="C151" s="1" t="inlineStr">
        <is>
          <t>name</t>
        </is>
      </c>
      <c r="D151" s="1" t="n">
        <v>0.1</v>
      </c>
      <c r="E151" s="1" t="n">
        <v>335</v>
      </c>
      <c r="F151" s="1" t="n">
        <v>99</v>
      </c>
      <c r="G151" s="1" t="n">
        <v>4</v>
      </c>
      <c r="H151" s="1" t="n">
        <v>1473</v>
      </c>
      <c r="I151" s="1" t="n">
        <v>24</v>
      </c>
      <c r="J151" s="1" t="n">
        <v>15</v>
      </c>
      <c r="K151" s="1" t="n">
        <v>14</v>
      </c>
      <c r="L151" s="1" t="n">
        <v>2</v>
      </c>
      <c r="M151" s="1" t="n">
        <v>1</v>
      </c>
      <c r="N151" s="1" t="n">
        <v>15</v>
      </c>
      <c r="O151" s="1" t="n">
        <v>2</v>
      </c>
      <c r="P151" s="1" t="n">
        <v>10</v>
      </c>
      <c r="Q151" s="1" t="n">
        <v>15</v>
      </c>
      <c r="R151" s="1" t="n">
        <v>10</v>
      </c>
      <c r="S151" s="1" t="n">
        <v>22</v>
      </c>
      <c r="T151" s="1" t="n">
        <v>1</v>
      </c>
      <c r="U151" s="1" t="n">
        <v>31</v>
      </c>
      <c r="V151" s="1" t="n">
        <v>0</v>
      </c>
      <c r="W151" s="1" t="n">
        <v>3</v>
      </c>
      <c r="X151" s="1" t="n">
        <v>6</v>
      </c>
      <c r="Y151" s="1" t="n">
        <v>0</v>
      </c>
      <c r="Z151" s="1" t="n">
        <v>3</v>
      </c>
      <c r="AA151" s="1" t="n">
        <v>7</v>
      </c>
      <c r="AB151" s="1" t="n">
        <v>5</v>
      </c>
      <c r="AC151" s="1" t="n">
        <v>3</v>
      </c>
    </row>
    <row r="152">
      <c r="A152" s="1" t="inlineStr">
        <is>
          <t>oligodendroglioma</t>
        </is>
      </c>
      <c r="B152" s="1" t="inlineStr">
        <is>
          <t>EFO_0000632</t>
        </is>
      </c>
      <c r="C152" s="1" t="inlineStr">
        <is>
          <t>name</t>
        </is>
      </c>
      <c r="D152" s="1" t="n">
        <v>0.1</v>
      </c>
      <c r="E152" s="1" t="n">
        <v>193</v>
      </c>
      <c r="F152" s="1" t="n">
        <v>235</v>
      </c>
      <c r="G152" s="1" t="n">
        <v>3</v>
      </c>
      <c r="H152" s="1" t="n">
        <v>135</v>
      </c>
      <c r="I152" s="1" t="n">
        <v>2</v>
      </c>
      <c r="J152" s="1" t="n">
        <v>4</v>
      </c>
      <c r="K152" s="1" t="n">
        <v>2</v>
      </c>
      <c r="L152" s="1" t="n">
        <v>0</v>
      </c>
      <c r="M152" s="1" t="n">
        <v>0</v>
      </c>
      <c r="N152" s="1" t="n">
        <v>2</v>
      </c>
      <c r="O152" s="1" t="n">
        <v>0</v>
      </c>
      <c r="P152" s="1" t="n">
        <v>0</v>
      </c>
      <c r="Q152" s="1" t="n">
        <v>2</v>
      </c>
      <c r="R152" s="1" t="n">
        <v>0</v>
      </c>
      <c r="S152" s="1" t="n">
        <v>0</v>
      </c>
      <c r="T152" s="1" t="n">
        <v>1</v>
      </c>
      <c r="U152" s="1" t="n">
        <v>1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</row>
    <row r="153">
      <c r="A153" s="1" t="inlineStr">
        <is>
          <t>lung large cell carcinoma</t>
        </is>
      </c>
      <c r="B153" s="1" t="inlineStr">
        <is>
          <t>EFO_0003050</t>
        </is>
      </c>
      <c r="C153" s="1" t="inlineStr">
        <is>
          <t>synonym</t>
        </is>
      </c>
      <c r="D153" s="1" t="n">
        <v>0.1</v>
      </c>
      <c r="E153" s="1" t="n">
        <v>348</v>
      </c>
      <c r="F153" s="1" t="n">
        <v>26</v>
      </c>
      <c r="G153" s="1" t="n">
        <v>0</v>
      </c>
      <c r="H153" s="1" t="n">
        <v>250</v>
      </c>
      <c r="I153" s="1" t="n">
        <v>3</v>
      </c>
      <c r="J153" s="1" t="n">
        <v>6</v>
      </c>
      <c r="K153" s="1" t="n">
        <v>5</v>
      </c>
      <c r="L153" s="1" t="n">
        <v>1</v>
      </c>
      <c r="M153" s="1" t="n">
        <v>0</v>
      </c>
      <c r="N153" s="1" t="n">
        <v>6</v>
      </c>
      <c r="O153" s="1" t="n">
        <v>0</v>
      </c>
      <c r="P153" s="1" t="n">
        <v>1</v>
      </c>
      <c r="Q153" s="1" t="n">
        <v>7</v>
      </c>
      <c r="R153" s="1" t="n">
        <v>2</v>
      </c>
      <c r="S153" s="1" t="n">
        <v>0</v>
      </c>
      <c r="T153" s="1" t="n">
        <v>4</v>
      </c>
      <c r="U153" s="1" t="n">
        <v>3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3</v>
      </c>
      <c r="AA153" s="1" t="n">
        <v>0</v>
      </c>
      <c r="AB153" s="1" t="n">
        <v>0</v>
      </c>
      <c r="AC153" s="1" t="n">
        <v>0</v>
      </c>
    </row>
    <row r="154">
      <c r="A154" s="1" t="inlineStr">
        <is>
          <t>cerebral palsy</t>
        </is>
      </c>
      <c r="B154" s="1" t="inlineStr">
        <is>
          <t>EFO_1000632</t>
        </is>
      </c>
      <c r="C154" s="1" t="inlineStr">
        <is>
          <t>name</t>
        </is>
      </c>
      <c r="D154" s="1" t="n">
        <v>0.1</v>
      </c>
      <c r="E154" s="1" t="n">
        <v>148</v>
      </c>
      <c r="F154" s="1" t="n">
        <v>29</v>
      </c>
      <c r="G154" s="1" t="n">
        <v>0</v>
      </c>
      <c r="H154" s="1" t="n">
        <v>287</v>
      </c>
      <c r="I154" s="1" t="n">
        <v>3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1</v>
      </c>
      <c r="O154" s="1" t="n">
        <v>0</v>
      </c>
      <c r="P154" s="1" t="n">
        <v>0</v>
      </c>
      <c r="Q154" s="1" t="n">
        <v>1</v>
      </c>
      <c r="R154" s="1" t="n">
        <v>1</v>
      </c>
      <c r="S154" s="1" t="n">
        <v>3</v>
      </c>
      <c r="T154" s="1" t="n">
        <v>0</v>
      </c>
      <c r="U154" s="1" t="n">
        <v>3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1</v>
      </c>
      <c r="AA154" s="1" t="n">
        <v>1</v>
      </c>
      <c r="AB154" s="1" t="n">
        <v>0</v>
      </c>
      <c r="AC154" s="1" t="n">
        <v>0</v>
      </c>
    </row>
    <row r="155">
      <c r="A155" s="1" t="inlineStr">
        <is>
          <t>cleft lip</t>
        </is>
      </c>
      <c r="B155" s="1" t="inlineStr">
        <is>
          <t>EFO_0003959</t>
        </is>
      </c>
      <c r="C155" s="1" t="inlineStr">
        <is>
          <t>name</t>
        </is>
      </c>
      <c r="D155" s="1" t="n">
        <v>0.1</v>
      </c>
      <c r="E155" s="1" t="n">
        <v>89</v>
      </c>
      <c r="F155" s="1" t="n">
        <v>40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</row>
    <row r="156">
      <c r="A156" s="1" t="inlineStr">
        <is>
          <t>dengue hemorrhagic fever</t>
        </is>
      </c>
      <c r="B156" s="1" t="inlineStr">
        <is>
          <t>EFO_0004227</t>
        </is>
      </c>
      <c r="C156" s="1" t="inlineStr">
        <is>
          <t>name</t>
        </is>
      </c>
      <c r="D156" s="1" t="n">
        <v>0.1</v>
      </c>
      <c r="E156" s="1" t="n">
        <v>313</v>
      </c>
      <c r="F156" s="1" t="n">
        <v>144</v>
      </c>
      <c r="G156" s="1" t="n">
        <v>8</v>
      </c>
      <c r="H156" s="1" t="n">
        <v>10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</row>
    <row r="157">
      <c r="A157" s="1" t="inlineStr">
        <is>
          <t>gastrointestinal stromal tumor</t>
        </is>
      </c>
      <c r="B157" s="1" t="inlineStr">
        <is>
          <t>MONDO_0011719</t>
        </is>
      </c>
      <c r="C157" s="1" t="inlineStr">
        <is>
          <t>name</t>
        </is>
      </c>
      <c r="D157" s="1" t="n">
        <v>0.1</v>
      </c>
      <c r="E157" s="1" t="n">
        <v>22</v>
      </c>
      <c r="F157" s="1" t="n">
        <v>1</v>
      </c>
      <c r="G157" s="1" t="n">
        <v>0</v>
      </c>
      <c r="H157" s="1" t="n">
        <v>464</v>
      </c>
      <c r="I157" s="1" t="n">
        <v>5</v>
      </c>
      <c r="J157" s="1" t="n">
        <v>16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</row>
    <row r="158">
      <c r="A158" s="1" t="inlineStr">
        <is>
          <t>cellular phase chronic idiopathic myelofibrosis</t>
        </is>
      </c>
      <c r="B158" s="1" t="n">
        <v>0</v>
      </c>
      <c r="C158" s="1" t="inlineStr">
        <is>
          <t>no_match</t>
        </is>
      </c>
      <c r="D158" s="1" t="n">
        <v>0.1</v>
      </c>
      <c r="E158" s="1" t="n">
        <v>262</v>
      </c>
      <c r="F158" s="1" t="n">
        <v>122</v>
      </c>
      <c r="G158" s="1" t="n">
        <v>3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</row>
    <row r="159">
      <c r="A159" s="1" t="inlineStr">
        <is>
          <t>head and neck squamous cell carcinoma</t>
        </is>
      </c>
      <c r="B159" s="1" t="inlineStr">
        <is>
          <t>EFO_0000181</t>
        </is>
      </c>
      <c r="C159" s="1" t="inlineStr">
        <is>
          <t>name</t>
        </is>
      </c>
      <c r="D159" s="1" t="n">
        <v>0.1</v>
      </c>
      <c r="E159" s="1" t="n">
        <v>270</v>
      </c>
      <c r="F159" s="1" t="n">
        <v>3</v>
      </c>
      <c r="G159" s="1" t="n">
        <v>0</v>
      </c>
      <c r="H159" s="1" t="n">
        <v>1045</v>
      </c>
      <c r="I159" s="1" t="n">
        <v>14</v>
      </c>
      <c r="J159" s="1" t="n">
        <v>27</v>
      </c>
      <c r="K159" s="1" t="n">
        <v>15</v>
      </c>
      <c r="L159" s="1" t="n">
        <v>0</v>
      </c>
      <c r="M159" s="1" t="n">
        <v>0</v>
      </c>
      <c r="N159" s="1" t="n">
        <v>15</v>
      </c>
      <c r="O159" s="1" t="n">
        <v>1</v>
      </c>
      <c r="P159" s="1" t="n">
        <v>16</v>
      </c>
      <c r="Q159" s="1" t="n">
        <v>19</v>
      </c>
      <c r="R159" s="1" t="n">
        <v>4</v>
      </c>
      <c r="S159" s="1" t="n">
        <v>0</v>
      </c>
      <c r="T159" s="1" t="n">
        <v>3</v>
      </c>
      <c r="U159" s="1" t="n">
        <v>14</v>
      </c>
      <c r="V159" s="1" t="n">
        <v>0</v>
      </c>
      <c r="W159" s="1" t="n">
        <v>2</v>
      </c>
      <c r="X159" s="1" t="n">
        <v>8</v>
      </c>
      <c r="Y159" s="1" t="n">
        <v>0</v>
      </c>
      <c r="Z159" s="1" t="n">
        <v>7</v>
      </c>
      <c r="AA159" s="1" t="n">
        <v>0</v>
      </c>
      <c r="AB159" s="1" t="n">
        <v>2</v>
      </c>
      <c r="AC159" s="1" t="n">
        <v>4</v>
      </c>
    </row>
    <row r="160">
      <c r="A160" s="1" t="inlineStr">
        <is>
          <t>colorectal cancer</t>
        </is>
      </c>
      <c r="B160" s="1" t="inlineStr">
        <is>
          <t>MONDO_0005575</t>
        </is>
      </c>
      <c r="C160" s="1" t="inlineStr">
        <is>
          <t>name</t>
        </is>
      </c>
      <c r="D160" s="1" t="n">
        <v>0.1</v>
      </c>
      <c r="E160" s="1" t="n">
        <v>201</v>
      </c>
      <c r="F160" s="1" t="n">
        <v>123</v>
      </c>
      <c r="G160" s="1" t="n">
        <v>3</v>
      </c>
      <c r="H160" s="1" t="n">
        <v>2124</v>
      </c>
      <c r="I160" s="1" t="n">
        <v>36</v>
      </c>
      <c r="J160" s="1" t="n">
        <v>46</v>
      </c>
      <c r="K160" s="1" t="n">
        <v>26</v>
      </c>
      <c r="L160" s="1" t="n">
        <v>7</v>
      </c>
      <c r="M160" s="1" t="n">
        <v>0</v>
      </c>
      <c r="N160" s="1" t="n">
        <v>33</v>
      </c>
      <c r="O160" s="1" t="n">
        <v>1</v>
      </c>
      <c r="P160" s="1" t="n">
        <v>37</v>
      </c>
      <c r="Q160" s="1" t="n">
        <v>47</v>
      </c>
      <c r="R160" s="1" t="n">
        <v>20</v>
      </c>
      <c r="S160" s="1" t="n">
        <v>0</v>
      </c>
      <c r="T160" s="1" t="n">
        <v>7</v>
      </c>
      <c r="U160" s="1" t="n">
        <v>39</v>
      </c>
      <c r="V160" s="1" t="n">
        <v>0</v>
      </c>
      <c r="W160" s="1" t="n">
        <v>5</v>
      </c>
      <c r="X160" s="1" t="n">
        <v>16</v>
      </c>
      <c r="Y160" s="1" t="n">
        <v>0</v>
      </c>
      <c r="Z160" s="1" t="n">
        <v>15</v>
      </c>
      <c r="AA160" s="1" t="n">
        <v>0</v>
      </c>
      <c r="AB160" s="1" t="n">
        <v>17</v>
      </c>
      <c r="AC160" s="1" t="n">
        <v>6</v>
      </c>
    </row>
    <row r="161">
      <c r="A161" s="1" t="inlineStr">
        <is>
          <t>endometriosis of ovary</t>
        </is>
      </c>
      <c r="B161" s="1" t="inlineStr">
        <is>
          <t>EFO_1000418</t>
        </is>
      </c>
      <c r="C161" s="1" t="inlineStr">
        <is>
          <t>synonym</t>
        </is>
      </c>
      <c r="D161" s="1" t="n">
        <v>0.1</v>
      </c>
      <c r="E161" s="1" t="n">
        <v>163</v>
      </c>
      <c r="F161" s="1" t="n">
        <v>13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</row>
    <row r="162">
      <c r="A162" s="1" t="inlineStr">
        <is>
          <t>idiopathic interstitial pneumonia</t>
        </is>
      </c>
      <c r="B162" s="1" t="inlineStr">
        <is>
          <t>MONDO_0002429</t>
        </is>
      </c>
      <c r="C162" s="1" t="inlineStr">
        <is>
          <t>name</t>
        </is>
      </c>
      <c r="D162" s="1" t="n">
        <v>0.1</v>
      </c>
      <c r="E162" s="1" t="n">
        <v>80</v>
      </c>
      <c r="F162" s="1" t="n">
        <v>42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</row>
    <row r="163">
      <c r="A163" s="1" t="inlineStr">
        <is>
          <t>multiple sclerosis</t>
        </is>
      </c>
      <c r="B163" s="1" t="inlineStr">
        <is>
          <t>MONDO_0005301</t>
        </is>
      </c>
      <c r="C163" s="1" t="inlineStr">
        <is>
          <t>name</t>
        </is>
      </c>
      <c r="D163" s="1" t="n">
        <v>0.1</v>
      </c>
      <c r="E163" s="1" t="n">
        <v>141</v>
      </c>
      <c r="F163" s="1" t="n">
        <v>360</v>
      </c>
      <c r="G163" s="1" t="n">
        <v>7</v>
      </c>
      <c r="H163" s="1" t="n">
        <v>1885</v>
      </c>
      <c r="I163" s="1" t="n">
        <v>43</v>
      </c>
      <c r="J163" s="1" t="n">
        <v>16</v>
      </c>
      <c r="K163" s="1" t="n">
        <v>7</v>
      </c>
      <c r="L163" s="1" t="n">
        <v>14</v>
      </c>
      <c r="M163" s="1" t="n">
        <v>1</v>
      </c>
      <c r="N163" s="1" t="n">
        <v>20</v>
      </c>
      <c r="O163" s="1" t="n">
        <v>1</v>
      </c>
      <c r="P163" s="1" t="n">
        <v>3</v>
      </c>
      <c r="Q163" s="1" t="n">
        <v>13</v>
      </c>
      <c r="R163" s="1" t="n">
        <v>11</v>
      </c>
      <c r="S163" s="1" t="n">
        <v>5</v>
      </c>
      <c r="T163" s="1" t="n">
        <v>2</v>
      </c>
      <c r="U163" s="1" t="n">
        <v>14</v>
      </c>
      <c r="V163" s="1" t="n">
        <v>0</v>
      </c>
      <c r="W163" s="1" t="n">
        <v>0</v>
      </c>
      <c r="X163" s="1" t="n">
        <v>1</v>
      </c>
      <c r="Y163" s="1" t="n">
        <v>0</v>
      </c>
      <c r="Z163" s="1" t="n">
        <v>6</v>
      </c>
      <c r="AA163" s="1" t="n">
        <v>4</v>
      </c>
      <c r="AB163" s="1" t="n">
        <v>4</v>
      </c>
      <c r="AC163" s="1" t="n">
        <v>2</v>
      </c>
    </row>
    <row r="164">
      <c r="A164" s="1" t="inlineStr">
        <is>
          <t>lupus erythematosus</t>
        </is>
      </c>
      <c r="B164" s="1" t="inlineStr">
        <is>
          <t>MONDO_0004670</t>
        </is>
      </c>
      <c r="C164" s="1" t="inlineStr">
        <is>
          <t>name</t>
        </is>
      </c>
      <c r="D164" s="1" t="n">
        <v>0.1</v>
      </c>
      <c r="E164" s="1" t="n">
        <v>216</v>
      </c>
      <c r="F164" s="1" t="n">
        <v>65</v>
      </c>
      <c r="G164" s="1" t="n">
        <v>0</v>
      </c>
      <c r="H164" s="1" t="n">
        <v>45</v>
      </c>
      <c r="I164" s="1" t="n">
        <v>0</v>
      </c>
      <c r="J164" s="1" t="n">
        <v>1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</row>
    <row r="165">
      <c r="A165" s="1" t="inlineStr">
        <is>
          <t>pulmonary fibrosis</t>
        </is>
      </c>
      <c r="B165" s="1" t="inlineStr">
        <is>
          <t>EFO_0009448</t>
        </is>
      </c>
      <c r="C165" s="1" t="inlineStr">
        <is>
          <t>name</t>
        </is>
      </c>
      <c r="D165" s="1" t="n">
        <v>0.1</v>
      </c>
      <c r="E165" s="1" t="n">
        <v>282</v>
      </c>
      <c r="F165" s="1" t="n">
        <v>4</v>
      </c>
      <c r="G165" s="1" t="n">
        <v>1</v>
      </c>
      <c r="H165" s="1" t="n">
        <v>232</v>
      </c>
      <c r="I165" s="1" t="n">
        <v>3</v>
      </c>
      <c r="J165" s="1" t="n">
        <v>1</v>
      </c>
      <c r="K165" s="1" t="n">
        <v>1</v>
      </c>
      <c r="L165" s="1" t="n">
        <v>0</v>
      </c>
      <c r="M165" s="1" t="n">
        <v>0</v>
      </c>
      <c r="N165" s="1" t="n">
        <v>1</v>
      </c>
      <c r="O165" s="1" t="n">
        <v>0</v>
      </c>
      <c r="P165" s="1" t="n">
        <v>0</v>
      </c>
      <c r="Q165" s="1" t="n">
        <v>1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1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</row>
    <row r="166">
      <c r="A166" s="1" t="inlineStr">
        <is>
          <t>Epithelial proliferation</t>
        </is>
      </c>
      <c r="B166" s="1" t="n">
        <v>0</v>
      </c>
      <c r="C166" s="1" t="inlineStr">
        <is>
          <t>no_match</t>
        </is>
      </c>
      <c r="D166" s="1" t="n">
        <v>0.1</v>
      </c>
      <c r="E166" s="1" t="n">
        <v>55</v>
      </c>
      <c r="F166" s="1" t="n">
        <v>81</v>
      </c>
      <c r="G166" s="1" t="n">
        <v>3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</row>
    <row r="167">
      <c r="A167" s="1" t="inlineStr">
        <is>
          <t>interstitial cystitis</t>
        </is>
      </c>
      <c r="B167" s="1" t="inlineStr">
        <is>
          <t>EFO_0008507</t>
        </is>
      </c>
      <c r="C167" s="1" t="inlineStr">
        <is>
          <t>name</t>
        </is>
      </c>
      <c r="D167" s="1" t="n">
        <v>0.1</v>
      </c>
      <c r="E167" s="1" t="n">
        <v>60</v>
      </c>
      <c r="F167" s="1" t="n">
        <v>1</v>
      </c>
      <c r="G167" s="1" t="n">
        <v>0</v>
      </c>
      <c r="H167" s="1" t="n">
        <v>281</v>
      </c>
      <c r="I167" s="1" t="n">
        <v>5</v>
      </c>
      <c r="J167" s="1" t="n">
        <v>1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</row>
    <row r="168">
      <c r="A168" s="1" t="inlineStr">
        <is>
          <t>Urothelial carcinoma in situ</t>
        </is>
      </c>
      <c r="B168" s="1" t="n">
        <v>0</v>
      </c>
      <c r="C168" s="1" t="inlineStr">
        <is>
          <t>no_match</t>
        </is>
      </c>
      <c r="D168" s="1" t="n">
        <v>0.1</v>
      </c>
      <c r="E168" s="1" t="n">
        <v>100</v>
      </c>
      <c r="F168" s="1" t="n">
        <v>670</v>
      </c>
      <c r="G168" s="1" t="n">
        <v>9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</row>
    <row r="169">
      <c r="A169" s="1" t="inlineStr">
        <is>
          <t>pancreatic non-invasive intraductal papillary-mucinous carcinoma</t>
        </is>
      </c>
      <c r="B169" s="1" t="n">
        <v>0</v>
      </c>
      <c r="C169" s="1" t="inlineStr">
        <is>
          <t>no_match</t>
        </is>
      </c>
      <c r="D169" s="1" t="n">
        <v>0.1</v>
      </c>
      <c r="E169" s="1" t="n">
        <v>236</v>
      </c>
      <c r="F169" s="1" t="n">
        <v>191</v>
      </c>
      <c r="G169" s="1" t="n">
        <v>8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</row>
    <row r="170">
      <c r="A170" s="1" t="inlineStr">
        <is>
          <t>swine influenza</t>
        </is>
      </c>
      <c r="B170" s="1" t="inlineStr">
        <is>
          <t>EFO_0005226</t>
        </is>
      </c>
      <c r="C170" s="1" t="inlineStr">
        <is>
          <t>name</t>
        </is>
      </c>
      <c r="D170" s="1" t="n">
        <v>0.1</v>
      </c>
      <c r="E170" s="1" t="n">
        <v>314</v>
      </c>
      <c r="F170" s="1" t="n">
        <v>12</v>
      </c>
      <c r="G170" s="1" t="n">
        <v>1</v>
      </c>
      <c r="H170" s="1" t="n">
        <v>6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</row>
    <row r="171">
      <c r="A171" s="1" t="inlineStr">
        <is>
          <t>rheumatoid arthritis</t>
        </is>
      </c>
      <c r="B171" s="1" t="inlineStr">
        <is>
          <t>EFO_0000685</t>
        </is>
      </c>
      <c r="C171" s="1" t="inlineStr">
        <is>
          <t>name</t>
        </is>
      </c>
      <c r="D171" s="1" t="n">
        <v>0.1</v>
      </c>
      <c r="E171" s="1" t="n">
        <v>273</v>
      </c>
      <c r="F171" s="1" t="n">
        <v>264</v>
      </c>
      <c r="G171" s="1" t="n">
        <v>8</v>
      </c>
      <c r="H171" s="1" t="n">
        <v>2397</v>
      </c>
      <c r="I171" s="1" t="n">
        <v>45</v>
      </c>
      <c r="J171" s="1" t="n">
        <v>25</v>
      </c>
      <c r="K171" s="1" t="n">
        <v>16</v>
      </c>
      <c r="L171" s="1" t="n">
        <v>12</v>
      </c>
      <c r="M171" s="1" t="n">
        <v>3</v>
      </c>
      <c r="N171" s="1" t="n">
        <v>25</v>
      </c>
      <c r="O171" s="1" t="n">
        <v>1</v>
      </c>
      <c r="P171" s="1" t="n">
        <v>12</v>
      </c>
      <c r="Q171" s="1" t="n">
        <v>22</v>
      </c>
      <c r="R171" s="1" t="n">
        <v>20</v>
      </c>
      <c r="S171" s="1" t="n">
        <v>28</v>
      </c>
      <c r="T171" s="1" t="n">
        <v>4</v>
      </c>
      <c r="U171" s="1" t="n">
        <v>31</v>
      </c>
      <c r="V171" s="1" t="n">
        <v>0</v>
      </c>
      <c r="W171" s="1" t="n">
        <v>2</v>
      </c>
      <c r="X171" s="1" t="n">
        <v>14</v>
      </c>
      <c r="Y171" s="1" t="n">
        <v>0</v>
      </c>
      <c r="Z171" s="1" t="n">
        <v>13</v>
      </c>
      <c r="AA171" s="1" t="n">
        <v>12</v>
      </c>
      <c r="AB171" s="1" t="n">
        <v>4</v>
      </c>
      <c r="AC171" s="1" t="n">
        <v>3</v>
      </c>
    </row>
    <row r="172">
      <c r="A172" s="1" t="inlineStr">
        <is>
          <t>Sjogren's syndrome</t>
        </is>
      </c>
      <c r="B172" s="1" t="inlineStr">
        <is>
          <t>EFO_0000699</t>
        </is>
      </c>
      <c r="C172" s="1" t="inlineStr">
        <is>
          <t>synonym</t>
        </is>
      </c>
      <c r="D172" s="1" t="n">
        <v>0.1</v>
      </c>
      <c r="E172" s="1" t="n">
        <v>316</v>
      </c>
      <c r="F172" s="1" t="n">
        <v>727</v>
      </c>
      <c r="G172" s="1" t="n">
        <v>29</v>
      </c>
      <c r="H172" s="1" t="n">
        <v>304</v>
      </c>
      <c r="I172" s="1" t="n">
        <v>6</v>
      </c>
      <c r="J172" s="1" t="n">
        <v>4</v>
      </c>
      <c r="K172" s="1" t="n">
        <v>4</v>
      </c>
      <c r="L172" s="1" t="n">
        <v>4</v>
      </c>
      <c r="M172" s="1" t="n">
        <v>0</v>
      </c>
      <c r="N172" s="1" t="n">
        <v>8</v>
      </c>
      <c r="O172" s="1" t="n">
        <v>0</v>
      </c>
      <c r="P172" s="1" t="n">
        <v>2</v>
      </c>
      <c r="Q172" s="1" t="n">
        <v>5</v>
      </c>
      <c r="R172" s="1" t="n">
        <v>0</v>
      </c>
      <c r="S172" s="1" t="n">
        <v>1</v>
      </c>
      <c r="T172" s="1" t="n">
        <v>0</v>
      </c>
      <c r="U172" s="1" t="n">
        <v>2</v>
      </c>
      <c r="V172" s="1" t="n">
        <v>0</v>
      </c>
      <c r="W172" s="1" t="n">
        <v>1</v>
      </c>
      <c r="X172" s="1" t="n">
        <v>4</v>
      </c>
      <c r="Y172" s="1" t="n">
        <v>0</v>
      </c>
      <c r="Z172" s="1" t="n">
        <v>0</v>
      </c>
      <c r="AA172" s="1" t="n">
        <v>1</v>
      </c>
      <c r="AB172" s="1" t="n">
        <v>0</v>
      </c>
      <c r="AC172" s="1" t="n">
        <v>0</v>
      </c>
    </row>
    <row r="173">
      <c r="A173" s="1" t="inlineStr">
        <is>
          <t>Duchenne muscular dystrophy</t>
        </is>
      </c>
      <c r="B173" s="1" t="inlineStr">
        <is>
          <t>MONDO_0010679</t>
        </is>
      </c>
      <c r="C173" s="1" t="inlineStr">
        <is>
          <t>name</t>
        </is>
      </c>
      <c r="D173" s="1" t="n">
        <v>0.1</v>
      </c>
      <c r="E173" s="1" t="n">
        <v>300</v>
      </c>
      <c r="F173" s="1" t="n">
        <v>1</v>
      </c>
      <c r="G173" s="1" t="n">
        <v>0</v>
      </c>
      <c r="H173" s="1" t="n">
        <v>429</v>
      </c>
      <c r="I173" s="1" t="n">
        <v>8</v>
      </c>
      <c r="J173" s="1" t="n">
        <v>6</v>
      </c>
      <c r="K173" s="1" t="n">
        <v>5</v>
      </c>
      <c r="L173" s="1" t="n">
        <v>0</v>
      </c>
      <c r="M173" s="1" t="n">
        <v>0</v>
      </c>
      <c r="N173" s="1" t="n">
        <v>5</v>
      </c>
      <c r="O173" s="1" t="n">
        <v>2</v>
      </c>
      <c r="P173" s="1" t="n">
        <v>2</v>
      </c>
      <c r="Q173" s="1" t="n">
        <v>5</v>
      </c>
      <c r="R173" s="1" t="n">
        <v>5</v>
      </c>
      <c r="S173" s="1" t="n">
        <v>1</v>
      </c>
      <c r="T173" s="1" t="n">
        <v>0</v>
      </c>
      <c r="U173" s="1" t="n">
        <v>7</v>
      </c>
      <c r="V173" s="1" t="n">
        <v>1</v>
      </c>
      <c r="W173" s="1" t="n">
        <v>0</v>
      </c>
      <c r="X173" s="1" t="n">
        <v>2</v>
      </c>
      <c r="Y173" s="1" t="n">
        <v>0</v>
      </c>
      <c r="Z173" s="1" t="n">
        <v>4</v>
      </c>
      <c r="AA173" s="1" t="n">
        <v>1</v>
      </c>
      <c r="AB173" s="1" t="n">
        <v>0</v>
      </c>
      <c r="AC173" s="1" t="n">
        <v>0</v>
      </c>
    </row>
    <row r="174">
      <c r="A174" s="1" t="inlineStr">
        <is>
          <t>myelodysplastic syndrome</t>
        </is>
      </c>
      <c r="B174" s="1" t="inlineStr">
        <is>
          <t>EFO_0000198</t>
        </is>
      </c>
      <c r="C174" s="1" t="inlineStr">
        <is>
          <t>name</t>
        </is>
      </c>
      <c r="D174" s="1" t="n">
        <v>0.1</v>
      </c>
      <c r="E174" s="1" t="n">
        <v>221</v>
      </c>
      <c r="F174" s="1" t="n">
        <v>699</v>
      </c>
      <c r="G174" s="1" t="n">
        <v>18</v>
      </c>
      <c r="H174" s="1" t="n">
        <v>1767</v>
      </c>
      <c r="I174" s="1" t="n">
        <v>30</v>
      </c>
      <c r="J174" s="1" t="n">
        <v>40</v>
      </c>
      <c r="K174" s="1" t="n">
        <v>27</v>
      </c>
      <c r="L174" s="1" t="n">
        <v>15</v>
      </c>
      <c r="M174" s="1" t="n">
        <v>0</v>
      </c>
      <c r="N174" s="1" t="n">
        <v>42</v>
      </c>
      <c r="O174" s="1" t="n">
        <v>0</v>
      </c>
      <c r="P174" s="1" t="n">
        <v>47</v>
      </c>
      <c r="Q174" s="1" t="n">
        <v>48</v>
      </c>
      <c r="R174" s="1" t="n">
        <v>14</v>
      </c>
      <c r="S174" s="1" t="n">
        <v>0</v>
      </c>
      <c r="T174" s="1" t="n">
        <v>5</v>
      </c>
      <c r="U174" s="1" t="n">
        <v>48</v>
      </c>
      <c r="V174" s="1" t="n">
        <v>0</v>
      </c>
      <c r="W174" s="1" t="n">
        <v>2</v>
      </c>
      <c r="X174" s="1" t="n">
        <v>13</v>
      </c>
      <c r="Y174" s="1" t="n">
        <v>0</v>
      </c>
      <c r="Z174" s="1" t="n">
        <v>20</v>
      </c>
      <c r="AA174" s="1" t="n">
        <v>0</v>
      </c>
      <c r="AB174" s="1" t="n">
        <v>14</v>
      </c>
      <c r="AC174" s="1" t="n">
        <v>7</v>
      </c>
    </row>
    <row r="175">
      <c r="A175" s="1" t="inlineStr">
        <is>
          <t>Carcinoma in situ of large intestine</t>
        </is>
      </c>
      <c r="B175" s="1" t="n">
        <v>0</v>
      </c>
      <c r="C175" s="1" t="inlineStr">
        <is>
          <t>no_match</t>
        </is>
      </c>
      <c r="D175" s="1" t="n">
        <v>0.1</v>
      </c>
      <c r="E175" s="1" t="n">
        <v>310</v>
      </c>
      <c r="F175" s="1" t="n">
        <v>34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</row>
    <row r="176">
      <c r="A176" s="1" t="inlineStr">
        <is>
          <t>Venezuelan equine encephalitis</t>
        </is>
      </c>
      <c r="B176" s="1" t="inlineStr">
        <is>
          <t>EFO_0007534</t>
        </is>
      </c>
      <c r="C176" s="1" t="inlineStr">
        <is>
          <t>name</t>
        </is>
      </c>
      <c r="D176" s="1" t="n">
        <v>0.1</v>
      </c>
      <c r="E176" s="1" t="n">
        <v>128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</row>
    <row r="177">
      <c r="A177" s="1" t="inlineStr">
        <is>
          <t>Pompe disease, infantile-onset form</t>
        </is>
      </c>
      <c r="B177" s="1" t="n">
        <v>0</v>
      </c>
      <c r="C177" s="1" t="inlineStr">
        <is>
          <t>no_match</t>
        </is>
      </c>
      <c r="D177" s="1" t="n">
        <v>0.1</v>
      </c>
      <c r="E177" s="1" t="n">
        <v>257</v>
      </c>
      <c r="F177" s="1" t="n">
        <v>84</v>
      </c>
      <c r="G177" s="1" t="n">
        <v>2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</row>
    <row r="178">
      <c r="A178" s="1" t="inlineStr">
        <is>
          <t>gastroesophageal reflux disease</t>
        </is>
      </c>
      <c r="B178" s="1" t="inlineStr">
        <is>
          <t>EFO_0003948</t>
        </is>
      </c>
      <c r="C178" s="1" t="inlineStr">
        <is>
          <t>name</t>
        </is>
      </c>
      <c r="D178" s="1" t="n">
        <v>0.1</v>
      </c>
      <c r="E178" s="1" t="n">
        <v>79</v>
      </c>
      <c r="F178" s="1" t="n">
        <v>194</v>
      </c>
      <c r="G178" s="1" t="n">
        <v>1</v>
      </c>
      <c r="H178" s="1" t="n">
        <v>398</v>
      </c>
      <c r="I178" s="1" t="n">
        <v>16</v>
      </c>
      <c r="J178" s="1" t="n">
        <v>2</v>
      </c>
      <c r="K178" s="1" t="n">
        <v>0</v>
      </c>
      <c r="L178" s="1" t="n">
        <v>4</v>
      </c>
      <c r="M178" s="1" t="n">
        <v>0</v>
      </c>
      <c r="N178" s="1" t="n">
        <v>4</v>
      </c>
      <c r="O178" s="1" t="n">
        <v>1</v>
      </c>
      <c r="P178" s="1" t="n">
        <v>2</v>
      </c>
      <c r="Q178" s="1" t="n">
        <v>1</v>
      </c>
      <c r="R178" s="1" t="n">
        <v>4</v>
      </c>
      <c r="S178" s="1" t="n">
        <v>6</v>
      </c>
      <c r="T178" s="1" t="n">
        <v>0</v>
      </c>
      <c r="U178" s="1" t="n">
        <v>6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2</v>
      </c>
      <c r="AA178" s="1" t="n">
        <v>3</v>
      </c>
      <c r="AB178" s="1" t="n">
        <v>2</v>
      </c>
      <c r="AC178" s="1" t="n">
        <v>1</v>
      </c>
    </row>
    <row r="179">
      <c r="A179" s="1" t="inlineStr">
        <is>
          <t>Rotavirus infection of children</t>
        </is>
      </c>
      <c r="B179" s="1" t="n">
        <v>0</v>
      </c>
      <c r="C179" s="1" t="inlineStr">
        <is>
          <t>no_match</t>
        </is>
      </c>
      <c r="D179" s="1" t="n">
        <v>0.1</v>
      </c>
      <c r="E179" s="1" t="n">
        <v>293</v>
      </c>
      <c r="F179" s="1" t="n">
        <v>546</v>
      </c>
      <c r="G179" s="1" t="n">
        <v>16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</row>
    <row r="180">
      <c r="A180" s="1" t="inlineStr">
        <is>
          <t>Infection by Aspergillus fumigatus</t>
        </is>
      </c>
      <c r="B180" s="1" t="n">
        <v>0</v>
      </c>
      <c r="C180" s="1" t="inlineStr">
        <is>
          <t>no_match</t>
        </is>
      </c>
      <c r="D180" s="1" t="n">
        <v>0.1</v>
      </c>
      <c r="E180" s="1" t="n">
        <v>263</v>
      </c>
      <c r="F180" s="1" t="n">
        <v>99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</row>
    <row r="181">
      <c r="A181" s="1" t="inlineStr">
        <is>
          <t>nicotine dependence</t>
        </is>
      </c>
      <c r="B181" s="1" t="inlineStr">
        <is>
          <t>EFO_0003768</t>
        </is>
      </c>
      <c r="C181" s="1" t="inlineStr">
        <is>
          <t>name</t>
        </is>
      </c>
      <c r="D181" s="1" t="n">
        <v>0.1</v>
      </c>
      <c r="E181" s="1" t="n">
        <v>25</v>
      </c>
      <c r="F181" s="1" t="n">
        <v>932</v>
      </c>
      <c r="G181" s="1" t="n">
        <v>3</v>
      </c>
      <c r="H181" s="1" t="n">
        <v>785</v>
      </c>
      <c r="I181" s="1" t="n">
        <v>27</v>
      </c>
      <c r="J181" s="1" t="n">
        <v>9</v>
      </c>
      <c r="K181" s="1" t="n">
        <v>0</v>
      </c>
      <c r="L181" s="1" t="n">
        <v>20</v>
      </c>
      <c r="M181" s="1" t="n">
        <v>0</v>
      </c>
      <c r="N181" s="1" t="n">
        <v>20</v>
      </c>
      <c r="O181" s="1" t="n">
        <v>4</v>
      </c>
      <c r="P181" s="1" t="n">
        <v>8</v>
      </c>
      <c r="Q181" s="1" t="n">
        <v>14</v>
      </c>
      <c r="R181" s="1" t="n">
        <v>5</v>
      </c>
      <c r="S181" s="1" t="n">
        <v>0</v>
      </c>
      <c r="T181" s="1" t="n">
        <v>0</v>
      </c>
      <c r="U181" s="1" t="n">
        <v>23</v>
      </c>
      <c r="V181" s="1" t="n">
        <v>0</v>
      </c>
      <c r="W181" s="1" t="n">
        <v>0</v>
      </c>
      <c r="X181" s="1" t="n">
        <v>1</v>
      </c>
      <c r="Y181" s="1" t="n">
        <v>0</v>
      </c>
      <c r="Z181" s="1" t="n">
        <v>4</v>
      </c>
      <c r="AA181" s="1" t="n">
        <v>1</v>
      </c>
      <c r="AB181" s="1" t="n">
        <v>2</v>
      </c>
      <c r="AC181" s="1" t="n">
        <v>0</v>
      </c>
    </row>
    <row r="182">
      <c r="A182" s="1" t="inlineStr">
        <is>
          <t>hypertension</t>
        </is>
      </c>
      <c r="B182" s="1" t="inlineStr">
        <is>
          <t>EFO_0000537</t>
        </is>
      </c>
      <c r="C182" s="1" t="inlineStr">
        <is>
          <t>name</t>
        </is>
      </c>
      <c r="D182" s="1" t="n">
        <v>0.1</v>
      </c>
      <c r="E182" s="1" t="n">
        <v>209</v>
      </c>
      <c r="F182" s="1" t="n">
        <v>137</v>
      </c>
      <c r="G182" s="1" t="n">
        <v>5</v>
      </c>
      <c r="H182" s="1" t="n">
        <v>2820</v>
      </c>
      <c r="I182" s="1" t="n">
        <v>67</v>
      </c>
      <c r="J182" s="1" t="n">
        <v>27</v>
      </c>
      <c r="K182" s="1" t="n">
        <v>15</v>
      </c>
      <c r="L182" s="1" t="n">
        <v>12</v>
      </c>
      <c r="M182" s="1" t="n">
        <v>1</v>
      </c>
      <c r="N182" s="1" t="n">
        <v>26</v>
      </c>
      <c r="O182" s="1" t="n">
        <v>1</v>
      </c>
      <c r="P182" s="1" t="n">
        <v>8</v>
      </c>
      <c r="Q182" s="1" t="n">
        <v>9</v>
      </c>
      <c r="R182" s="1" t="n">
        <v>11</v>
      </c>
      <c r="S182" s="1" t="n">
        <v>20</v>
      </c>
      <c r="T182" s="1" t="n">
        <v>0</v>
      </c>
      <c r="U182" s="1" t="n">
        <v>26</v>
      </c>
      <c r="V182" s="1" t="n">
        <v>0</v>
      </c>
      <c r="W182" s="1" t="n">
        <v>0</v>
      </c>
      <c r="X182" s="1" t="n">
        <v>3</v>
      </c>
      <c r="Y182" s="1" t="n">
        <v>0</v>
      </c>
      <c r="Z182" s="1" t="n">
        <v>4</v>
      </c>
      <c r="AA182" s="1" t="n">
        <v>11</v>
      </c>
      <c r="AB182" s="1" t="n">
        <v>2</v>
      </c>
      <c r="AC182" s="1" t="n">
        <v>3</v>
      </c>
    </row>
    <row r="183">
      <c r="A183" s="1" t="inlineStr">
        <is>
          <t>atopic dermatitis</t>
        </is>
      </c>
      <c r="B183" s="1" t="inlineStr">
        <is>
          <t>EFO_0000274</t>
        </is>
      </c>
      <c r="C183" s="1" t="inlineStr">
        <is>
          <t>synonym</t>
        </is>
      </c>
      <c r="D183" s="1" t="n">
        <v>0.1</v>
      </c>
      <c r="E183" s="1" t="n">
        <v>355</v>
      </c>
      <c r="F183" s="1" t="n">
        <v>1</v>
      </c>
      <c r="G183" s="1" t="n">
        <v>0</v>
      </c>
      <c r="H183" s="1" t="n">
        <v>1175</v>
      </c>
      <c r="I183" s="1" t="n">
        <v>24</v>
      </c>
      <c r="J183" s="1" t="n">
        <v>10</v>
      </c>
      <c r="K183" s="1" t="n">
        <v>9</v>
      </c>
      <c r="L183" s="1" t="n">
        <v>0</v>
      </c>
      <c r="M183" s="1" t="n">
        <v>0</v>
      </c>
      <c r="N183" s="1" t="n">
        <v>9</v>
      </c>
      <c r="O183" s="1" t="n">
        <v>1</v>
      </c>
      <c r="P183" s="1" t="n">
        <v>5</v>
      </c>
      <c r="Q183" s="1" t="n">
        <v>2</v>
      </c>
      <c r="R183" s="1" t="n">
        <v>3</v>
      </c>
      <c r="S183" s="1" t="n">
        <v>2</v>
      </c>
      <c r="T183" s="1" t="n">
        <v>0</v>
      </c>
      <c r="U183" s="1" t="n">
        <v>6</v>
      </c>
      <c r="V183" s="1" t="n">
        <v>0</v>
      </c>
      <c r="W183" s="1" t="n">
        <v>2</v>
      </c>
      <c r="X183" s="1" t="n">
        <v>1</v>
      </c>
      <c r="Y183" s="1" t="n">
        <v>0</v>
      </c>
      <c r="Z183" s="1" t="n">
        <v>1</v>
      </c>
      <c r="AA183" s="1" t="n">
        <v>2</v>
      </c>
      <c r="AB183" s="1" t="n">
        <v>0</v>
      </c>
      <c r="AC183" s="1" t="n">
        <v>1</v>
      </c>
    </row>
    <row r="184">
      <c r="A184" s="1" t="inlineStr">
        <is>
          <t>amyotrophic lateral sclerosis</t>
        </is>
      </c>
      <c r="B184" s="1" t="inlineStr">
        <is>
          <t>MONDO_0004976</t>
        </is>
      </c>
      <c r="C184" s="1" t="inlineStr">
        <is>
          <t>name</t>
        </is>
      </c>
      <c r="D184" s="1" t="n">
        <v>0.1</v>
      </c>
      <c r="E184" s="1" t="n">
        <v>341</v>
      </c>
      <c r="F184" s="1" t="n">
        <v>5</v>
      </c>
      <c r="G184" s="1" t="n">
        <v>0</v>
      </c>
      <c r="H184" s="1" t="n">
        <v>925</v>
      </c>
      <c r="I184" s="1" t="n">
        <v>25</v>
      </c>
      <c r="J184" s="1" t="n">
        <v>12</v>
      </c>
      <c r="K184" s="1" t="n">
        <v>9</v>
      </c>
      <c r="L184" s="1" t="n">
        <v>1</v>
      </c>
      <c r="M184" s="1" t="n">
        <v>0</v>
      </c>
      <c r="N184" s="1" t="n">
        <v>10</v>
      </c>
      <c r="O184" s="1" t="n">
        <v>1</v>
      </c>
      <c r="P184" s="1" t="n">
        <v>4</v>
      </c>
      <c r="Q184" s="1" t="n">
        <v>5</v>
      </c>
      <c r="R184" s="1" t="n">
        <v>0</v>
      </c>
      <c r="S184" s="1" t="n">
        <v>0</v>
      </c>
      <c r="T184" s="1" t="n">
        <v>0</v>
      </c>
      <c r="U184" s="1" t="n">
        <v>8</v>
      </c>
      <c r="V184" s="1" t="n">
        <v>0</v>
      </c>
      <c r="W184" s="1" t="n">
        <v>1</v>
      </c>
      <c r="X184" s="1" t="n">
        <v>0</v>
      </c>
      <c r="Y184" s="1" t="n">
        <v>0</v>
      </c>
      <c r="Z184" s="1" t="n">
        <v>1</v>
      </c>
      <c r="AA184" s="1" t="n">
        <v>0</v>
      </c>
      <c r="AB184" s="1" t="n">
        <v>0</v>
      </c>
      <c r="AC184" s="1" t="n">
        <v>0</v>
      </c>
    </row>
    <row r="185">
      <c r="A185" s="1" t="inlineStr">
        <is>
          <t>endometrial cancer</t>
        </is>
      </c>
      <c r="B185" s="1" t="inlineStr">
        <is>
          <t>MONDO_0011962</t>
        </is>
      </c>
      <c r="C185" s="1" t="inlineStr">
        <is>
          <t>name</t>
        </is>
      </c>
      <c r="D185" s="1" t="n">
        <v>0.1</v>
      </c>
      <c r="E185" s="1" t="n">
        <v>212</v>
      </c>
      <c r="F185" s="1" t="n">
        <v>215</v>
      </c>
      <c r="G185" s="1" t="n">
        <v>6</v>
      </c>
      <c r="H185" s="1" t="n">
        <v>1032</v>
      </c>
      <c r="I185" s="1" t="n">
        <v>20</v>
      </c>
      <c r="J185" s="1" t="n">
        <v>26</v>
      </c>
      <c r="K185" s="1" t="n">
        <v>17</v>
      </c>
      <c r="L185" s="1" t="n">
        <v>6</v>
      </c>
      <c r="M185" s="1" t="n">
        <v>0</v>
      </c>
      <c r="N185" s="1" t="n">
        <v>23</v>
      </c>
      <c r="O185" s="1" t="n">
        <v>3</v>
      </c>
      <c r="P185" s="1" t="n">
        <v>14</v>
      </c>
      <c r="Q185" s="1" t="n">
        <v>27</v>
      </c>
      <c r="R185" s="1" t="n">
        <v>12</v>
      </c>
      <c r="S185" s="1" t="n">
        <v>0</v>
      </c>
      <c r="T185" s="1" t="n">
        <v>6</v>
      </c>
      <c r="U185" s="1" t="n">
        <v>16</v>
      </c>
      <c r="V185" s="1" t="n">
        <v>0</v>
      </c>
      <c r="W185" s="1" t="n">
        <v>5</v>
      </c>
      <c r="X185" s="1" t="n">
        <v>17</v>
      </c>
      <c r="Y185" s="1" t="n">
        <v>0</v>
      </c>
      <c r="Z185" s="1" t="n">
        <v>8</v>
      </c>
      <c r="AA185" s="1" t="n">
        <v>0</v>
      </c>
      <c r="AB185" s="1" t="n">
        <v>4</v>
      </c>
      <c r="AC185" s="1" t="n">
        <v>0</v>
      </c>
    </row>
    <row r="186">
      <c r="A186" s="1" t="inlineStr">
        <is>
          <t>adrenoleukodystrophy</t>
        </is>
      </c>
      <c r="B186" s="1" t="inlineStr">
        <is>
          <t>MONDO_0018544</t>
        </is>
      </c>
      <c r="C186" s="1" t="inlineStr">
        <is>
          <t>name</t>
        </is>
      </c>
      <c r="D186" s="1" t="n">
        <v>0.1</v>
      </c>
      <c r="E186" s="1" t="n">
        <v>174</v>
      </c>
      <c r="F186" s="1" t="n">
        <v>86</v>
      </c>
      <c r="G186" s="1" t="n">
        <v>3</v>
      </c>
      <c r="H186" s="1" t="n">
        <v>4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</row>
    <row r="187">
      <c r="A187" s="1" t="inlineStr">
        <is>
          <t>invasive ductal carcinoma</t>
        </is>
      </c>
      <c r="B187" s="1" t="inlineStr">
        <is>
          <t>EFO_0000186</t>
        </is>
      </c>
      <c r="C187" s="1" t="inlineStr">
        <is>
          <t>synonym</t>
        </is>
      </c>
      <c r="D187" s="1" t="n">
        <v>0.1</v>
      </c>
      <c r="E187" s="1" t="n">
        <v>255</v>
      </c>
      <c r="F187" s="1" t="n">
        <v>187</v>
      </c>
      <c r="G187" s="1" t="n">
        <v>7</v>
      </c>
      <c r="H187" s="1" t="n">
        <v>106</v>
      </c>
      <c r="I187" s="1" t="n">
        <v>4</v>
      </c>
      <c r="J187" s="1" t="n">
        <v>4</v>
      </c>
      <c r="K187" s="1" t="n">
        <v>3</v>
      </c>
      <c r="L187" s="1" t="n">
        <v>2</v>
      </c>
      <c r="M187" s="1" t="n">
        <v>0</v>
      </c>
      <c r="N187" s="1" t="n">
        <v>5</v>
      </c>
      <c r="O187" s="1" t="n">
        <v>0</v>
      </c>
      <c r="P187" s="1" t="n">
        <v>3</v>
      </c>
      <c r="Q187" s="1" t="n">
        <v>0</v>
      </c>
      <c r="R187" s="1" t="n">
        <v>3</v>
      </c>
      <c r="S187" s="1" t="n">
        <v>0</v>
      </c>
      <c r="T187" s="1" t="n">
        <v>5</v>
      </c>
      <c r="U187" s="1" t="n">
        <v>1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</row>
    <row r="188">
      <c r="A188" s="1" t="inlineStr">
        <is>
          <t>acute T cell leukemia</t>
        </is>
      </c>
      <c r="B188" s="1" t="inlineStr">
        <is>
          <t>EFO_0000209</t>
        </is>
      </c>
      <c r="C188" s="1" t="inlineStr">
        <is>
          <t>synonym</t>
        </is>
      </c>
      <c r="D188" s="1" t="n">
        <v>0.1</v>
      </c>
      <c r="E188" s="1" t="n">
        <v>205</v>
      </c>
      <c r="F188" s="1" t="n">
        <v>2</v>
      </c>
      <c r="G188" s="1" t="n">
        <v>0</v>
      </c>
      <c r="H188" s="1" t="n">
        <v>576</v>
      </c>
      <c r="I188" s="1" t="n">
        <v>12</v>
      </c>
      <c r="J188" s="1" t="n">
        <v>9</v>
      </c>
      <c r="K188" s="1" t="n">
        <v>6</v>
      </c>
      <c r="L188" s="1" t="n">
        <v>0</v>
      </c>
      <c r="M188" s="1" t="n">
        <v>0</v>
      </c>
      <c r="N188" s="1" t="n">
        <v>6</v>
      </c>
      <c r="O188" s="1" t="n">
        <v>0</v>
      </c>
      <c r="P188" s="1" t="n">
        <v>6</v>
      </c>
      <c r="Q188" s="1" t="n">
        <v>9</v>
      </c>
      <c r="R188" s="1" t="n">
        <v>2</v>
      </c>
      <c r="S188" s="1" t="n">
        <v>0</v>
      </c>
      <c r="T188" s="1" t="n">
        <v>3</v>
      </c>
      <c r="U188" s="1" t="n">
        <v>8</v>
      </c>
      <c r="V188" s="1" t="n">
        <v>0</v>
      </c>
      <c r="W188" s="1" t="n">
        <v>0</v>
      </c>
      <c r="X188" s="1" t="n">
        <v>5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1</v>
      </c>
    </row>
    <row r="189">
      <c r="A189" s="1" t="inlineStr">
        <is>
          <t>large cell neuroendocrine carcinoma</t>
        </is>
      </c>
      <c r="B189" s="1" t="inlineStr">
        <is>
          <t>EFO_0000563</t>
        </is>
      </c>
      <c r="C189" s="1" t="inlineStr">
        <is>
          <t>name</t>
        </is>
      </c>
      <c r="D189" s="1" t="n">
        <v>0.1</v>
      </c>
      <c r="E189" s="1" t="n">
        <v>269</v>
      </c>
      <c r="F189" s="1" t="n">
        <v>0</v>
      </c>
      <c r="G189" s="1" t="n">
        <v>0</v>
      </c>
      <c r="H189" s="1" t="n">
        <v>31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1</v>
      </c>
      <c r="O189" s="1" t="n">
        <v>0</v>
      </c>
      <c r="P189" s="1" t="n">
        <v>0</v>
      </c>
      <c r="Q189" s="1" t="n">
        <v>1</v>
      </c>
      <c r="R189" s="1" t="n">
        <v>0</v>
      </c>
      <c r="S189" s="1" t="n">
        <v>0</v>
      </c>
      <c r="T189" s="1" t="n">
        <v>1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</row>
    <row r="190">
      <c r="A190" s="1" t="inlineStr">
        <is>
          <t>chronic myeloid leukemia</t>
        </is>
      </c>
      <c r="B190" s="1" t="inlineStr">
        <is>
          <t>EFO_0000339</t>
        </is>
      </c>
      <c r="C190" s="1" t="inlineStr">
        <is>
          <t>synonym</t>
        </is>
      </c>
      <c r="D190" s="1" t="n">
        <v>0.1</v>
      </c>
      <c r="E190" s="1" t="n">
        <v>325</v>
      </c>
      <c r="F190" s="1" t="n">
        <v>74</v>
      </c>
      <c r="G190" s="1" t="n">
        <v>4</v>
      </c>
      <c r="H190" s="1" t="n">
        <v>794</v>
      </c>
      <c r="I190" s="1" t="n">
        <v>16</v>
      </c>
      <c r="J190" s="1" t="n">
        <v>23</v>
      </c>
      <c r="K190" s="1" t="n">
        <v>20</v>
      </c>
      <c r="L190" s="1" t="n">
        <v>3</v>
      </c>
      <c r="M190" s="1" t="n">
        <v>0</v>
      </c>
      <c r="N190" s="1" t="n">
        <v>23</v>
      </c>
      <c r="O190" s="1" t="n">
        <v>0</v>
      </c>
      <c r="P190" s="1" t="n">
        <v>20</v>
      </c>
      <c r="Q190" s="1" t="n">
        <v>24</v>
      </c>
      <c r="R190" s="1" t="n">
        <v>9</v>
      </c>
      <c r="S190" s="1" t="n">
        <v>1</v>
      </c>
      <c r="T190" s="1" t="n">
        <v>7</v>
      </c>
      <c r="U190" s="1" t="n">
        <v>18</v>
      </c>
      <c r="V190" s="1" t="n">
        <v>0</v>
      </c>
      <c r="W190" s="1" t="n">
        <v>3</v>
      </c>
      <c r="X190" s="1" t="n">
        <v>6</v>
      </c>
      <c r="Y190" s="1" t="n">
        <v>0</v>
      </c>
      <c r="Z190" s="1" t="n">
        <v>12</v>
      </c>
      <c r="AA190" s="1" t="n">
        <v>1</v>
      </c>
      <c r="AB190" s="1" t="n">
        <v>5</v>
      </c>
      <c r="AC190" s="1" t="n">
        <v>2</v>
      </c>
    </row>
    <row r="191">
      <c r="A191" s="1" t="inlineStr">
        <is>
          <t>chronic lymphocytic leukemia</t>
        </is>
      </c>
      <c r="B191" s="1" t="inlineStr">
        <is>
          <t>EFO_0000095</t>
        </is>
      </c>
      <c r="C191" s="1" t="inlineStr">
        <is>
          <t>name</t>
        </is>
      </c>
      <c r="D191" s="1" t="n">
        <v>0.1</v>
      </c>
      <c r="E191" s="1" t="n">
        <v>84</v>
      </c>
      <c r="F191" s="1" t="n">
        <v>110</v>
      </c>
      <c r="G191" s="1" t="n">
        <v>2</v>
      </c>
      <c r="H191" s="1" t="n">
        <v>1621</v>
      </c>
      <c r="I191" s="1" t="n">
        <v>28</v>
      </c>
      <c r="J191" s="1" t="n">
        <v>25</v>
      </c>
      <c r="K191" s="1" t="n">
        <v>5</v>
      </c>
      <c r="L191" s="1" t="n">
        <v>6</v>
      </c>
      <c r="M191" s="1" t="n">
        <v>0</v>
      </c>
      <c r="N191" s="1" t="n">
        <v>11</v>
      </c>
      <c r="O191" s="1" t="n">
        <v>1</v>
      </c>
      <c r="P191" s="1" t="n">
        <v>3</v>
      </c>
      <c r="Q191" s="1" t="n">
        <v>11</v>
      </c>
      <c r="R191" s="1" t="n">
        <v>1</v>
      </c>
      <c r="S191" s="1" t="n">
        <v>0</v>
      </c>
      <c r="T191" s="1" t="n">
        <v>1</v>
      </c>
      <c r="U191" s="1" t="n">
        <v>9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5</v>
      </c>
      <c r="AA191" s="1" t="n">
        <v>0</v>
      </c>
      <c r="AB191" s="1" t="n">
        <v>1</v>
      </c>
      <c r="AC191" s="1" t="n">
        <v>0</v>
      </c>
    </row>
    <row r="192">
      <c r="A192" s="1" t="inlineStr">
        <is>
          <t>abdominal aortic aneurysm</t>
        </is>
      </c>
      <c r="B192" s="1" t="inlineStr">
        <is>
          <t>EFO_0004214</t>
        </is>
      </c>
      <c r="C192" s="1" t="inlineStr">
        <is>
          <t>name</t>
        </is>
      </c>
      <c r="D192" s="1" t="n">
        <v>0.1</v>
      </c>
      <c r="E192" s="1" t="n">
        <v>0</v>
      </c>
      <c r="F192" s="1" t="n">
        <v>0</v>
      </c>
      <c r="G192" s="1" t="n">
        <v>0</v>
      </c>
      <c r="H192" s="1" t="n">
        <v>140</v>
      </c>
      <c r="I192" s="1" t="n">
        <v>4</v>
      </c>
      <c r="J192" s="1" t="n">
        <v>2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</row>
    <row r="193">
      <c r="A193" s="1" t="inlineStr">
        <is>
          <t>ankylosing spondylitis</t>
        </is>
      </c>
      <c r="B193" s="1" t="inlineStr">
        <is>
          <t>EFO_0003898</t>
        </is>
      </c>
      <c r="C193" s="1" t="inlineStr">
        <is>
          <t>name</t>
        </is>
      </c>
      <c r="D193" s="1" t="n">
        <v>0.1</v>
      </c>
      <c r="E193" s="1" t="n">
        <v>318</v>
      </c>
      <c r="F193" s="1" t="n">
        <v>18</v>
      </c>
      <c r="G193" s="1" t="n">
        <v>2</v>
      </c>
      <c r="H193" s="1" t="n">
        <v>634</v>
      </c>
      <c r="I193" s="1" t="n">
        <v>12</v>
      </c>
      <c r="J193" s="1" t="n">
        <v>9</v>
      </c>
      <c r="K193" s="1" t="n">
        <v>9</v>
      </c>
      <c r="L193" s="1" t="n">
        <v>1</v>
      </c>
      <c r="M193" s="1" t="n">
        <v>1</v>
      </c>
      <c r="N193" s="1" t="n">
        <v>9</v>
      </c>
      <c r="O193" s="1" t="n">
        <v>0</v>
      </c>
      <c r="P193" s="1" t="n">
        <v>0</v>
      </c>
      <c r="Q193" s="1" t="n">
        <v>7</v>
      </c>
      <c r="R193" s="1" t="n">
        <v>7</v>
      </c>
      <c r="S193" s="1" t="n">
        <v>7</v>
      </c>
      <c r="T193" s="1" t="n">
        <v>0</v>
      </c>
      <c r="U193" s="1" t="n">
        <v>9</v>
      </c>
      <c r="V193" s="1" t="n">
        <v>0</v>
      </c>
      <c r="W193" s="1" t="n">
        <v>0</v>
      </c>
      <c r="X193" s="1" t="n">
        <v>3</v>
      </c>
      <c r="Y193" s="1" t="n">
        <v>0</v>
      </c>
      <c r="Z193" s="1" t="n">
        <v>1</v>
      </c>
      <c r="AA193" s="1" t="n">
        <v>4</v>
      </c>
      <c r="AB193" s="1" t="n">
        <v>3</v>
      </c>
      <c r="AC193" s="1" t="n">
        <v>1</v>
      </c>
    </row>
    <row r="194">
      <c r="A194" s="1" t="inlineStr">
        <is>
          <t>adenoma</t>
        </is>
      </c>
      <c r="B194" s="1" t="inlineStr">
        <is>
          <t>EFO_0000232</t>
        </is>
      </c>
      <c r="C194" s="1" t="inlineStr">
        <is>
          <t>name</t>
        </is>
      </c>
      <c r="D194" s="1" t="n">
        <v>0.1</v>
      </c>
      <c r="E194" s="1" t="n">
        <v>318</v>
      </c>
      <c r="F194" s="1" t="n">
        <v>15</v>
      </c>
      <c r="G194" s="1" t="n">
        <v>1</v>
      </c>
      <c r="H194" s="1" t="n">
        <v>198</v>
      </c>
      <c r="I194" s="1" t="n">
        <v>2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1</v>
      </c>
      <c r="O194" s="1" t="n">
        <v>0</v>
      </c>
      <c r="P194" s="1" t="n">
        <v>0</v>
      </c>
      <c r="Q194" s="1" t="n">
        <v>1</v>
      </c>
      <c r="R194" s="1" t="n">
        <v>0</v>
      </c>
      <c r="S194" s="1" t="n">
        <v>0</v>
      </c>
      <c r="T194" s="1" t="n">
        <v>0</v>
      </c>
      <c r="U194" s="1" t="n">
        <v>1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</row>
    <row r="195">
      <c r="A195" s="1" t="inlineStr">
        <is>
          <t>Diamond-Blackfan anemia</t>
        </is>
      </c>
      <c r="B195" s="1" t="inlineStr">
        <is>
          <t>MONDO_0015253</t>
        </is>
      </c>
      <c r="C195" s="1" t="inlineStr">
        <is>
          <t>name</t>
        </is>
      </c>
      <c r="D195" s="1" t="n">
        <v>0.1</v>
      </c>
      <c r="E195" s="1" t="n">
        <v>187</v>
      </c>
      <c r="F195" s="1" t="n">
        <v>120</v>
      </c>
      <c r="G195" s="1" t="n">
        <v>0</v>
      </c>
      <c r="H195" s="1" t="n">
        <v>145</v>
      </c>
      <c r="I195" s="1" t="n">
        <v>4</v>
      </c>
      <c r="J195" s="1" t="n">
        <v>1</v>
      </c>
      <c r="K195" s="1" t="n">
        <v>0</v>
      </c>
      <c r="L195" s="1" t="n">
        <v>1</v>
      </c>
      <c r="M195" s="1" t="n">
        <v>0</v>
      </c>
      <c r="N195" s="1" t="n">
        <v>1</v>
      </c>
      <c r="O195" s="1" t="n">
        <v>0</v>
      </c>
      <c r="P195" s="1" t="n">
        <v>1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1</v>
      </c>
      <c r="AA195" s="1" t="n">
        <v>0</v>
      </c>
      <c r="AB195" s="1" t="n">
        <v>0</v>
      </c>
      <c r="AC195" s="1" t="n">
        <v>0</v>
      </c>
    </row>
    <row r="196">
      <c r="A196" s="1" t="inlineStr">
        <is>
          <t>Pseudomonas Infection</t>
        </is>
      </c>
      <c r="B196" s="1" t="inlineStr">
        <is>
          <t>EFO_0001076</t>
        </is>
      </c>
      <c r="C196" s="1" t="inlineStr">
        <is>
          <t>name</t>
        </is>
      </c>
      <c r="D196" s="1" t="n">
        <v>0.1</v>
      </c>
      <c r="E196" s="1" t="n">
        <v>51</v>
      </c>
      <c r="F196" s="1" t="n">
        <v>751</v>
      </c>
      <c r="G196" s="1" t="n">
        <v>2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</row>
    <row r="197">
      <c r="A197" s="1" t="inlineStr">
        <is>
          <t>Lung Injury</t>
        </is>
      </c>
      <c r="B197" s="1" t="n">
        <v>0</v>
      </c>
      <c r="C197" s="1" t="inlineStr">
        <is>
          <t>no_match</t>
        </is>
      </c>
      <c r="D197" s="1" t="n">
        <v>0.1</v>
      </c>
      <c r="E197" s="1" t="n">
        <v>161</v>
      </c>
      <c r="F197" s="1" t="n">
        <v>115</v>
      </c>
      <c r="G197" s="1" t="n">
        <v>1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</row>
    <row r="198">
      <c r="A198" s="1" t="inlineStr">
        <is>
          <t>Cardiomyopathy</t>
        </is>
      </c>
      <c r="B198" s="1" t="inlineStr">
        <is>
          <t>EFO_0000318</t>
        </is>
      </c>
      <c r="C198" s="1" t="inlineStr">
        <is>
          <t>name</t>
        </is>
      </c>
      <c r="D198" s="1" t="n">
        <v>0.1</v>
      </c>
      <c r="E198" s="1" t="n">
        <v>232</v>
      </c>
      <c r="F198" s="1" t="n">
        <v>18</v>
      </c>
      <c r="G198" s="1" t="n">
        <v>1</v>
      </c>
      <c r="H198" s="1" t="n">
        <v>194</v>
      </c>
      <c r="I198" s="1" t="n">
        <v>6</v>
      </c>
      <c r="J198" s="1" t="n">
        <v>2</v>
      </c>
      <c r="K198" s="1" t="n">
        <v>1</v>
      </c>
      <c r="L198" s="1" t="n">
        <v>0</v>
      </c>
      <c r="M198" s="1" t="n">
        <v>0</v>
      </c>
      <c r="N198" s="1" t="n">
        <v>1</v>
      </c>
      <c r="O198" s="1" t="n">
        <v>0</v>
      </c>
      <c r="P198" s="1" t="n">
        <v>0</v>
      </c>
      <c r="Q198" s="1" t="n">
        <v>0</v>
      </c>
      <c r="R198" s="1" t="n">
        <v>1</v>
      </c>
      <c r="S198" s="1" t="n">
        <v>0</v>
      </c>
      <c r="T198" s="1" t="n">
        <v>0</v>
      </c>
      <c r="U198" s="1" t="n">
        <v>1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</row>
    <row r="199">
      <c r="A199" s="1" t="inlineStr">
        <is>
          <t>morbid obesity</t>
        </is>
      </c>
      <c r="B199" s="1" t="inlineStr">
        <is>
          <t>EFO_0001074</t>
        </is>
      </c>
      <c r="C199" s="1" t="inlineStr">
        <is>
          <t>name</t>
        </is>
      </c>
      <c r="D199" s="1" t="n">
        <v>0.1</v>
      </c>
      <c r="E199" s="1" t="n">
        <v>20</v>
      </c>
      <c r="F199" s="1" t="n">
        <v>5</v>
      </c>
      <c r="G199" s="1" t="n">
        <v>0</v>
      </c>
      <c r="H199" s="1" t="n">
        <v>262</v>
      </c>
      <c r="I199" s="1" t="n">
        <v>4</v>
      </c>
      <c r="J199" s="1" t="n">
        <v>1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</row>
    <row r="200">
      <c r="A200" s="1" t="inlineStr">
        <is>
          <t>nephroblastoma</t>
        </is>
      </c>
      <c r="B200" s="1" t="inlineStr">
        <is>
          <t>Orphanet_654</t>
        </is>
      </c>
      <c r="C200" s="1" t="inlineStr">
        <is>
          <t>name</t>
        </is>
      </c>
      <c r="D200" s="1" t="n">
        <v>0.1</v>
      </c>
      <c r="E200" s="1" t="n">
        <v>223</v>
      </c>
      <c r="F200" s="1" t="n">
        <v>213</v>
      </c>
      <c r="G200" s="1" t="n">
        <v>3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</row>
    <row r="201">
      <c r="A201" s="1" t="inlineStr">
        <is>
          <t>atherosclerosis</t>
        </is>
      </c>
      <c r="B201" s="1" t="inlineStr">
        <is>
          <t>EFO_0003914</t>
        </is>
      </c>
      <c r="C201" s="1" t="inlineStr">
        <is>
          <t>name</t>
        </is>
      </c>
      <c r="D201" s="1" t="n">
        <v>0.1</v>
      </c>
      <c r="E201" s="1" t="n">
        <v>112</v>
      </c>
      <c r="F201" s="1" t="n">
        <v>0</v>
      </c>
      <c r="G201" s="1" t="n">
        <v>0</v>
      </c>
      <c r="H201" s="1" t="n">
        <v>745</v>
      </c>
      <c r="I201" s="1" t="n">
        <v>23</v>
      </c>
      <c r="J201" s="1" t="n">
        <v>9</v>
      </c>
      <c r="K201" s="1" t="n">
        <v>1</v>
      </c>
      <c r="L201" s="1" t="n">
        <v>0</v>
      </c>
      <c r="M201" s="1" t="n">
        <v>0</v>
      </c>
      <c r="N201" s="1" t="n">
        <v>1</v>
      </c>
      <c r="O201" s="1" t="n">
        <v>0</v>
      </c>
      <c r="P201" s="1" t="n">
        <v>0</v>
      </c>
      <c r="Q201" s="1" t="n">
        <v>0</v>
      </c>
      <c r="R201" s="1" t="n">
        <v>1</v>
      </c>
      <c r="S201" s="1" t="n">
        <v>0</v>
      </c>
      <c r="T201" s="1" t="n">
        <v>0</v>
      </c>
      <c r="U201" s="1" t="n">
        <v>1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</row>
    <row r="202">
      <c r="A202" s="1" t="inlineStr">
        <is>
          <t>Intestinal metaplasia of gastric mucosa</t>
        </is>
      </c>
      <c r="B202" s="1" t="n">
        <v>0</v>
      </c>
      <c r="C202" s="1" t="inlineStr">
        <is>
          <t>no_match</t>
        </is>
      </c>
      <c r="D202" s="1" t="n">
        <v>0.1</v>
      </c>
      <c r="E202" s="1" t="n">
        <v>139</v>
      </c>
      <c r="F202" s="1" t="n">
        <v>56</v>
      </c>
      <c r="G202" s="1" t="n">
        <v>1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</row>
    <row r="203">
      <c r="A203" s="1" t="inlineStr">
        <is>
          <t>amyotrophic lateral sclerosis type 10</t>
        </is>
      </c>
      <c r="B203" s="1" t="n">
        <v>0</v>
      </c>
      <c r="C203" s="1" t="inlineStr">
        <is>
          <t>no_match</t>
        </is>
      </c>
      <c r="D203" s="1" t="n">
        <v>0.1</v>
      </c>
      <c r="E203" s="1" t="n">
        <v>199</v>
      </c>
      <c r="F203" s="1" t="n">
        <v>88</v>
      </c>
      <c r="G203" s="1" t="n">
        <v>1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</row>
    <row r="204">
      <c r="A204" s="1" t="inlineStr">
        <is>
          <t>ovarian cancer</t>
        </is>
      </c>
      <c r="B204" s="1" t="inlineStr">
        <is>
          <t>MONDO_0008170</t>
        </is>
      </c>
      <c r="C204" s="1" t="inlineStr">
        <is>
          <t>name</t>
        </is>
      </c>
      <c r="D204" s="1" t="n">
        <v>0.1</v>
      </c>
      <c r="E204" s="1" t="n">
        <v>183</v>
      </c>
      <c r="F204" s="1" t="n">
        <v>589</v>
      </c>
      <c r="G204" s="1" t="n">
        <v>12</v>
      </c>
      <c r="H204" s="1" t="n">
        <v>1999</v>
      </c>
      <c r="I204" s="1" t="n">
        <v>35</v>
      </c>
      <c r="J204" s="1" t="n">
        <v>46</v>
      </c>
      <c r="K204" s="1" t="n">
        <v>22</v>
      </c>
      <c r="L204" s="1" t="n">
        <v>15</v>
      </c>
      <c r="M204" s="1" t="n">
        <v>0</v>
      </c>
      <c r="N204" s="1" t="n">
        <v>37</v>
      </c>
      <c r="O204" s="1" t="n">
        <v>1</v>
      </c>
      <c r="P204" s="1" t="n">
        <v>39</v>
      </c>
      <c r="Q204" s="1" t="n">
        <v>64</v>
      </c>
      <c r="R204" s="1" t="n">
        <v>27</v>
      </c>
      <c r="S204" s="1" t="n">
        <v>4</v>
      </c>
      <c r="T204" s="1" t="n">
        <v>12</v>
      </c>
      <c r="U204" s="1" t="n">
        <v>45</v>
      </c>
      <c r="V204" s="1" t="n">
        <v>1</v>
      </c>
      <c r="W204" s="1" t="n">
        <v>7</v>
      </c>
      <c r="X204" s="1" t="n">
        <v>19</v>
      </c>
      <c r="Y204" s="1" t="n">
        <v>0</v>
      </c>
      <c r="Z204" s="1" t="n">
        <v>25</v>
      </c>
      <c r="AA204" s="1" t="n">
        <v>2</v>
      </c>
      <c r="AB204" s="1" t="n">
        <v>14</v>
      </c>
      <c r="AC204" s="1" t="n">
        <v>10</v>
      </c>
    </row>
    <row r="205">
      <c r="A205" s="1" t="inlineStr">
        <is>
          <t>Rhinovirus infection</t>
        </is>
      </c>
      <c r="B205" s="1" t="n">
        <v>0</v>
      </c>
      <c r="C205" s="1" t="inlineStr">
        <is>
          <t>no_match</t>
        </is>
      </c>
      <c r="D205" s="1" t="n">
        <v>0.1</v>
      </c>
      <c r="E205" s="1" t="n">
        <v>204</v>
      </c>
      <c r="F205" s="1" t="n">
        <v>323</v>
      </c>
      <c r="G205" s="1" t="n">
        <v>6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</row>
    <row r="206">
      <c r="A206" s="1" t="inlineStr">
        <is>
          <t>breast cancer</t>
        </is>
      </c>
      <c r="B206" s="1" t="inlineStr">
        <is>
          <t>MONDO_0007254</t>
        </is>
      </c>
      <c r="C206" s="1" t="inlineStr">
        <is>
          <t>name</t>
        </is>
      </c>
      <c r="D206" s="1" t="n">
        <v>0.1</v>
      </c>
      <c r="E206" s="1" t="n">
        <v>378</v>
      </c>
      <c r="F206" s="1" t="n">
        <v>24</v>
      </c>
      <c r="G206" s="1" t="n">
        <v>1</v>
      </c>
      <c r="H206" s="1" t="n">
        <v>4617</v>
      </c>
      <c r="I206" s="1" t="n">
        <v>83</v>
      </c>
      <c r="J206" s="1" t="n">
        <v>78</v>
      </c>
      <c r="K206" s="1" t="n">
        <v>78</v>
      </c>
      <c r="L206" s="1" t="n">
        <v>5</v>
      </c>
      <c r="M206" s="1" t="n">
        <v>1</v>
      </c>
      <c r="N206" s="1" t="n">
        <v>82</v>
      </c>
      <c r="O206" s="1" t="n">
        <v>15</v>
      </c>
      <c r="P206" s="1" t="n">
        <v>139</v>
      </c>
      <c r="Q206" s="1" t="n">
        <v>202</v>
      </c>
      <c r="R206" s="1" t="n">
        <v>116</v>
      </c>
      <c r="S206" s="1" t="n">
        <v>37</v>
      </c>
      <c r="T206" s="1" t="n">
        <v>65</v>
      </c>
      <c r="U206" s="1" t="n">
        <v>132</v>
      </c>
      <c r="V206" s="1" t="n">
        <v>6</v>
      </c>
      <c r="W206" s="1" t="n">
        <v>33</v>
      </c>
      <c r="X206" s="1" t="n">
        <v>72</v>
      </c>
      <c r="Y206" s="1" t="n">
        <v>10</v>
      </c>
      <c r="Z206" s="1" t="n">
        <v>84</v>
      </c>
      <c r="AA206" s="1" t="n">
        <v>13</v>
      </c>
      <c r="AB206" s="1" t="n">
        <v>53</v>
      </c>
      <c r="AC206" s="1" t="n">
        <v>41</v>
      </c>
    </row>
    <row r="207">
      <c r="A207" s="1" t="inlineStr">
        <is>
          <t>anaplastic thyroid carcinoma</t>
        </is>
      </c>
      <c r="B207" s="1" t="inlineStr">
        <is>
          <t>EFO_1000595</t>
        </is>
      </c>
      <c r="C207" s="1" t="inlineStr">
        <is>
          <t>synonym</t>
        </is>
      </c>
      <c r="D207" s="1" t="n">
        <v>0.1</v>
      </c>
      <c r="E207" s="1" t="n">
        <v>274</v>
      </c>
      <c r="F207" s="1" t="n">
        <v>21</v>
      </c>
      <c r="G207" s="1" t="n">
        <v>1</v>
      </c>
      <c r="H207" s="1" t="n">
        <v>113</v>
      </c>
      <c r="I207" s="1" t="n">
        <v>2</v>
      </c>
      <c r="J207" s="1" t="n">
        <v>6</v>
      </c>
      <c r="K207" s="1" t="n">
        <v>6</v>
      </c>
      <c r="L207" s="1" t="n">
        <v>0</v>
      </c>
      <c r="M207" s="1" t="n">
        <v>0</v>
      </c>
      <c r="N207" s="1" t="n">
        <v>6</v>
      </c>
      <c r="O207" s="1" t="n">
        <v>2</v>
      </c>
      <c r="P207" s="1" t="n">
        <v>0</v>
      </c>
      <c r="Q207" s="1" t="n">
        <v>4</v>
      </c>
      <c r="R207" s="1" t="n">
        <v>0</v>
      </c>
      <c r="S207" s="1" t="n">
        <v>0</v>
      </c>
      <c r="T207" s="1" t="n">
        <v>2</v>
      </c>
      <c r="U207" s="1" t="n">
        <v>2</v>
      </c>
      <c r="V207" s="1" t="n">
        <v>0</v>
      </c>
      <c r="W207" s="1" t="n">
        <v>0</v>
      </c>
      <c r="X207" s="1" t="n">
        <v>2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</row>
    <row r="208">
      <c r="A208" s="1" t="inlineStr">
        <is>
          <t>precursor B lymphoblastic lymphoma leukemia</t>
        </is>
      </c>
      <c r="B208" s="1" t="n">
        <v>0</v>
      </c>
      <c r="C208" s="1" t="inlineStr">
        <is>
          <t>no_match</t>
        </is>
      </c>
      <c r="D208" s="1" t="n">
        <v>0.1</v>
      </c>
      <c r="E208" s="1" t="n">
        <v>227</v>
      </c>
      <c r="F208" s="1" t="n">
        <v>405</v>
      </c>
      <c r="G208" s="1" t="n">
        <v>10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</row>
    <row r="209">
      <c r="A209" s="1" t="inlineStr">
        <is>
          <t>hepatocellular carcinoma</t>
        </is>
      </c>
      <c r="B209" s="1" t="inlineStr">
        <is>
          <t>EFO_0000182</t>
        </is>
      </c>
      <c r="C209" s="1" t="inlineStr">
        <is>
          <t>name</t>
        </is>
      </c>
      <c r="D209" s="1" t="n">
        <v>0.1</v>
      </c>
      <c r="E209" s="1" t="n">
        <v>124</v>
      </c>
      <c r="F209" s="1" t="n">
        <v>76</v>
      </c>
      <c r="G209" s="1" t="n">
        <v>0</v>
      </c>
      <c r="H209" s="1" t="n">
        <v>1423</v>
      </c>
      <c r="I209" s="1" t="n">
        <v>23</v>
      </c>
      <c r="J209" s="1" t="n">
        <v>39</v>
      </c>
      <c r="K209" s="1" t="n">
        <v>15</v>
      </c>
      <c r="L209" s="1" t="n">
        <v>3</v>
      </c>
      <c r="M209" s="1" t="n">
        <v>0</v>
      </c>
      <c r="N209" s="1" t="n">
        <v>18</v>
      </c>
      <c r="O209" s="1" t="n">
        <v>0</v>
      </c>
      <c r="P209" s="1" t="n">
        <v>19</v>
      </c>
      <c r="Q209" s="1" t="n">
        <v>21</v>
      </c>
      <c r="R209" s="1" t="n">
        <v>10</v>
      </c>
      <c r="S209" s="1" t="n">
        <v>1</v>
      </c>
      <c r="T209" s="1" t="n">
        <v>3</v>
      </c>
      <c r="U209" s="1" t="n">
        <v>13</v>
      </c>
      <c r="V209" s="1" t="n">
        <v>0</v>
      </c>
      <c r="W209" s="1" t="n">
        <v>2</v>
      </c>
      <c r="X209" s="1" t="n">
        <v>7</v>
      </c>
      <c r="Y209" s="1" t="n">
        <v>2</v>
      </c>
      <c r="Z209" s="1" t="n">
        <v>13</v>
      </c>
      <c r="AA209" s="1" t="n">
        <v>1</v>
      </c>
      <c r="AB209" s="1" t="n">
        <v>7</v>
      </c>
      <c r="AC209" s="1" t="n">
        <v>3</v>
      </c>
    </row>
    <row r="210">
      <c r="A210" s="1" t="inlineStr">
        <is>
          <t>endometriosis</t>
        </is>
      </c>
      <c r="B210" s="1" t="inlineStr">
        <is>
          <t>EFO_0001065</t>
        </is>
      </c>
      <c r="C210" s="1" t="inlineStr">
        <is>
          <t>name</t>
        </is>
      </c>
      <c r="D210" s="1" t="n">
        <v>0.1</v>
      </c>
      <c r="E210" s="1" t="n">
        <v>232</v>
      </c>
      <c r="F210" s="1" t="n">
        <v>22</v>
      </c>
      <c r="G210" s="1" t="n">
        <v>0</v>
      </c>
      <c r="H210" s="1" t="n">
        <v>589</v>
      </c>
      <c r="I210" s="1" t="n">
        <v>12</v>
      </c>
      <c r="J210" s="1" t="n">
        <v>9</v>
      </c>
      <c r="K210" s="1" t="n">
        <v>5</v>
      </c>
      <c r="L210" s="1" t="n">
        <v>1</v>
      </c>
      <c r="M210" s="1" t="n">
        <v>0</v>
      </c>
      <c r="N210" s="1" t="n">
        <v>6</v>
      </c>
      <c r="O210" s="1" t="n">
        <v>0</v>
      </c>
      <c r="P210" s="1" t="n">
        <v>1</v>
      </c>
      <c r="Q210" s="1" t="n">
        <v>5</v>
      </c>
      <c r="R210" s="1" t="n">
        <v>5</v>
      </c>
      <c r="S210" s="1" t="n">
        <v>2</v>
      </c>
      <c r="T210" s="1" t="n">
        <v>0</v>
      </c>
      <c r="U210" s="1" t="n">
        <v>9</v>
      </c>
      <c r="V210" s="1" t="n">
        <v>0</v>
      </c>
      <c r="W210" s="1" t="n">
        <v>0</v>
      </c>
      <c r="X210" s="1" t="n">
        <v>1</v>
      </c>
      <c r="Y210" s="1" t="n">
        <v>0</v>
      </c>
      <c r="Z210" s="1" t="n">
        <v>1</v>
      </c>
      <c r="AA210" s="1" t="n">
        <v>1</v>
      </c>
      <c r="AB210" s="1" t="n">
        <v>1</v>
      </c>
      <c r="AC210" s="1" t="n">
        <v>0</v>
      </c>
    </row>
    <row r="211">
      <c r="A211" s="1" t="inlineStr">
        <is>
          <t>smoldering myeloma</t>
        </is>
      </c>
      <c r="B211" s="1" t="inlineStr">
        <is>
          <t>EFO_0003073</t>
        </is>
      </c>
      <c r="C211" s="1" t="inlineStr">
        <is>
          <t>synonym</t>
        </is>
      </c>
      <c r="D211" s="1" t="n">
        <v>0.1</v>
      </c>
      <c r="E211" s="1" t="n">
        <v>255</v>
      </c>
      <c r="F211" s="1" t="n">
        <v>327</v>
      </c>
      <c r="G211" s="1" t="n">
        <v>9</v>
      </c>
      <c r="H211" s="1" t="n">
        <v>125</v>
      </c>
      <c r="I211" s="1" t="n">
        <v>2</v>
      </c>
      <c r="J211" s="1" t="n">
        <v>2</v>
      </c>
      <c r="K211" s="1" t="n">
        <v>2</v>
      </c>
      <c r="L211" s="1" t="n">
        <v>1</v>
      </c>
      <c r="M211" s="1" t="n">
        <v>0</v>
      </c>
      <c r="N211" s="1" t="n">
        <v>3</v>
      </c>
      <c r="O211" s="1" t="n">
        <v>1</v>
      </c>
      <c r="P211" s="1" t="n">
        <v>3</v>
      </c>
      <c r="Q211" s="1" t="n">
        <v>5</v>
      </c>
      <c r="R211" s="1" t="n">
        <v>1</v>
      </c>
      <c r="S211" s="1" t="n">
        <v>0</v>
      </c>
      <c r="T211" s="1" t="n">
        <v>2</v>
      </c>
      <c r="U211" s="1" t="n">
        <v>2</v>
      </c>
      <c r="V211" s="1" t="n">
        <v>0</v>
      </c>
      <c r="W211" s="1" t="n">
        <v>0</v>
      </c>
      <c r="X211" s="1" t="n">
        <v>3</v>
      </c>
      <c r="Y211" s="1" t="n">
        <v>0</v>
      </c>
      <c r="Z211" s="1" t="n">
        <v>2</v>
      </c>
      <c r="AA211" s="1" t="n">
        <v>0</v>
      </c>
      <c r="AB211" s="1" t="n">
        <v>0</v>
      </c>
      <c r="AC211" s="1" t="n">
        <v>1</v>
      </c>
    </row>
    <row r="212">
      <c r="A212" s="1" t="inlineStr">
        <is>
          <t>childhood type dermatomyositis</t>
        </is>
      </c>
      <c r="B212" s="1" t="inlineStr">
        <is>
          <t>EFO_0000557</t>
        </is>
      </c>
      <c r="C212" s="1" t="inlineStr">
        <is>
          <t>synonym</t>
        </is>
      </c>
      <c r="D212" s="1" t="n">
        <v>0.1</v>
      </c>
      <c r="E212" s="1" t="n">
        <v>373</v>
      </c>
      <c r="F212" s="1" t="n">
        <v>19</v>
      </c>
      <c r="G212" s="1" t="n">
        <v>0</v>
      </c>
      <c r="H212" s="1" t="n">
        <v>160</v>
      </c>
      <c r="I212" s="1" t="n">
        <v>4</v>
      </c>
      <c r="J212" s="1" t="n">
        <v>2</v>
      </c>
      <c r="K212" s="1" t="n">
        <v>2</v>
      </c>
      <c r="L212" s="1" t="n">
        <v>0</v>
      </c>
      <c r="M212" s="1" t="n">
        <v>0</v>
      </c>
      <c r="N212" s="1" t="n">
        <v>2</v>
      </c>
      <c r="O212" s="1" t="n">
        <v>0</v>
      </c>
      <c r="P212" s="1" t="n">
        <v>0</v>
      </c>
      <c r="Q212" s="1" t="n">
        <v>0</v>
      </c>
      <c r="R212" s="1" t="n">
        <v>2</v>
      </c>
      <c r="S212" s="1" t="n">
        <v>0</v>
      </c>
      <c r="T212" s="1" t="n">
        <v>0</v>
      </c>
      <c r="U212" s="1" t="n">
        <v>2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</row>
    <row r="213">
      <c r="A213" s="1" t="inlineStr">
        <is>
          <t>relapsing-remitting multiple sclerosis</t>
        </is>
      </c>
      <c r="B213" s="1" t="inlineStr">
        <is>
          <t>EFO_0003929</t>
        </is>
      </c>
      <c r="C213" s="1" t="inlineStr">
        <is>
          <t>name</t>
        </is>
      </c>
      <c r="D213" s="1" t="n">
        <v>0.1</v>
      </c>
      <c r="E213" s="1" t="n">
        <v>249</v>
      </c>
      <c r="F213" s="1" t="n">
        <v>732</v>
      </c>
      <c r="G213" s="1" t="n">
        <v>20</v>
      </c>
      <c r="H213" s="1" t="n">
        <v>816</v>
      </c>
      <c r="I213" s="1" t="n">
        <v>19</v>
      </c>
      <c r="J213" s="1" t="n">
        <v>9</v>
      </c>
      <c r="K213" s="1" t="n">
        <v>6</v>
      </c>
      <c r="L213" s="1" t="n">
        <v>7</v>
      </c>
      <c r="M213" s="1" t="n">
        <v>0</v>
      </c>
      <c r="N213" s="1" t="n">
        <v>13</v>
      </c>
      <c r="O213" s="1" t="n">
        <v>1</v>
      </c>
      <c r="P213" s="1" t="n">
        <v>7</v>
      </c>
      <c r="Q213" s="1" t="n">
        <v>11</v>
      </c>
      <c r="R213" s="1" t="n">
        <v>4</v>
      </c>
      <c r="S213" s="1" t="n">
        <v>4</v>
      </c>
      <c r="T213" s="1" t="n">
        <v>2</v>
      </c>
      <c r="U213" s="1" t="n">
        <v>12</v>
      </c>
      <c r="V213" s="1" t="n">
        <v>1</v>
      </c>
      <c r="W213" s="1" t="n">
        <v>0</v>
      </c>
      <c r="X213" s="1" t="n">
        <v>3</v>
      </c>
      <c r="Y213" s="1" t="n">
        <v>0</v>
      </c>
      <c r="Z213" s="1" t="n">
        <v>5</v>
      </c>
      <c r="AA213" s="1" t="n">
        <v>1</v>
      </c>
      <c r="AB213" s="1" t="n">
        <v>0</v>
      </c>
      <c r="AC213" s="1" t="n">
        <v>3</v>
      </c>
    </row>
    <row r="214">
      <c r="A214" s="1" t="inlineStr">
        <is>
          <t>Overexertion</t>
        </is>
      </c>
      <c r="B214" s="1" t="n">
        <v>0</v>
      </c>
      <c r="C214" s="1" t="inlineStr">
        <is>
          <t>no_match</t>
        </is>
      </c>
      <c r="D214" s="1" t="n">
        <v>0.1</v>
      </c>
      <c r="E214" s="1" t="n">
        <v>97</v>
      </c>
      <c r="F214" s="1" t="n">
        <v>933</v>
      </c>
      <c r="G214" s="1" t="n">
        <v>9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</row>
    <row r="215">
      <c r="A215" s="1" t="inlineStr">
        <is>
          <t>pulmonary sarcoidosis</t>
        </is>
      </c>
      <c r="B215" s="1" t="inlineStr">
        <is>
          <t>DOID_13406</t>
        </is>
      </c>
      <c r="C215" s="1" t="inlineStr">
        <is>
          <t>name</t>
        </is>
      </c>
      <c r="D215" s="1" t="n">
        <v>0.1</v>
      </c>
      <c r="E215" s="1" t="n">
        <v>187</v>
      </c>
      <c r="F215" s="1" t="n">
        <v>514</v>
      </c>
      <c r="G215" s="1" t="n">
        <v>6</v>
      </c>
      <c r="H215" s="1" t="n">
        <v>83</v>
      </c>
      <c r="I215" s="1" t="n">
        <v>3</v>
      </c>
      <c r="J215" s="1" t="n">
        <v>1</v>
      </c>
      <c r="K215" s="1" t="n">
        <v>0</v>
      </c>
      <c r="L215" s="1" t="n">
        <v>2</v>
      </c>
      <c r="M215" s="1" t="n">
        <v>0</v>
      </c>
      <c r="N215" s="1" t="n">
        <v>2</v>
      </c>
      <c r="O215" s="1" t="n">
        <v>0</v>
      </c>
      <c r="P215" s="1" t="n">
        <v>0</v>
      </c>
      <c r="Q215" s="1" t="n">
        <v>1</v>
      </c>
      <c r="R215" s="1" t="n">
        <v>2</v>
      </c>
      <c r="S215" s="1" t="n">
        <v>0</v>
      </c>
      <c r="T215" s="1" t="n">
        <v>0</v>
      </c>
      <c r="U215" s="1" t="n">
        <v>2</v>
      </c>
      <c r="V215" s="1" t="n">
        <v>0</v>
      </c>
      <c r="W215" s="1" t="n">
        <v>1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</row>
    <row r="216">
      <c r="A216" s="1" t="inlineStr">
        <is>
          <t>facioscapulohumeral muscular dystrophy</t>
        </is>
      </c>
      <c r="B216" s="1" t="inlineStr">
        <is>
          <t>MONDO_0001347</t>
        </is>
      </c>
      <c r="C216" s="1" t="inlineStr">
        <is>
          <t>name</t>
        </is>
      </c>
      <c r="D216" s="1" t="n">
        <v>0.1</v>
      </c>
      <c r="E216" s="1" t="n">
        <v>302</v>
      </c>
      <c r="F216" s="1" t="n">
        <v>5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</row>
    <row r="217">
      <c r="A217" s="1" t="inlineStr">
        <is>
          <t>Dental cavity, complex</t>
        </is>
      </c>
      <c r="B217" s="1" t="n">
        <v>0</v>
      </c>
      <c r="C217" s="1" t="inlineStr">
        <is>
          <t>no_match</t>
        </is>
      </c>
      <c r="D217" s="1" t="n">
        <v>0.1</v>
      </c>
      <c r="E217" s="1" t="n">
        <v>325</v>
      </c>
      <c r="F217" s="1" t="n">
        <v>4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</row>
    <row r="218">
      <c r="A218" s="1" t="inlineStr">
        <is>
          <t>ductal carcinoma in situ</t>
        </is>
      </c>
      <c r="B218" s="1" t="inlineStr">
        <is>
          <t>EFO_0000432</t>
        </is>
      </c>
      <c r="C218" s="1" t="inlineStr">
        <is>
          <t>synonym</t>
        </is>
      </c>
      <c r="D218" s="1" t="n">
        <v>0.1</v>
      </c>
      <c r="E218" s="1" t="n">
        <v>231</v>
      </c>
      <c r="F218" s="1" t="n">
        <v>114</v>
      </c>
      <c r="G218" s="1" t="n">
        <v>0</v>
      </c>
      <c r="H218" s="1" t="n">
        <v>425</v>
      </c>
      <c r="I218" s="1" t="n">
        <v>10</v>
      </c>
      <c r="J218" s="1" t="n">
        <v>8</v>
      </c>
      <c r="K218" s="1" t="n">
        <v>5</v>
      </c>
      <c r="L218" s="1" t="n">
        <v>4</v>
      </c>
      <c r="M218" s="1" t="n">
        <v>0</v>
      </c>
      <c r="N218" s="1" t="n">
        <v>9</v>
      </c>
      <c r="O218" s="1" t="n">
        <v>1</v>
      </c>
      <c r="P218" s="1" t="n">
        <v>2</v>
      </c>
      <c r="Q218" s="1" t="n">
        <v>6</v>
      </c>
      <c r="R218" s="1" t="n">
        <v>1</v>
      </c>
      <c r="S218" s="1" t="n">
        <v>0</v>
      </c>
      <c r="T218" s="1" t="n">
        <v>2</v>
      </c>
      <c r="U218" s="1" t="n">
        <v>0</v>
      </c>
      <c r="V218" s="1" t="n">
        <v>0</v>
      </c>
      <c r="W218" s="1" t="n">
        <v>0</v>
      </c>
      <c r="X218" s="1" t="n">
        <v>3</v>
      </c>
      <c r="Y218" s="1" t="n">
        <v>0</v>
      </c>
      <c r="Z218" s="1" t="n">
        <v>4</v>
      </c>
      <c r="AA218" s="1" t="n">
        <v>0</v>
      </c>
      <c r="AB218" s="1" t="n">
        <v>0</v>
      </c>
      <c r="AC218" s="1" t="n">
        <v>1</v>
      </c>
    </row>
    <row r="219">
      <c r="A219" s="1" t="inlineStr">
        <is>
          <t>bacterial infectious disease</t>
        </is>
      </c>
      <c r="B219" s="1" t="inlineStr">
        <is>
          <t>EFO_0000771</t>
        </is>
      </c>
      <c r="C219" s="1" t="inlineStr">
        <is>
          <t>synonym</t>
        </is>
      </c>
      <c r="D219" s="1" t="n">
        <v>0.1</v>
      </c>
      <c r="E219" s="1" t="n">
        <v>131</v>
      </c>
      <c r="F219" s="1" t="n">
        <v>12</v>
      </c>
      <c r="G219" s="1" t="n">
        <v>1</v>
      </c>
      <c r="H219" s="1" t="n">
        <v>41</v>
      </c>
      <c r="I219" s="1" t="n">
        <v>1</v>
      </c>
      <c r="J219" s="1" t="n">
        <v>1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</row>
    <row r="220">
      <c r="A220" s="1" t="inlineStr">
        <is>
          <t>pancreatic ductal adenocarcinoma</t>
        </is>
      </c>
      <c r="B220" s="1" t="inlineStr">
        <is>
          <t>MONDO_0005184</t>
        </is>
      </c>
      <c r="C220" s="1" t="inlineStr">
        <is>
          <t>name</t>
        </is>
      </c>
      <c r="D220" s="1" t="n">
        <v>0.1</v>
      </c>
      <c r="E220" s="1" t="n">
        <v>121</v>
      </c>
      <c r="F220" s="1" t="n">
        <v>1</v>
      </c>
      <c r="G220" s="1" t="n">
        <v>0</v>
      </c>
      <c r="H220" s="1" t="n">
        <v>592</v>
      </c>
      <c r="I220" s="1" t="n">
        <v>8</v>
      </c>
      <c r="J220" s="1" t="n">
        <v>14</v>
      </c>
      <c r="K220" s="1" t="n">
        <v>7</v>
      </c>
      <c r="L220" s="1" t="n">
        <v>0</v>
      </c>
      <c r="M220" s="1" t="n">
        <v>0</v>
      </c>
      <c r="N220" s="1" t="n">
        <v>7</v>
      </c>
      <c r="O220" s="1" t="n">
        <v>2</v>
      </c>
      <c r="P220" s="1" t="n">
        <v>16</v>
      </c>
      <c r="Q220" s="1" t="n">
        <v>16</v>
      </c>
      <c r="R220" s="1" t="n">
        <v>6</v>
      </c>
      <c r="S220" s="1" t="n">
        <v>0</v>
      </c>
      <c r="T220" s="1" t="n">
        <v>7</v>
      </c>
      <c r="U220" s="1" t="n">
        <v>8</v>
      </c>
      <c r="V220" s="1" t="n">
        <v>0</v>
      </c>
      <c r="W220" s="1" t="n">
        <v>6</v>
      </c>
      <c r="X220" s="1" t="n">
        <v>6</v>
      </c>
      <c r="Y220" s="1" t="n">
        <v>1</v>
      </c>
      <c r="Z220" s="1" t="n">
        <v>6</v>
      </c>
      <c r="AA220" s="1" t="n">
        <v>0</v>
      </c>
      <c r="AB220" s="1" t="n">
        <v>4</v>
      </c>
      <c r="AC220" s="1" t="n">
        <v>2</v>
      </c>
    </row>
    <row r="221">
      <c r="A221" s="1" t="inlineStr">
        <is>
          <t>intracranial aneurysm</t>
        </is>
      </c>
      <c r="B221" s="1" t="inlineStr">
        <is>
          <t>EFO_0003870</t>
        </is>
      </c>
      <c r="C221" s="1" t="inlineStr">
        <is>
          <t>synonym</t>
        </is>
      </c>
      <c r="D221" s="1" t="n">
        <v>0.1</v>
      </c>
      <c r="E221" s="1" t="n">
        <v>345</v>
      </c>
      <c r="F221" s="1" t="n">
        <v>6</v>
      </c>
      <c r="G221" s="1" t="n">
        <v>0</v>
      </c>
      <c r="H221" s="1" t="n">
        <v>122</v>
      </c>
      <c r="I221" s="1" t="n">
        <v>4</v>
      </c>
      <c r="J221" s="1" t="n">
        <v>3</v>
      </c>
      <c r="K221" s="1" t="n">
        <v>3</v>
      </c>
      <c r="L221" s="1" t="n">
        <v>0</v>
      </c>
      <c r="M221" s="1" t="n">
        <v>0</v>
      </c>
      <c r="N221" s="1" t="n">
        <v>3</v>
      </c>
      <c r="O221" s="1" t="n">
        <v>0</v>
      </c>
      <c r="P221" s="1" t="n">
        <v>0</v>
      </c>
      <c r="Q221" s="1" t="n">
        <v>1</v>
      </c>
      <c r="R221" s="1" t="n">
        <v>4</v>
      </c>
      <c r="S221" s="1" t="n">
        <v>0</v>
      </c>
      <c r="T221" s="1" t="n">
        <v>0</v>
      </c>
      <c r="U221" s="1" t="n">
        <v>2</v>
      </c>
      <c r="V221" s="1" t="n">
        <v>0</v>
      </c>
      <c r="W221" s="1" t="n">
        <v>1</v>
      </c>
      <c r="X221" s="1" t="n">
        <v>1</v>
      </c>
      <c r="Y221" s="1" t="n">
        <v>0</v>
      </c>
      <c r="Z221" s="1" t="n">
        <v>0</v>
      </c>
      <c r="AA221" s="1" t="n">
        <v>0</v>
      </c>
      <c r="AB221" s="1" t="n">
        <v>1</v>
      </c>
      <c r="AC221" s="1" t="n">
        <v>0</v>
      </c>
    </row>
    <row r="222">
      <c r="A222" s="1" t="inlineStr">
        <is>
          <t>salivary gland adenoid cystic carcinoma</t>
        </is>
      </c>
      <c r="B222" s="1" t="inlineStr">
        <is>
          <t>MONDO_0003175</t>
        </is>
      </c>
      <c r="C222" s="1" t="inlineStr">
        <is>
          <t>name</t>
        </is>
      </c>
      <c r="D222" s="1" t="n">
        <v>0.1</v>
      </c>
      <c r="E222" s="1" t="n">
        <v>97</v>
      </c>
      <c r="F222" s="1" t="n">
        <v>64</v>
      </c>
      <c r="G222" s="1" t="n">
        <v>2</v>
      </c>
      <c r="H222" s="1" t="n">
        <v>45</v>
      </c>
      <c r="I222" s="1" t="n">
        <v>1</v>
      </c>
      <c r="J222" s="1" t="n">
        <v>2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</row>
    <row r="223">
      <c r="A223" s="1" t="inlineStr">
        <is>
          <t>juvenile rheumatoid arthritis</t>
        </is>
      </c>
      <c r="B223" s="1" t="inlineStr">
        <is>
          <t>EFO_0002609</t>
        </is>
      </c>
      <c r="C223" s="1" t="inlineStr">
        <is>
          <t>synonym</t>
        </is>
      </c>
      <c r="D223" s="1" t="n">
        <v>0.1</v>
      </c>
      <c r="E223" s="1" t="n">
        <v>0</v>
      </c>
      <c r="F223" s="1" t="n">
        <v>0</v>
      </c>
      <c r="G223" s="1" t="n">
        <v>0</v>
      </c>
      <c r="H223" s="1" t="n">
        <v>893</v>
      </c>
      <c r="I223" s="1" t="n">
        <v>13</v>
      </c>
      <c r="J223" s="1" t="n">
        <v>8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</row>
    <row r="224">
      <c r="A224" s="1" t="inlineStr">
        <is>
          <t>Viral cardiomyopathy</t>
        </is>
      </c>
      <c r="B224" s="1" t="inlineStr">
        <is>
          <t>EFO_0002629</t>
        </is>
      </c>
      <c r="C224" s="1" t="inlineStr">
        <is>
          <t>name</t>
        </is>
      </c>
      <c r="D224" s="1" t="n">
        <v>0.1</v>
      </c>
      <c r="E224" s="1" t="n">
        <v>34</v>
      </c>
      <c r="F224" s="1" t="n">
        <v>949</v>
      </c>
      <c r="G224" s="1" t="n">
        <v>7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</row>
    <row r="225">
      <c r="A225" s="1" t="inlineStr">
        <is>
          <t>glaucoma</t>
        </is>
      </c>
      <c r="B225" s="1" t="inlineStr">
        <is>
          <t>MONDO_0005041</t>
        </is>
      </c>
      <c r="C225" s="1" t="inlineStr">
        <is>
          <t>name</t>
        </is>
      </c>
      <c r="D225" s="1" t="n">
        <v>0.1</v>
      </c>
      <c r="E225" s="1" t="n">
        <v>147</v>
      </c>
      <c r="F225" s="1" t="n">
        <v>181</v>
      </c>
      <c r="G225" s="1" t="n">
        <v>5</v>
      </c>
      <c r="H225" s="1" t="n">
        <v>824</v>
      </c>
      <c r="I225" s="1" t="n">
        <v>23</v>
      </c>
      <c r="J225" s="1" t="n">
        <v>10</v>
      </c>
      <c r="K225" s="1" t="n">
        <v>4</v>
      </c>
      <c r="L225" s="1" t="n">
        <v>3</v>
      </c>
      <c r="M225" s="1" t="n">
        <v>1</v>
      </c>
      <c r="N225" s="1" t="n">
        <v>6</v>
      </c>
      <c r="O225" s="1" t="n">
        <v>0</v>
      </c>
      <c r="P225" s="1" t="n">
        <v>2</v>
      </c>
      <c r="Q225" s="1" t="n">
        <v>0</v>
      </c>
      <c r="R225" s="1" t="n">
        <v>5</v>
      </c>
      <c r="S225" s="1" t="n">
        <v>6</v>
      </c>
      <c r="T225" s="1" t="n">
        <v>2</v>
      </c>
      <c r="U225" s="1" t="n">
        <v>4</v>
      </c>
      <c r="V225" s="1" t="n">
        <v>0</v>
      </c>
      <c r="W225" s="1" t="n">
        <v>0</v>
      </c>
      <c r="X225" s="1" t="n">
        <v>0</v>
      </c>
      <c r="Y225" s="1" t="n">
        <v>1</v>
      </c>
      <c r="Z225" s="1" t="n">
        <v>1</v>
      </c>
      <c r="AA225" s="1" t="n">
        <v>3</v>
      </c>
      <c r="AB225" s="1" t="n">
        <v>2</v>
      </c>
      <c r="AC225" s="1" t="n">
        <v>0</v>
      </c>
    </row>
    <row r="226">
      <c r="A226" s="1" t="inlineStr">
        <is>
          <t>aplastic anemia</t>
        </is>
      </c>
      <c r="B226" s="1" t="inlineStr">
        <is>
          <t>MONDO_0015909</t>
        </is>
      </c>
      <c r="C226" s="1" t="inlineStr">
        <is>
          <t>name</t>
        </is>
      </c>
      <c r="D226" s="1" t="n">
        <v>0.1</v>
      </c>
      <c r="E226" s="1" t="n">
        <v>252</v>
      </c>
      <c r="F226" s="1" t="n">
        <v>39</v>
      </c>
      <c r="G226" s="1" t="n">
        <v>3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</row>
    <row r="227">
      <c r="A227" s="1" t="inlineStr">
        <is>
          <t>alpha 1-antitrypsin deficiency</t>
        </is>
      </c>
      <c r="B227" s="1" t="inlineStr">
        <is>
          <t>MONDO_0013282</t>
        </is>
      </c>
      <c r="C227" s="1" t="inlineStr">
        <is>
          <t>name</t>
        </is>
      </c>
      <c r="D227" s="1" t="n">
        <v>0.1</v>
      </c>
      <c r="E227" s="1" t="n">
        <v>291</v>
      </c>
      <c r="F227" s="1" t="n">
        <v>77</v>
      </c>
      <c r="G227" s="1" t="n">
        <v>6</v>
      </c>
      <c r="H227" s="1" t="n">
        <v>4</v>
      </c>
      <c r="I227" s="1" t="n">
        <v>1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1</v>
      </c>
      <c r="O227" s="1" t="n">
        <v>0</v>
      </c>
      <c r="P227" s="1" t="n">
        <v>1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1</v>
      </c>
      <c r="AA227" s="1" t="n">
        <v>0</v>
      </c>
      <c r="AB227" s="1" t="n">
        <v>0</v>
      </c>
      <c r="AC227" s="1" t="n">
        <v>0</v>
      </c>
    </row>
    <row r="228">
      <c r="A228" s="1" t="inlineStr">
        <is>
          <t>Meningococcal infection</t>
        </is>
      </c>
      <c r="B228" s="1" t="inlineStr">
        <is>
          <t>EFO_0004249</t>
        </is>
      </c>
      <c r="C228" s="1" t="inlineStr">
        <is>
          <t>name</t>
        </is>
      </c>
      <c r="D228" s="1" t="n">
        <v>0.1</v>
      </c>
      <c r="E228" s="1" t="n">
        <v>75</v>
      </c>
      <c r="F228" s="1" t="n">
        <v>951</v>
      </c>
      <c r="G228" s="1" t="n">
        <v>5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</row>
    <row r="229">
      <c r="A229" s="1" t="inlineStr">
        <is>
          <t>hemorrhagic thrombocythemia</t>
        </is>
      </c>
      <c r="B229" s="1" t="inlineStr">
        <is>
          <t>EFO_0000479</t>
        </is>
      </c>
      <c r="C229" s="1" t="inlineStr">
        <is>
          <t>synonym</t>
        </is>
      </c>
      <c r="D229" s="1" t="n">
        <v>0.1</v>
      </c>
      <c r="E229" s="1" t="n">
        <v>151</v>
      </c>
      <c r="F229" s="1" t="n">
        <v>39</v>
      </c>
      <c r="G229" s="1" t="n">
        <v>1</v>
      </c>
      <c r="H229" s="1" t="n">
        <v>207</v>
      </c>
      <c r="I229" s="1" t="n">
        <v>4</v>
      </c>
      <c r="J229" s="1" t="n">
        <v>3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  <c r="P229" s="1" t="n">
        <v>0</v>
      </c>
      <c r="Q229" s="1" t="n">
        <v>0</v>
      </c>
      <c r="R229" s="1" t="n">
        <v>3</v>
      </c>
      <c r="S229" s="1" t="n">
        <v>0</v>
      </c>
      <c r="T229" s="1" t="n">
        <v>0</v>
      </c>
      <c r="U229" s="1" t="n">
        <v>1</v>
      </c>
      <c r="V229" s="1" t="n">
        <v>0</v>
      </c>
      <c r="W229" s="1" t="n">
        <v>1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1</v>
      </c>
      <c r="AC229" s="1" t="n">
        <v>0</v>
      </c>
    </row>
    <row r="230">
      <c r="A230" s="1" t="inlineStr">
        <is>
          <t>Rett syndrome</t>
        </is>
      </c>
      <c r="B230" s="1" t="inlineStr">
        <is>
          <t>MONDO_0010726</t>
        </is>
      </c>
      <c r="C230" s="1" t="inlineStr">
        <is>
          <t>name</t>
        </is>
      </c>
      <c r="D230" s="1" t="n">
        <v>0.1</v>
      </c>
      <c r="E230" s="1" t="n">
        <v>227</v>
      </c>
      <c r="F230" s="1" t="n">
        <v>503</v>
      </c>
      <c r="G230" s="1" t="n">
        <v>9</v>
      </c>
      <c r="H230" s="1" t="n">
        <v>132</v>
      </c>
      <c r="I230" s="1" t="n">
        <v>4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1</v>
      </c>
      <c r="O230" s="1" t="n">
        <v>0</v>
      </c>
      <c r="P230" s="1" t="n">
        <v>0</v>
      </c>
      <c r="Q230" s="1" t="n">
        <v>1</v>
      </c>
      <c r="R230" s="1" t="n">
        <v>0</v>
      </c>
      <c r="S230" s="1" t="n">
        <v>0</v>
      </c>
      <c r="T230" s="1" t="n">
        <v>0</v>
      </c>
      <c r="U230" s="1" t="n">
        <v>1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</row>
    <row r="231">
      <c r="A231" s="1" t="inlineStr">
        <is>
          <t>pancreatic intraductal papillary-mucinous adenoma</t>
        </is>
      </c>
      <c r="B231" s="1" t="n">
        <v>0</v>
      </c>
      <c r="C231" s="1" t="inlineStr">
        <is>
          <t>no_match</t>
        </is>
      </c>
      <c r="D231" s="1" t="n">
        <v>0.1</v>
      </c>
      <c r="E231" s="1" t="n">
        <v>261</v>
      </c>
      <c r="F231" s="1" t="n">
        <v>405</v>
      </c>
      <c r="G231" s="1" t="n">
        <v>14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</row>
    <row r="232">
      <c r="A232" s="1" t="inlineStr">
        <is>
          <t>Chronic Lymphocytic Leukemia (Chronic B-lymphocytic leukemia)</t>
        </is>
      </c>
      <c r="B232" s="1" t="n">
        <v>0</v>
      </c>
      <c r="C232" s="1" t="inlineStr">
        <is>
          <t>no_match</t>
        </is>
      </c>
      <c r="D232" s="1" t="n">
        <v>0.1</v>
      </c>
      <c r="E232" s="1" t="n">
        <v>102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</row>
    <row r="233">
      <c r="A233" s="1" t="inlineStr">
        <is>
          <t>acute myocardial infarction</t>
        </is>
      </c>
      <c r="B233" s="1" t="inlineStr">
        <is>
          <t>EFO_0008583</t>
        </is>
      </c>
      <c r="C233" s="1" t="inlineStr">
        <is>
          <t>name</t>
        </is>
      </c>
      <c r="D233" s="1" t="n">
        <v>0.1</v>
      </c>
      <c r="E233" s="1" t="n">
        <v>327</v>
      </c>
      <c r="F233" s="1" t="n">
        <v>21</v>
      </c>
      <c r="G233" s="1" t="n">
        <v>1</v>
      </c>
      <c r="H233" s="1" t="n">
        <v>552</v>
      </c>
      <c r="I233" s="1" t="n">
        <v>7</v>
      </c>
      <c r="J233" s="1" t="n">
        <v>5</v>
      </c>
      <c r="K233" s="1" t="n">
        <v>4</v>
      </c>
      <c r="L233" s="1" t="n">
        <v>1</v>
      </c>
      <c r="M233" s="1" t="n">
        <v>1</v>
      </c>
      <c r="N233" s="1" t="n">
        <v>4</v>
      </c>
      <c r="O233" s="1" t="n">
        <v>0</v>
      </c>
      <c r="P233" s="1" t="n">
        <v>0</v>
      </c>
      <c r="Q233" s="1" t="n">
        <v>3</v>
      </c>
      <c r="R233" s="1" t="n">
        <v>4</v>
      </c>
      <c r="S233" s="1" t="n">
        <v>1</v>
      </c>
      <c r="T233" s="1" t="n">
        <v>0</v>
      </c>
      <c r="U233" s="1" t="n">
        <v>3</v>
      </c>
      <c r="V233" s="1" t="n">
        <v>0</v>
      </c>
      <c r="W233" s="1" t="n">
        <v>0</v>
      </c>
      <c r="X233" s="1" t="n">
        <v>2</v>
      </c>
      <c r="Y233" s="1" t="n">
        <v>0</v>
      </c>
      <c r="Z233" s="1" t="n">
        <v>0</v>
      </c>
      <c r="AA233" s="1" t="n">
        <v>0</v>
      </c>
      <c r="AB233" s="1" t="n">
        <v>2</v>
      </c>
      <c r="AC233" s="1" t="n">
        <v>1</v>
      </c>
    </row>
    <row r="234">
      <c r="A234" s="1" t="inlineStr">
        <is>
          <t>autistic disorder</t>
        </is>
      </c>
      <c r="B234" s="1" t="inlineStr">
        <is>
          <t>EFO_0003758</t>
        </is>
      </c>
      <c r="C234" s="1" t="inlineStr">
        <is>
          <t>synonym</t>
        </is>
      </c>
      <c r="D234" s="1" t="n">
        <v>0.1</v>
      </c>
      <c r="E234" s="1" t="n">
        <v>379</v>
      </c>
      <c r="F234" s="1" t="n">
        <v>0</v>
      </c>
      <c r="G234" s="1" t="n">
        <v>0</v>
      </c>
      <c r="H234" s="1" t="n">
        <v>475</v>
      </c>
      <c r="I234" s="1" t="n">
        <v>17</v>
      </c>
      <c r="J234" s="1" t="n">
        <v>5</v>
      </c>
      <c r="K234" s="1" t="n">
        <v>5</v>
      </c>
      <c r="L234" s="1" t="n">
        <v>0</v>
      </c>
      <c r="M234" s="1" t="n">
        <v>0</v>
      </c>
      <c r="N234" s="1" t="n">
        <v>5</v>
      </c>
      <c r="O234" s="1" t="n">
        <v>1</v>
      </c>
      <c r="P234" s="1" t="n">
        <v>0</v>
      </c>
      <c r="Q234" s="1" t="n">
        <v>3</v>
      </c>
      <c r="R234" s="1" t="n">
        <v>1</v>
      </c>
      <c r="S234" s="1" t="n">
        <v>0</v>
      </c>
      <c r="T234" s="1" t="n">
        <v>0</v>
      </c>
      <c r="U234" s="1" t="n">
        <v>3</v>
      </c>
      <c r="V234" s="1" t="n">
        <v>0</v>
      </c>
      <c r="W234" s="1" t="n">
        <v>0</v>
      </c>
      <c r="X234" s="1" t="n">
        <v>2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</row>
    <row r="235">
      <c r="A235" s="1" t="inlineStr">
        <is>
          <t>autistic disorder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2026-03-31T17:54:15Z</dcterms:created>
  <dcterms:modified xsi:type="dcterms:W3CDTF">2026-03-31T17:54:15Z</dcterms:modified>
</cp:coreProperties>
</file>